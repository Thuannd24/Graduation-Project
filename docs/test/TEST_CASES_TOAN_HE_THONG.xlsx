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0" windowHeight="9870"/>
  </bookViews>
  <sheets>
    <sheet name="Hướng dẫn" sheetId="1" r:id="rId1"/>
    <sheet name="Test case" sheetId="2" r:id="rId2"/>
    <sheet name="Tổng hợp" sheetId="3" r:id="rId3"/>
    <sheet name="Hành vi đã biết" sheetId="4" r:id="rId4"/>
    <sheet name="Ghi lỗi" sheetId="5" r:id="rId5"/>
  </sheets>
  <definedNames>
    <definedName name="_xlnm._FilterDatabase" localSheetId="1" hidden="1">'Test case'!$A$1:$Q$187</definedName>
    <definedName name="_xlnm._FilterDatabase" localSheetId="4" hidden="1">'Ghi lỗi'!$A$1:$L$102</definedName>
    <definedName name="_xlnm.Print_Titles" localSheetId="1">'Test case'!$1:$1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<sst xmlns="http://schemas.openxmlformats.org/spreadsheetml/2006/main" count="3359" uniqueCount="1177">
  <si>
    <t>BỘ TEST CASE TOÀN HỆ THỐNG TECHSTORE</t>
  </si>
  <si>
    <t/>
  </si>
  <si>
    <t>Phiên bản</t>
  </si>
  <si>
    <t>Nhánh develop · lập ngày 17/10/2026</t>
  </si>
  <si>
    <t>Số test case</t>
  </si>
  <si>
    <t>186 ca, chia theo 10 phân hệ + hạ tầng, bảo mật, phi chức năng và luồng xuyên suốt.</t>
  </si>
  <si>
    <t>Nguồn</t>
  </si>
  <si>
    <t>docs/test/HUONG_DAN_TEST_THU_CONG.md, bổ sung ca ngoại lệ, bảo mật và phi chức năng theo code nhánh develop.</t>
  </si>
  <si>
    <t>Cách dùng</t>
  </si>
  <si>
    <t>1. Chuẩn bị</t>
  </si>
  <si>
    <t>Khởi động hệ thống và đặt mật khẩu tài khoản test (xem bên dưới). Chạy nhóm SYS trước; nếu SYS lỗi thì các nhóm khác sẽ bị chặn.</t>
  </si>
  <si>
    <t>2. Thực hiện</t>
  </si>
  <si>
    <t>Ở sheet 'Test case', làm theo cột 'Các bước thực hiện', so với 'Kết quả mong đợi' và 'Cách kiểm chứng'.</t>
  </si>
  <si>
    <t>3. Ghi kết quả</t>
  </si>
  <si>
    <t>Chỉ điền vào 5 cột có tiêu đề màu vàng đậm (nền ô vàng nhạt): Kết quả thực tế, Trạng thái, Người test, Ngày test, Mã lỗi / Ghi chú.</t>
  </si>
  <si>
    <t>4. Ghi lỗi</t>
  </si>
  <si>
    <t>Ca 'Không đạt' thì thêm một dòng ở sheet 'Ghi lỗi' và ghi mã lỗi đó vào cột 'Mã lỗi / Ghi chú'. Dòng xám đầu tiên của sheet 'Ghi lỗi' là ví dụ, xóa khi dùng.</t>
  </si>
  <si>
    <t>5. Theo dõi</t>
  </si>
  <si>
    <t>Sheet 'Tổng hợp' tự đếm theo phân hệ và mức ưu tiên. Lọc cột Trạng thái hoặc Ưu tiên bằng bộ lọc ở dòng tiêu đề.</t>
  </si>
  <si>
    <t>Trước khi báo lỗi</t>
  </si>
  <si>
    <t>Xem sheet 'Hành vi đã biết': các hành vi ở đó là hiện trạng đã ghi nhận, không phải lỗi mới.</t>
  </si>
  <si>
    <t>Giá trị cột Trạng thái</t>
  </si>
  <si>
    <t>Chưa test</t>
  </si>
  <si>
    <t>Mặc định.</t>
  </si>
  <si>
    <t>Đạt</t>
  </si>
  <si>
    <t>Kết quả thực tế khớp kết quả mong đợi.</t>
  </si>
  <si>
    <t>Không đạt</t>
  </si>
  <si>
    <t>Có sai khác. Ghi lỗi ở sheet 'Ghi lỗi'.</t>
  </si>
  <si>
    <t>Bị chặn</t>
  </si>
  <si>
    <t>Không thực hiện được vì điều kiện chưa có (service chưa chạy, ca trước lỗi, thiếu dữ liệu).</t>
  </si>
  <si>
    <t>Bỏ qua</t>
  </si>
  <si>
    <t>Không áp dụng cho đợt test này (ví dụ chưa có Google Client ID).</t>
  </si>
  <si>
    <t>Địa chỉ</t>
  </si>
  <si>
    <t>Web (FE)</t>
  </si>
  <si>
    <t>http://localhost:5173</t>
  </si>
  <si>
    <t>API Gateway</t>
  </si>
  <si>
    <t>http://localhost:8080</t>
  </si>
  <si>
    <t>Eureka</t>
  </si>
  <si>
    <t>http://localhost:8761</t>
  </si>
  <si>
    <t>Keycloak</t>
  </si>
  <si>
    <t>http://localhost:8083 (Admin Console: realm master)</t>
  </si>
  <si>
    <t>Debezium Connect</t>
  </si>
  <si>
    <t>http://localhost:8088</t>
  </si>
  <si>
    <t>MinIO Console</t>
  </si>
  <si>
    <t>http://localhost:9001</t>
  </si>
  <si>
    <t>Elasticsearch</t>
  </si>
  <si>
    <t>http://localhost:9200</t>
  </si>
  <si>
    <t>MariaDB</t>
  </si>
  <si>
    <t>localhost:3308 (user/mật khẩu trong BE/.env)</t>
  </si>
  <si>
    <t>Swagger AI</t>
  </si>
  <si>
    <t>Search 8001/docs · Chatbot 8002/docs · Recs 8003/docs · Forecast 8004/docs</t>
  </si>
  <si>
    <t>Tài khoản test (realm ecommerce-realm)</t>
  </si>
  <si>
    <t>admin (ROLE_ADMIN)</t>
  </si>
  <si>
    <t>admin@gmail.com · mật khẩu 12345678 (đặt lại ngày 17/10/2026).</t>
  </si>
  <si>
    <t>staff (ROLE_STAFF)</t>
  </si>
  <si>
    <t>staff@gmail.com · chưa biết mật khẩu, đặt lại theo HUONG_DAN_TEST_THU_CONG.md §2.</t>
  </si>
  <si>
    <t>customer (ROLE_CUSTOMER)</t>
  </si>
  <si>
    <t>customer@gmail.com · chưa có mật khẩu, đặt lại theo HUONG_DAN_TEST_THU_CONG.md §2.</t>
  </si>
  <si>
    <t>Lưu ý email</t>
  </si>
  <si>
    <t>Các địa chỉ *@gmail.com trên là của người khác. Trước khi test email (PH7), đổi email tài khoản test sang email của bạn.</t>
  </si>
  <si>
    <t>Hiện trạng môi trường (17/10/2026)</t>
  </si>
  <si>
    <t>Đang chạy</t>
  </si>
  <si>
    <t>Hạ tầng Docker, 8 service Java, Gateway, AI search (8001), FE. Đã nạp 1.123 sản phẩm, tồn kho 10/phiên bản, chỉ mục tìm kiếm.</t>
  </si>
  <si>
    <t>Chưa chạy</t>
  </si>
  <si>
    <t>chatbot (8002), recs (8003), forecast (8004). Các ca cần những service này ghi 'Bị chặn' cho đến khi bật.</t>
  </si>
  <si>
    <t>Chưa có dữ liệu</t>
  </si>
  <si>
    <t>Dữ liệu tổng hợp user/đơn/hành vi (tools/data-seed). Nhóm PH9 cần dữ liệu này.</t>
  </si>
  <si>
    <t>Quy tắc an toàn</t>
  </si>
  <si>
    <t>Kafka</t>
  </si>
  <si>
    <t>Không gửi message tay vào các topic dùng chung (order-events, payment-events…). Chỉ tạo dữ liệu qua giao diện/API; các lệnh Kafka trong file này chỉ đọc.</t>
  </si>
  <si>
    <t>Docker</t>
  </si>
  <si>
    <t>Không dùng `docker compose down -v` (xóa toàn bộ dữ liệu).</t>
  </si>
  <si>
    <t>Dọn dữ liệu</t>
  </si>
  <si>
    <t>Sau khi test: hủy đơn test chưa giao, nhập lại kho, tắt/xóa chiến dịch test, xóa tài khoản test tự đăng ký.</t>
  </si>
  <si>
    <t>Công thức</t>
  </si>
  <si>
    <t>Sheet 'Tổng hợp' dùng công thức; Excel tự tính khi mở file.</t>
  </si>
  <si>
    <t>ID</t>
  </si>
  <si>
    <t>Phân hệ</t>
  </si>
  <si>
    <t>Chức năng</t>
  </si>
  <si>
    <t>Tiêu đề test case</t>
  </si>
  <si>
    <t>Loại</t>
  </si>
  <si>
    <t>Ưu tiên</t>
  </si>
  <si>
    <t>Tài khoản</t>
  </si>
  <si>
    <t>Tiền điều kiện</t>
  </si>
  <si>
    <t>Các bước thực hiện</t>
  </si>
  <si>
    <t>Dữ liệu test</t>
  </si>
  <si>
    <t>Kết quả mong đợi</t>
  </si>
  <si>
    <t>Cách kiểm chứng</t>
  </si>
  <si>
    <t>Kết quả thực tế</t>
  </si>
  <si>
    <t>Trạng thái</t>
  </si>
  <si>
    <t>Người test</t>
  </si>
  <si>
    <t>Ngày test</t>
  </si>
  <si>
    <t>Mã lỗi / Ghi chú</t>
  </si>
  <si>
    <t>SYS-01</t>
  </si>
  <si>
    <t>SYS – Hạ tầng &amp; khởi động</t>
  </si>
  <si>
    <t>Các container hạ tầng đang chạy</t>
  </si>
  <si>
    <t>Cao</t>
  </si>
  <si>
    <t>—</t>
  </si>
  <si>
    <t>Docker Desktop đang chạy.</t>
  </si>
  <si>
    <t>1. Chạy `docker ps -a`.</t>
  </si>
  <si>
    <t>infra-mariadb, mongodb, redis, kafka, debezium-connect, elasticsearch, minio, keycloak, eureka, gateway đều Up. `infra-debezium-init` Exited (0) là bình thường.</t>
  </si>
  <si>
    <t>Cột STATUS của `docker ps -a`.</t>
  </si>
  <si>
    <t>SYS-02</t>
  </si>
  <si>
    <t>Đủ 9 service đăng ký Eureka</t>
  </si>
  <si>
    <t>Đã chạy 8 service Java.</t>
  </si>
  <si>
    <t>1. Mở http://localhost:8761.</t>
  </si>
  <si>
    <t>API-GATEWAY, USER, PRODUCT, ORDER, INVENTORY, PAYMENT, PROMOTION, NOTIFICATION, CHAT-SERVICE đều UP.</t>
  </si>
  <si>
    <t>Bảng 'Instances currently registered'.</t>
  </si>
  <si>
    <t>SYS-03</t>
  </si>
  <si>
    <t>Gateway</t>
  </si>
  <si>
    <t>Gateway định tuyến tới product-service</t>
  </si>
  <si>
    <t>Tích hợp</t>
  </si>
  <si>
    <t>SYS-02 đạt.</t>
  </si>
  <si>
    <t>1. Mở http://localhost:8080/api/v1/public/products?page=0&amp;size=1.</t>
  </si>
  <si>
    <t>HTTP 200, `code` = SUCCESS, có 1 sản phẩm.</t>
  </si>
  <si>
    <t>Nội dung JSON trả về.</t>
  </si>
  <si>
    <t>SYS-04</t>
  </si>
  <si>
    <t>Debezium</t>
  </si>
  <si>
    <t>Hai connector outbox đang chạy</t>
  </si>
  <si>
    <t>Order/payment-service đã khởi động ít nhất 1 lần.</t>
  </si>
  <si>
    <t>1. Mở http://localhost:8088/connectors/order-outbox-connector/status.
2. Mở .../payment-outbox-connector/status.</t>
  </si>
  <si>
    <t>Cả connector và task đều RUNNING.</t>
  </si>
  <si>
    <t>Trường `connector.state`, `tasks[].state`.</t>
  </si>
  <si>
    <t>SYS-05</t>
  </si>
  <si>
    <t>Realm ecommerce-realm sẵn sàng</t>
  </si>
  <si>
    <t>1. Mở http://localhost:8083/realms/ecommerce-realm.</t>
  </si>
  <si>
    <t>HTTP 200, có `public_key`.</t>
  </si>
  <si>
    <t>JSON trả về.</t>
  </si>
  <si>
    <t>SYS-06</t>
  </si>
  <si>
    <t>AI</t>
  </si>
  <si>
    <t>Health của các service AI</t>
  </si>
  <si>
    <t>Trung bình</t>
  </si>
  <si>
    <t>Đã bật service AI tương ứng (8002/8003/8004).</t>
  </si>
  <si>
    <t>1. Mở lần lượt http://localhost:8001/health, 8002/health, 8003/health, 8004/health.</t>
  </si>
  <si>
    <t>Mỗi service trả HTTP 200, `status` = UP.</t>
  </si>
  <si>
    <t>SYS-07</t>
  </si>
  <si>
    <t>Frontend</t>
  </si>
  <si>
    <t>FE tải được trang chủ</t>
  </si>
  <si>
    <t>Khách (chưa đăng nhập)</t>
  </si>
  <si>
    <t>`npm run dev` trong FE.</t>
  </si>
  <si>
    <t>1. Mở http://localhost:5173.
2. Mở F12 → Console.</t>
  </si>
  <si>
    <t>Trang chủ hiển thị, Console không có lỗi đỏ.</t>
  </si>
  <si>
    <t>F12 → Console.</t>
  </si>
  <si>
    <t>SYS-08</t>
  </si>
  <si>
    <t>Chỉ mục sản phẩm có dữ liệu</t>
  </si>
  <si>
    <t>Đã nạp catalog.</t>
  </si>
  <si>
    <t>1. Mở http://localhost:9200/products/_count.</t>
  </si>
  <si>
    <t>`count` bằng số sản phẩm đang có (≈1.123 sau khi nạp catalog).</t>
  </si>
  <si>
    <t>SYS-09</t>
  </si>
  <si>
    <t>MinIO</t>
  </si>
  <si>
    <t>MinIO có bucket ảnh</t>
  </si>
  <si>
    <t>Thấp</t>
  </si>
  <si>
    <t>1. Mở http://localhost:9001, đăng nhập bằng thông tin MinIO trong `BE/docker-compose-infra.yml`.</t>
  </si>
  <si>
    <t>Thấy bucket ảnh sản phẩm và bucket `chat-images` (bucket chat được tạo khi gửi ảnh đầu tiên).</t>
  </si>
  <si>
    <t>Giao diện MinIO.</t>
  </si>
  <si>
    <t>PH1-01</t>
  </si>
  <si>
    <t>PH1 – Tài khoản &amp; phân quyền</t>
  </si>
  <si>
    <t>Đăng ký</t>
  </si>
  <si>
    <t>Đăng ký tài khoản mới</t>
  </si>
  <si>
    <t>Email chưa dùng.</t>
  </si>
  <si>
    <t>1. Vào http://localhost:5173/register.
2. Điền họ tên, email, mật khẩu.
3. Gửi.</t>
  </si>
  <si>
    <t>Email của bạn</t>
  </si>
  <si>
    <t>Chuyển sang trang Keycloak (giao diện techstore), tạo xong quay về trang chủ ở trạng thái đã đăng nhập.</t>
  </si>
  <si>
    <t>Keycloak → ecommerce-realm → Users có user mới, role ROLE_CUSTOMER.</t>
  </si>
  <si>
    <t>PH1-02</t>
  </si>
  <si>
    <t>Đăng ký với email đã tồn tại</t>
  </si>
  <si>
    <t>Ngoại lệ</t>
  </si>
  <si>
    <t>Email đã có trong realm.</t>
  </si>
  <si>
    <t>1. Đăng ký lại bằng email ở PH1-01.</t>
  </si>
  <si>
    <t>Keycloak báo email đã tồn tại, không tạo user mới.</t>
  </si>
  <si>
    <t>Keycloak → Users.</t>
  </si>
  <si>
    <t>PH1-03</t>
  </si>
  <si>
    <t>Hồ sơ</t>
  </si>
  <si>
    <t>Tự tạo hồ sơ ở lần truy cập đầu</t>
  </si>
  <si>
    <t>Tài khoản vừa đăng ký</t>
  </si>
  <si>
    <t>PH1-01 đạt.</t>
  </si>
  <si>
    <t>1. Mở /profile lần đầu.</t>
  </si>
  <si>
    <t>Trang hồ sơ hiển thị, user-service tự tạo hồ sơ và phát `user-created-events`.</t>
  </si>
  <si>
    <t>MariaDB `ecommerce_user_db.users` có dòng mới với keycloak_user_id của tài khoản.</t>
  </si>
  <si>
    <t>PH1-04</t>
  </si>
  <si>
    <t>Đăng nhập</t>
  </si>
  <si>
    <t>Đăng nhập đúng mật khẩu</t>
  </si>
  <si>
    <t>customer</t>
  </si>
  <si>
    <t>Đã đặt mật khẩu cho customer.</t>
  </si>
  <si>
    <t>1. Vào /login.
2. Nhập username và mật khẩu.</t>
  </si>
  <si>
    <t>Đăng nhập thành công, header hiện tên tài khoản.</t>
  </si>
  <si>
    <t>Giao diện header.</t>
  </si>
  <si>
    <t>PH1-05</t>
  </si>
  <si>
    <t>Đăng nhập sai mật khẩu</t>
  </si>
  <si>
    <t>1. Vào /login.
2. Nhập sai mật khẩu.</t>
  </si>
  <si>
    <t>Mật khẩu sai bất kỳ</t>
  </si>
  <si>
    <t>Keycloak báo sai thông tin đăng nhập, không vào được.</t>
  </si>
  <si>
    <t>Giao diện Keycloak.</t>
  </si>
  <si>
    <t>PH1-06</t>
  </si>
  <si>
    <t>Đăng nhập bằng Google</t>
  </si>
  <si>
    <t>Có GOOGLE_CLIENT_ID trong BE/.env.</t>
  </si>
  <si>
    <t>1. Trang đăng nhập Keycloak → bấm Google.
2. Chọn tài khoản Google.</t>
  </si>
  <si>
    <t>Đăng nhập thành công, quay về web.</t>
  </si>
  <si>
    <t>Keycloak → Users có user liên kết Google.</t>
  </si>
  <si>
    <t>PH1-07</t>
  </si>
  <si>
    <t>Sửa họ tên, SĐT, ảnh đại diện</t>
  </si>
  <si>
    <t>1. /profile?tab=account.
2. Sửa họ tên, SĐT, tải ảnh.
3. Lưu, rồi F5.</t>
  </si>
  <si>
    <t>Ảnh JPG &lt; 2MB</t>
  </si>
  <si>
    <t>Lưu thành công, tải lại vẫn giữ thông tin mới.</t>
  </si>
  <si>
    <t>Ảnh có trong MinIO.</t>
  </si>
  <si>
    <t>PH1-08</t>
  </si>
  <si>
    <t>Thêm, sửa, xóa địa chỉ</t>
  </si>
  <si>
    <t>1. /profile?tab=addresses → Thêm.
2. Chọn tỉnh → phường/xã, nhập chi tiết.
3. Sửa địa chỉ vừa thêm.
4. Xóa.</t>
  </si>
  <si>
    <t>Thêm/sửa/xóa thành công; danh sách phường/xã đổi theo tỉnh.</t>
  </si>
  <si>
    <t>Danh sách địa chỉ.</t>
  </si>
  <si>
    <t>PH1-09</t>
  </si>
  <si>
    <t>Chỉ một địa chỉ mặc định</t>
  </si>
  <si>
    <t>Có ≥ 2 địa chỉ.</t>
  </si>
  <si>
    <t>1. Đặt địa chỉ B làm mặc định.</t>
  </si>
  <si>
    <t>B là mặc định, địa chỉ mặc định cũ mất cờ mặc định.</t>
  </si>
  <si>
    <t>PH1-10</t>
  </si>
  <si>
    <t>Hạng thành viên</t>
  </si>
  <si>
    <t>Xem hạng và điểm</t>
  </si>
  <si>
    <t>1. /profile?tab=membership.</t>
  </si>
  <si>
    <t>Hiện hạng (MEMBER/SILVER/GOLD/VIP) và số điểm hiện có.</t>
  </si>
  <si>
    <t>Giao diện.</t>
  </si>
  <si>
    <t>PH1-11</t>
  </si>
  <si>
    <t>Phân quyền</t>
  </si>
  <si>
    <t>Chưa đăng nhập vào trang cần đăng nhập</t>
  </si>
  <si>
    <t>Đã đăng xuất.</t>
  </si>
  <si>
    <t>1. Mở /cart.</t>
  </si>
  <si>
    <t>Bị chuyển sang đăng nhập.</t>
  </si>
  <si>
    <t>URL trình duyệt.</t>
  </si>
  <si>
    <t>PH1-12</t>
  </si>
  <si>
    <t>Customer vào trang quản trị</t>
  </si>
  <si>
    <t>1. Mở /admin.</t>
  </si>
  <si>
    <t>Bị đẩy về trang chủ.</t>
  </si>
  <si>
    <t>PH1-13</t>
  </si>
  <si>
    <t>Staff vào trang quản trị</t>
  </si>
  <si>
    <t>staff</t>
  </si>
  <si>
    <t>Vào được, thấy đủ các tab.</t>
  </si>
  <si>
    <t>PH1-14</t>
  </si>
  <si>
    <t>Staff không được đổi vai trò / khóa user</t>
  </si>
  <si>
    <t>1. Tab Customers → đổi vai trò hoặc khóa một user.</t>
  </si>
  <si>
    <t>Thao tác bị từ chối (HTTP 403).</t>
  </si>
  <si>
    <t>F12 → Network.</t>
  </si>
  <si>
    <t>PH1-15</t>
  </si>
  <si>
    <t>Quản trị khách hàng</t>
  </si>
  <si>
    <t>Admin đổi hạng khách hàng</t>
  </si>
  <si>
    <t>admin</t>
  </si>
  <si>
    <t>1. Tab Customers → đổi hạng một user test từ MEMBER sang GOLD.
2. Đăng nhập user đó, xem tab membership.</t>
  </si>
  <si>
    <t>Hạng mới hiển thị đúng.</t>
  </si>
  <si>
    <t>Giao diện 2 phía.</t>
  </si>
  <si>
    <t>PH1-16</t>
  </si>
  <si>
    <t>Admin khóa (blacklist) khách hàng</t>
  </si>
  <si>
    <t>1. Tab Customers → khóa một user test.</t>
  </si>
  <si>
    <t>Trạng thái khóa được lưu và hiển thị trong danh sách.</t>
  </si>
  <si>
    <t>Danh sách khách; cột is_blacklisted trong DB.</t>
  </si>
  <si>
    <t>PH1-17</t>
  </si>
  <si>
    <t>Admin đặt lại mật khẩu khách hàng</t>
  </si>
  <si>
    <t>1. Tab Customers → reset mật khẩu một user test.
2. Đăng nhập bằng mật khẩu mới.</t>
  </si>
  <si>
    <t>Đăng nhập được bằng mật khẩu mới.</t>
  </si>
  <si>
    <t>Đăng nhập thử.</t>
  </si>
  <si>
    <t>PH1-18</t>
  </si>
  <si>
    <t>Admin gán vai trò STAFF</t>
  </si>
  <si>
    <t>1. Gán vai trò STAFF cho user test.
2. User đó đăng xuất, đăng nhập lại, mở /admin.</t>
  </si>
  <si>
    <t>User vào được /admin.</t>
  </si>
  <si>
    <t>PH1-19</t>
  </si>
  <si>
    <t>Phiên đăng nhập</t>
  </si>
  <si>
    <t>Token hết hạn khi đang dùng</t>
  </si>
  <si>
    <t>1. Đăng nhập, để tab mở &gt; 15 phút.
2. Thao tác một trang cần đăng nhập.</t>
  </si>
  <si>
    <t>FE tự làm mới token hoặc yêu cầu đăng nhập lại; không lỗi trắng trang.</t>
  </si>
  <si>
    <t>Giao diện, F12 → Network.</t>
  </si>
  <si>
    <t>PH2-01</t>
  </si>
  <si>
    <t>PH2 – Sản phẩm &amp; tìm kiếm</t>
  </si>
  <si>
    <t>Trang chủ</t>
  </si>
  <si>
    <t>Trang chủ cho khách</t>
  </si>
  <si>
    <t>1. Mở /.</t>
  </si>
  <si>
    <t>Có flash deal, danh mục, thương hiệu, khối gợi ý 3 tab.</t>
  </si>
  <si>
    <t>PH2-02</t>
  </si>
  <si>
    <t>Danh mục</t>
  </si>
  <si>
    <t>Lọc theo danh mục</t>
  </si>
  <si>
    <t>1. /category → chọn danh mục 'Laptop'.</t>
  </si>
  <si>
    <t>Chỉ hiện sản phẩm thuộc danh mục đã chọn.</t>
  </si>
  <si>
    <t>PH2-03</t>
  </si>
  <si>
    <t>Lọc theo khoảng giá</t>
  </si>
  <si>
    <t>1. /category → đặt khoảng giá.</t>
  </si>
  <si>
    <t>5.000.000 – 10.000.000đ</t>
  </si>
  <si>
    <t>Mọi sản phẩm nằm trong khoảng giá.</t>
  </si>
  <si>
    <t>PH2-04</t>
  </si>
  <si>
    <t>Lọc theo thương hiệu</t>
  </si>
  <si>
    <t>1. /category → chọn thương hiệu.</t>
  </si>
  <si>
    <t>Samsung</t>
  </si>
  <si>
    <t>Chỉ hiện sản phẩm của thương hiệu đã chọn.</t>
  </si>
  <si>
    <t>PH2-05</t>
  </si>
  <si>
    <t>Sắp xếp theo giá</t>
  </si>
  <si>
    <t>1. Đổi sắp xếp giá tăng dần, rồi giảm dần.</t>
  </si>
  <si>
    <t>Thứ tự đúng theo giá.</t>
  </si>
  <si>
    <t>PH2-06</t>
  </si>
  <si>
    <t>Phân trang</t>
  </si>
  <si>
    <t>1. Sang trang 2, 3.</t>
  </si>
  <si>
    <t>Danh sách đổi, không trùng sản phẩm giữa các trang.</t>
  </si>
  <si>
    <t>PH2-07</t>
  </si>
  <si>
    <t>Chi tiết</t>
  </si>
  <si>
    <t>Xem chi tiết khi chưa đăng nhập</t>
  </si>
  <si>
    <t>1. Mở /product/1.</t>
  </si>
  <si>
    <t>Trang hiện đủ thông tin, tên người đánh giá hiển thị.</t>
  </si>
  <si>
    <t>PH2-08</t>
  </si>
  <si>
    <t>Chọn phiên bản sản phẩm</t>
  </si>
  <si>
    <t>Sản phẩm có ≥ 2 phiên bản.</t>
  </si>
  <si>
    <t>1. Chọn màu/dung lượng khác.</t>
  </si>
  <si>
    <t>Giá và tồn kho đổi theo phiên bản.</t>
  </si>
  <si>
    <t>PH2-09</t>
  </si>
  <si>
    <t>Ảnh và các tab thông tin</t>
  </si>
  <si>
    <t>1. Phóng to ảnh.
2. Mở tab thông số, bảo hành, đánh giá.</t>
  </si>
  <si>
    <t>Ảnh phóng to được; các tab hiển thị nội dung.</t>
  </si>
  <si>
    <t>PH2-10</t>
  </si>
  <si>
    <t>Thêm vào giỏ khi chưa đăng nhập</t>
  </si>
  <si>
    <t>1. Bấm Thêm vào giỏ.</t>
  </si>
  <si>
    <t>Yêu cầu đăng nhập.</t>
  </si>
  <si>
    <t>PH2-11</t>
  </si>
  <si>
    <t>Tìm kiếm</t>
  </si>
  <si>
    <t>Tìm theo từ khóa trên header</t>
  </si>
  <si>
    <t>1. Gõ 'iphone' vào ô tìm kiếm, Enter.</t>
  </si>
  <si>
    <t>iphone</t>
  </si>
  <si>
    <t>Trang /search?q=iphone có kết quả là iPhone.</t>
  </si>
  <si>
    <t>PH2-12</t>
  </si>
  <si>
    <t>Tìm từ khóa tiếng Việt có dấu</t>
  </si>
  <si>
    <t>1. Tìm 'tai nghe'.</t>
  </si>
  <si>
    <t>tai nghe</t>
  </si>
  <si>
    <t>Có kết quả là tai nghe.</t>
  </si>
  <si>
    <t>PH2-13</t>
  </si>
  <si>
    <t>Tìm từ khóa không tồn tại</t>
  </si>
  <si>
    <t>1. Tìm 'xyzabc123'.</t>
  </si>
  <si>
    <t>xyzabc123</t>
  </si>
  <si>
    <t>Thông báo không có kết quả, không lỗi.</t>
  </si>
  <si>
    <t>PH2-14</t>
  </si>
  <si>
    <t>Tìm kiếm ảnh</t>
  </si>
  <si>
    <t>Tìm bằng ảnh</t>
  </si>
  <si>
    <t>Đã build chỉ mục ảnh; search-service chạy.</t>
  </si>
  <si>
    <t>1. Bấm biểu tượng máy ảnh trên header.
2. Tải ảnh một chiếc điện thoại.</t>
  </si>
  <si>
    <t>Ảnh điện thoại JPG</t>
  </si>
  <si>
    <t>Chuyển /search?imageSearch=true, kết quả là sản phẩm giống ảnh.</t>
  </si>
  <si>
    <t>PH2-15</t>
  </si>
  <si>
    <t>Tìm bằng file không phải ảnh</t>
  </si>
  <si>
    <t>1. Tải lên file .txt hoặc .pdf ở chức năng tìm bằng ảnh.</t>
  </si>
  <si>
    <t>file.txt</t>
  </si>
  <si>
    <t>Báo lỗi định dạng; API trả 400, không treo trang.</t>
  </si>
  <si>
    <t>PH2-16</t>
  </si>
  <si>
    <t>Tìm kiếm ngữ nghĩa</t>
  </si>
  <si>
    <t>Tìm kiếm lai qua Swagger</t>
  </si>
  <si>
    <t>search-service chạy.</t>
  </si>
  <si>
    <t>1. http://localhost:8001/docs → GET /api/v1/search, q = 'tai nghe chống ồn' → Execute.</t>
  </si>
  <si>
    <t>tai nghe chống ồn</t>
  </si>
  <si>
    <t>Trả danh sách sản phẩm liên quan (kết hợp BM25 + vector + RRF).</t>
  </si>
  <si>
    <t>PH2-17</t>
  </si>
  <si>
    <t>Gợi ý từ khóa</t>
  </si>
  <si>
    <t>1. Swagger 8001 → GET /api/v1/search/suggest?q=ip.</t>
  </si>
  <si>
    <t>ip</t>
  </si>
  <si>
    <t>Trả danh sách gợi ý từ khóa.</t>
  </si>
  <si>
    <t>PH2-18</t>
  </si>
  <si>
    <t>Sản phẩm tương tự</t>
  </si>
  <si>
    <t>Đã build chỉ mục.</t>
  </si>
  <si>
    <t>1. Swagger 8001 → GET /api/v1/search/similar/{product_id}.</t>
  </si>
  <si>
    <t>product_id = 1</t>
  </si>
  <si>
    <t>Trả danh sách sản phẩm tương tự.</t>
  </si>
  <si>
    <t>PH2-19</t>
  </si>
  <si>
    <t>Yêu thích</t>
  </si>
  <si>
    <t>Thêm và bỏ yêu thích</t>
  </si>
  <si>
    <t>1. Bấm tim trên trang sản phẩm.
2. Mở /wishlist.
3. Bỏ tim.</t>
  </si>
  <si>
    <t>Sản phẩm xuất hiện rồi biến mất khỏi danh sách yêu thích.</t>
  </si>
  <si>
    <t>PH2-20</t>
  </si>
  <si>
    <t>Đánh giá</t>
  </si>
  <si>
    <t>Đánh giá sản phẩm đã nhận</t>
  </si>
  <si>
    <t>Có đơn DELIVERED chứa sản phẩm (PH3-09).</t>
  </si>
  <si>
    <t>1. Mở sản phẩm → viết đánh giá, chọn sao.
2. Gửi.</t>
  </si>
  <si>
    <t>5 sao + nội dung</t>
  </si>
  <si>
    <t>Gửi thành công, đánh giá hiển thị.</t>
  </si>
  <si>
    <t>PH2-21</t>
  </si>
  <si>
    <t>Đánh giá sản phẩm chưa mua</t>
  </si>
  <si>
    <t>Chưa mua sản phẩm.</t>
  </si>
  <si>
    <t>1. Thử viết đánh giá.</t>
  </si>
  <si>
    <t>Bị chặn, báo chỉ đánh giá sản phẩm đã mua.</t>
  </si>
  <si>
    <t>Giao diện / F12 → Network.</t>
  </si>
  <si>
    <t>PH2-22</t>
  </si>
  <si>
    <t>Đánh giá lần 2 cho cùng sản phẩm, cùng đơn</t>
  </si>
  <si>
    <t>PH2-20 đạt.</t>
  </si>
  <si>
    <t>1. Viết đánh giá thêm lần nữa cho cùng sản phẩm của cùng đơn.</t>
  </si>
  <si>
    <t>Bị chặn.</t>
  </si>
  <si>
    <t>PH2-23</t>
  </si>
  <si>
    <t>Admin trả lời đánh giá</t>
  </si>
  <si>
    <t>Có đánh giá.</t>
  </si>
  <si>
    <t>1. Tab Reviews → trả lời.</t>
  </si>
  <si>
    <t>Câu trả lời hiển thị dưới đánh giá ở trang sản phẩm.</t>
  </si>
  <si>
    <t>Giao diện khách.</t>
  </si>
  <si>
    <t>PH2-24</t>
  </si>
  <si>
    <t>Quản trị danh mục</t>
  </si>
  <si>
    <t>Thêm danh mục con và thuộc tính</t>
  </si>
  <si>
    <t>1. Tab Categories → thêm danh mục con.
2. Thêm thuộc tính.</t>
  </si>
  <si>
    <t>Danh mục mới hiện ở /category.</t>
  </si>
  <si>
    <t>PH2-25</t>
  </si>
  <si>
    <t>Quản trị thương hiệu</t>
  </si>
  <si>
    <t>Thêm và sửa thương hiệu</t>
  </si>
  <si>
    <t>1. Tab Brand → thêm, rồi sửa.</t>
  </si>
  <si>
    <t>Thương hiệu được lưu và hiển thị.</t>
  </si>
  <si>
    <t>PH2-26</t>
  </si>
  <si>
    <t>Quản trị sản phẩm</t>
  </si>
  <si>
    <t>Tạo sản phẩm 2 phiên bản kèm ảnh</t>
  </si>
  <si>
    <t>1. Tab Add Products → nhập thông tin, 2 phiên bản, tải ảnh.
2. Lưu.
3. Tìm sản phẩm ở ô tìm kiếm khách.</t>
  </si>
  <si>
    <t>Lưu thành công; sản phẩm hiện ở trang khách và tìm thấy bằng ô tìm kiếm.</t>
  </si>
  <si>
    <t>MinIO có ảnh; ES có document mới.</t>
  </si>
  <si>
    <t>PH2-27</t>
  </si>
  <si>
    <t>Tạo sản phẩm thiếu tên hoặc slug</t>
  </si>
  <si>
    <t>1. Để trống tên (hoặc slug), bấm lưu.</t>
  </si>
  <si>
    <t>Báo lỗi bắt buộc nhập, không lưu.</t>
  </si>
  <si>
    <t>Giao diện / F12 → Network (400).</t>
  </si>
  <si>
    <t>PH2-28</t>
  </si>
  <si>
    <t>Tạo sản phẩm trùng slug</t>
  </si>
  <si>
    <t>1. Tạo sản phẩm với slug đã tồn tại.</t>
  </si>
  <si>
    <t>Báo lỗi slug đã tồn tại.</t>
  </si>
  <si>
    <t>PH2-29</t>
  </si>
  <si>
    <t>Sửa giá sản phẩm</t>
  </si>
  <si>
    <t>1. Product List → sửa giá một sản phẩm.
2. Mở trang sản phẩm ở tab khách.</t>
  </si>
  <si>
    <t>Trang khách hiện giá mới (cache đã được xóa).</t>
  </si>
  <si>
    <t>PH2-30</t>
  </si>
  <si>
    <t>Staff tạo, sửa được nhưng không xóa được</t>
  </si>
  <si>
    <t>1. Tạo và sửa một sản phẩm.
2. Tìm nút xóa.</t>
  </si>
  <si>
    <t>Tạo/sửa thành công; nút xóa không hiện (API xóa trả 403).</t>
  </si>
  <si>
    <t>PH2-31</t>
  </si>
  <si>
    <t>Admin xóa sản phẩm</t>
  </si>
  <si>
    <t>Sản phẩm ở PH2-26.</t>
  </si>
  <si>
    <t>1. Product List → xóa sản phẩm test.</t>
  </si>
  <si>
    <t>Sản phẩm biến mất khỏi trang khách và kết quả tìm kiếm.</t>
  </si>
  <si>
    <t>PH3-01</t>
  </si>
  <si>
    <t>PH3 – Giỏ hàng &amp; đơn hàng</t>
  </si>
  <si>
    <t>Giỏ hàng</t>
  </si>
  <si>
    <t>Thêm sản phẩm vào giỏ</t>
  </si>
  <si>
    <t>1. Thêm 1 sản phẩm vào giỏ.
2. Mở /cart.</t>
  </si>
  <si>
    <t>Giỏ hiện đúng sản phẩm, giá; có khối gợi ý mua kèm.</t>
  </si>
  <si>
    <t>PH3-02</t>
  </si>
  <si>
    <t>Đổi số lượng</t>
  </si>
  <si>
    <t>Giỏ có sản phẩm.</t>
  </si>
  <si>
    <t>1. Tăng/giảm số lượng.</t>
  </si>
  <si>
    <t>Tổng tiền cập nhật đúng.</t>
  </si>
  <si>
    <t>PH3-03</t>
  </si>
  <si>
    <t>Xóa sản phẩm khỏi giỏ</t>
  </si>
  <si>
    <t>1. Xóa một dòng trong giỏ.</t>
  </si>
  <si>
    <t>Dòng biến mất, tổng tiền cập nhật.</t>
  </si>
  <si>
    <t>PH3-04</t>
  </si>
  <si>
    <t>Thêm số lượng vượt tồn kho</t>
  </si>
  <si>
    <t>Biết tồn kho của phiên bản.</t>
  </si>
  <si>
    <t>1. Đặt số lượng lớn hơn tồn kho.</t>
  </si>
  <si>
    <t>Tồn + 1</t>
  </si>
  <si>
    <t>Báo không đủ hàng.</t>
  </si>
  <si>
    <t>PH3-05</t>
  </si>
  <si>
    <t>Checkout</t>
  </si>
  <si>
    <t>Tính tiền ở trang checkout</t>
  </si>
  <si>
    <t>Giỏ có sản phẩm; có địa chỉ.</t>
  </si>
  <si>
    <t>1. Mở /checkout, chọn địa chỉ, chọn COD.</t>
  </si>
  <si>
    <t>Phí vận chuyển 30.000đ; VAT 10% tính trên (tạm tính − giảm voucher − giảm điểm); tổng tiền do server tính.</t>
  </si>
  <si>
    <t>Đối chiếu số trên giao diện với công thức.</t>
  </si>
  <si>
    <t>PH3-06</t>
  </si>
  <si>
    <t>Đặt hàng</t>
  </si>
  <si>
    <t>Đặt đơn COD</t>
  </si>
  <si>
    <t>PH3-05.</t>
  </si>
  <si>
    <t>1. Bấm đặt hàng.</t>
  </si>
  <si>
    <t>Chuyển sang trang đơn; vài giây sau trạng thái 'Chờ thanh toán' rồi 'Đã xác nhận'.</t>
  </si>
  <si>
    <t>MariaDB `ecommerce_order_db.orders.status` = CONFIRMED.</t>
  </si>
  <si>
    <t>PH3-07</t>
  </si>
  <si>
    <t>Tồn kho giảm sau khi đặt</t>
  </si>
  <si>
    <t>PH3-06; đã ghi lại tồn kho trước khi đặt.</t>
  </si>
  <si>
    <t>1. Admin → Quản Lý Tồn Kho → xem sản phẩm vừa mua.</t>
  </si>
  <si>
    <t>Tồn kho giảm đúng số lượng đã mua.</t>
  </si>
  <si>
    <t>Lịch sử giao dịch kho có dòng DEDUCT.</t>
  </si>
  <si>
    <t>PH3-08</t>
  </si>
  <si>
    <t>Vận chuyển</t>
  </si>
  <si>
    <t>Admin xác nhận giao hàng</t>
  </si>
  <si>
    <t>Đơn CONFIRMED.</t>
  </si>
  <si>
    <t>1. Order Management → mở đơn → Xác Nhận Giao Hàng.</t>
  </si>
  <si>
    <t>Trạng thái SHIPPED, có mã vận đơn MOCK-GHTK-...</t>
  </si>
  <si>
    <t>PH3-09</t>
  </si>
  <si>
    <t>Admin xác nhận đã giao</t>
  </si>
  <si>
    <t>Đơn SHIPPED.</t>
  </si>
  <si>
    <t>1. Bấm Đã Giao Thành Công.</t>
  </si>
  <si>
    <t>Trạng thái DELIVERED; thanh toán COD chuyển SUCCESS.</t>
  </si>
  <si>
    <t>Tab Transaction.</t>
  </si>
  <si>
    <t>PH3-10</t>
  </si>
  <si>
    <t>Đơn hàng</t>
  </si>
  <si>
    <t>Khách xem danh sách và chi tiết đơn</t>
  </si>
  <si>
    <t>1. /profile?tab=orders.
2. Mở /order/{id}.</t>
  </si>
  <si>
    <t>Thấy đơn và dòng thời gian trạng thái.</t>
  </si>
  <si>
    <t>PH3-11</t>
  </si>
  <si>
    <t>Bảo hành</t>
  </si>
  <si>
    <t>Tab bảo hành</t>
  </si>
  <si>
    <t>Đơn DELIVERED, sản phẩm có bảo hành &gt; 0.</t>
  </si>
  <si>
    <t>1. /profile?tab=warranty.</t>
  </si>
  <si>
    <t>Có sản phẩm vừa nhận cùng hạn bảo hành.</t>
  </si>
  <si>
    <t>PH3-12</t>
  </si>
  <si>
    <t>Hủy đơn</t>
  </si>
  <si>
    <t>Khách hủy đơn đã xác nhận</t>
  </si>
  <si>
    <t>Đơn COD CONFIRMED, đặt &lt; 2 giờ.</t>
  </si>
  <si>
    <t>1. Mở đơn → Hủy đơn → xác nhận.</t>
  </si>
  <si>
    <t>Đơn CANCELLED; tồn kho được trả lại.</t>
  </si>
  <si>
    <t>Lịch sử kho có dòng RELEASE.</t>
  </si>
  <si>
    <t>PH3-13</t>
  </si>
  <si>
    <t>Khách hủy đơn đang chờ thanh toán</t>
  </si>
  <si>
    <t>Đơn VNPay ở AWAITING_PAYMENT.</t>
  </si>
  <si>
    <t>1. Mở đơn → Hủy đơn.</t>
  </si>
  <si>
    <t>DB và lịch sử kho.</t>
  </si>
  <si>
    <t>PH3-14</t>
  </si>
  <si>
    <t>Đơn đang giao không cho khách hủy</t>
  </si>
  <si>
    <t>customer, admin</t>
  </si>
  <si>
    <t>1. Khách mở đơn.
2. Admin mở đơn.</t>
  </si>
  <si>
    <t>Khách không thấy nút hủy; admin có nút Hủy Giao Hàng.</t>
  </si>
  <si>
    <t>PH3-15</t>
  </si>
  <si>
    <t>Trạng thái cuối không đổi được</t>
  </si>
  <si>
    <t>Đơn DELIVERED hoặc CANCELLED.</t>
  </si>
  <si>
    <t>1. Thử đổi trạng thái đơn.</t>
  </si>
  <si>
    <t>Không có thao tác đổi trạng thái / bị từ chối.</t>
  </si>
  <si>
    <t>PH3-16</t>
  </si>
  <si>
    <t>Quá 2 giờ thì khách hết nút hủy</t>
  </si>
  <si>
    <t>Đơn CONFIRMED đặt &gt; 2 giờ.</t>
  </si>
  <si>
    <t>1. Mở chi tiết đơn.</t>
  </si>
  <si>
    <t>Nút hủy không còn hiển thị.</t>
  </si>
  <si>
    <t>Giao diện. Lưu ý: giới hạn 2 giờ chỉ có ở FE.</t>
  </si>
  <si>
    <t>PH3-17</t>
  </si>
  <si>
    <t>Đặt số lượng vượt tồn kho ở checkout</t>
  </si>
  <si>
    <t>1. Đặt hàng với số lượng &gt; tồn kho.</t>
  </si>
  <si>
    <t>Bị từ chối, báo không đủ hàng (HTTP 400).</t>
  </si>
  <si>
    <t>PH3-18</t>
  </si>
  <si>
    <t>Bấm đặt hàng 2 lần liên tiếp</t>
  </si>
  <si>
    <t>1. Bấm đặt hàng 2 lần thật nhanh.</t>
  </si>
  <si>
    <t>Chỉ tạo 1 đơn (Idempotency-Key).</t>
  </si>
  <si>
    <t>Danh sách đơn; bảng orders.</t>
  </si>
  <si>
    <t>PH3-19</t>
  </si>
  <si>
    <t>Đơn bỏ dở</t>
  </si>
  <si>
    <t>Tự hủy đơn chờ thanh toán quá 30 phút</t>
  </si>
  <si>
    <t>1. Không thanh toán, chờ &gt; 30 phút.</t>
  </si>
  <si>
    <t>Đơn tự CANCELLED, tồn kho được trả lại.</t>
  </si>
  <si>
    <t>PH3-20</t>
  </si>
  <si>
    <t>Checkout khi giỏ trống</t>
  </si>
  <si>
    <t>Giỏ trống.</t>
  </si>
  <si>
    <t>1. Mở /checkout.</t>
  </si>
  <si>
    <t>Không cho đặt hàng, báo giỏ trống.</t>
  </si>
  <si>
    <t>PH3-21</t>
  </si>
  <si>
    <t>Checkout thiếu địa chỉ hoặc SĐT</t>
  </si>
  <si>
    <t>1. Bỏ trống địa chỉ/SĐT, bấm đặt hàng.</t>
  </si>
  <si>
    <t>Báo lỗi bắt buộc nhập.</t>
  </si>
  <si>
    <t>PH3-22</t>
  </si>
  <si>
    <t>Hai khách cùng mua món cuối cùng</t>
  </si>
  <si>
    <t>2 tài khoản customer</t>
  </si>
  <si>
    <t>Phiên bản còn đúng 1 sản phẩm.</t>
  </si>
  <si>
    <t>1. Hai trình duyệt cùng thêm vào giỏ.
2. Bấm đặt hàng gần như cùng lúc.</t>
  </si>
  <si>
    <t>Chỉ 1 đơn thành công; người còn lại báo hết hàng.</t>
  </si>
  <si>
    <t>Bảng orders; tồn kho không âm.</t>
  </si>
  <si>
    <t>PH4-01</t>
  </si>
  <si>
    <t>PH4 – Tồn kho</t>
  </si>
  <si>
    <t>Tồn kho</t>
  </si>
  <si>
    <t>Danh sách sắp hết hàng</t>
  </si>
  <si>
    <t>1. Quản Lý Tồn Kho → xem danh sách sắp hết.</t>
  </si>
  <si>
    <t>Hiện các phiên bản có tồn ≤ ngưỡng (mặc định 10).</t>
  </si>
  <si>
    <t>PH4-02</t>
  </si>
  <si>
    <t>Nhập kho</t>
  </si>
  <si>
    <t>Nhập thêm hàng</t>
  </si>
  <si>
    <t>1. Chọn một phiên bản → Nhập thêm hàng.</t>
  </si>
  <si>
    <t>Số lượng 5</t>
  </si>
  <si>
    <t>Tồn kho tăng 5; trang sản phẩm khách thấy còn hàng.</t>
  </si>
  <si>
    <t>Lịch sử kho có dòng RESTOCK.</t>
  </si>
  <si>
    <t>PH4-03</t>
  </si>
  <si>
    <t>Nhập số lượng 0 hoặc âm</t>
  </si>
  <si>
    <t>1. Nhập kho với số lượng 0, rồi −5.</t>
  </si>
  <si>
    <t>0, −5</t>
  </si>
  <si>
    <t>Bị từ chối, báo lỗi số lượng.</t>
  </si>
  <si>
    <t>PH4-04</t>
  </si>
  <si>
    <t>Staff nhập kho</t>
  </si>
  <si>
    <t>1. Nhập thêm hàng cho một phiên bản.</t>
  </si>
  <si>
    <t>Thành công.</t>
  </si>
  <si>
    <t>Lịch sử kho.</t>
  </si>
  <si>
    <t>PH4-05</t>
  </si>
  <si>
    <t>Lịch sử</t>
  </si>
  <si>
    <t>Lịch sử giao dịch kho</t>
  </si>
  <si>
    <t>Đã chạy PH3, PH4-02.</t>
  </si>
  <si>
    <t>1. Xem lịch sử giao dịch của sản phẩm.</t>
  </si>
  <si>
    <t>Có các dòng DEDUCT, RELEASE, RESTOCK đúng thứ tự thời gian.</t>
  </si>
  <si>
    <t>PH4-06</t>
  </si>
  <si>
    <t>Đồng bộ</t>
  </si>
  <si>
    <t>Đồng bộ tồn kho sang Redis</t>
  </si>
  <si>
    <t>1. Bấm Đồng bộ Redis.
2. Chạy `docker exec infra-redis redis-cli GET product:stock:{pid}:{vid}`.</t>
  </si>
  <si>
    <t>Số trong Redis khớp số trong DB.</t>
  </si>
  <si>
    <t>So sánh redis-cli với giao diện tồn kho.</t>
  </si>
  <si>
    <t>PH5-01</t>
  </si>
  <si>
    <t>PH5 – Thanh toán</t>
  </si>
  <si>
    <t>VNPay</t>
  </si>
  <si>
    <t>Chuyển sang cổng VNPay</t>
  </si>
  <si>
    <t>1. /checkout chọn VNPay → đặt hàng.</t>
  </si>
  <si>
    <t>Chuyển sang sandbox.vnpayment.vn.</t>
  </si>
  <si>
    <t>PH5-02</t>
  </si>
  <si>
    <t>Thanh toán VNPay thành công</t>
  </si>
  <si>
    <t>PH5-01.</t>
  </si>
  <si>
    <t>1. Chọn ngân hàng NCB, nhập thẻ test, OTP.</t>
  </si>
  <si>
    <t>NCB · 9704198526191432198 · NGUYEN VAN A · 07/15 · OTP 123456</t>
  </si>
  <si>
    <t>Quay về /order/{id}?paymentStatus=00, đơn CONFIRMED.</t>
  </si>
  <si>
    <t>DB orders; tab Transaction.</t>
  </si>
  <si>
    <t>PH5-03</t>
  </si>
  <si>
    <t>Hủy giao dịch trên VNPay</t>
  </si>
  <si>
    <t>1. Đặt đơn VNPay.
2. Trên trang VNPay bấm Hủy giao dịch.</t>
  </si>
  <si>
    <t>Đơn CANCELLED, tồn kho được trả lại.</t>
  </si>
  <si>
    <t>PH5-04</t>
  </si>
  <si>
    <t>Không thanh toán trong 15 phút</t>
  </si>
  <si>
    <t>1. Đặt đơn VNPay, không thanh toán.
2. Chờ &gt; 15 phút.</t>
  </si>
  <si>
    <t>Giao dịch hết hạn (EXPIRED); đơn bị hủy theo job dọn đơn.</t>
  </si>
  <si>
    <t>Tab Transaction; DB.</t>
  </si>
  <si>
    <t>PH5-05</t>
  </si>
  <si>
    <t>Callback VNPay bị sửa tham số</t>
  </si>
  <si>
    <t>Bảo mật</t>
  </si>
  <si>
    <t>Có URL callback từ PH5-02.</t>
  </si>
  <si>
    <t>1. Sửa giá trị `vnp_Amount` trong URL callback rồi gửi lại.</t>
  </si>
  <si>
    <t>Không xác nhận đơn; chữ ký bị đánh giá là không hợp lệ.</t>
  </si>
  <si>
    <t>Bảng webhook_logs: signature_valid = false.</t>
  </si>
  <si>
    <t>PH5-06</t>
  </si>
  <si>
    <t>Quản trị</t>
  </si>
  <si>
    <t>Xem danh sách giao dịch</t>
  </si>
  <si>
    <t>1. Tab Transaction.</t>
  </si>
  <si>
    <t>Thấy các giao dịch COD/VNPay và trạng thái.</t>
  </si>
  <si>
    <t>PH5-07</t>
  </si>
  <si>
    <t>Hoàn tiền</t>
  </si>
  <si>
    <t>Admin hoàn tiền toàn phần</t>
  </si>
  <si>
    <t>Có giao dịch VNPay SUCCESS.</t>
  </si>
  <si>
    <t>1. Chọn giao dịch → hoàn tiền toàn bộ.</t>
  </si>
  <si>
    <t>Tạo bản ghi hoàn tiền; giao dịch chuyển REFUNDED (hoặc PENDING_MANUAL nếu sandbox từ chối).</t>
  </si>
  <si>
    <t>Tab Transaction; bảng refunds.</t>
  </si>
  <si>
    <t>PH5-08</t>
  </si>
  <si>
    <t>Admin hoàn tiền một phần</t>
  </si>
  <si>
    <t>1. Hoàn một phần số tiền.</t>
  </si>
  <si>
    <t>50% số tiền</t>
  </si>
  <si>
    <t>Giao dịch chuyển PARTIALLY_REFUNDED.</t>
  </si>
  <si>
    <t>PH5-09</t>
  </si>
  <si>
    <t>Staff không được hoàn tiền</t>
  </si>
  <si>
    <t>1. Thử hoàn tiền một giao dịch.</t>
  </si>
  <si>
    <t>Bị từ chối (HTTP 403).</t>
  </si>
  <si>
    <t>PH5-10</t>
  </si>
  <si>
    <t>Tự hoàn tiền khi hủy đơn đã trả VNPay</t>
  </si>
  <si>
    <t>Đơn VNPay CONFIRMED.</t>
  </si>
  <si>
    <t>1. Khách hủy đơn.
2. Chờ 1–2 phút.</t>
  </si>
  <si>
    <t>Giao dịch chuyển REFUND_PENDING rồi REFUNDED (hoặc PENDING_MANUAL).</t>
  </si>
  <si>
    <t>PH5-11</t>
  </si>
  <si>
    <t>COD</t>
  </si>
  <si>
    <t>COD chỉ thành công khi đã giao</t>
  </si>
  <si>
    <t>Đơn COD CONFIRMED.</t>
  </si>
  <si>
    <t>1. Xem giao dịch COD trước và sau khi đơn DELIVERED.</t>
  </si>
  <si>
    <t>Trước khi giao: chưa SUCCESS; sau khi DELIVERED: SUCCESS.</t>
  </si>
  <si>
    <t>PH6-01</t>
  </si>
  <si>
    <t>PH6 – Khuyến mãi &amp; chiến dịch</t>
  </si>
  <si>
    <t>Trình dựng chiến dịch</t>
  </si>
  <si>
    <t>Mở trình dựng chiến dịch</t>
  </si>
  <si>
    <t>1. Tab Coupon Code → tạo mới.</t>
  </si>
  <si>
    <t>Canvas kéo thả hiện ra.</t>
  </si>
  <si>
    <t>PH6-02</t>
  </si>
  <si>
    <t>Kiểm tra sơ đồ hợp lệ</t>
  </si>
  <si>
    <t>1. Kéo: Trigger Đơn thành công (≥ 100.000đ) → Cộng điểm (100, FIXED) → Phát voucher % (10%, tối đa 50.000đ, hạn 7 ngày) → Kết thúc.
2. Đặt ngân sách, ngày bắt đầu (trước hiện tại), ngày kết thúc (ngày mai), bật Active.
3. Bấm Validate.</t>
  </si>
  <si>
    <t>Báo hợp lệ.</t>
  </si>
  <si>
    <t>PH6-03</t>
  </si>
  <si>
    <t>Kiểm tra sơ đồ thiếu trigger hoặc khối rời</t>
  </si>
  <si>
    <t>1. Tạo sơ đồ không có trigger (hoặc có khối không nối).
2. Validate.</t>
  </si>
  <si>
    <t>Báo không hợp lệ, liệt kê lỗi (code VALIDATION_FAILED).</t>
  </si>
  <si>
    <t>PH6-04</t>
  </si>
  <si>
    <t>Deploy chiến dịch</t>
  </si>
  <si>
    <t>PH6-02 đạt.</t>
  </si>
  <si>
    <t>1. Bấm Deploy.</t>
  </si>
  <si>
    <t>Lưu thành công (đã biên dịch BPMN và deploy lên Camunda).</t>
  </si>
  <si>
    <t>Chiến dịch có trong danh sách.</t>
  </si>
  <si>
    <t>PH6-05</t>
  </si>
  <si>
    <t>Chạy chiến dịch</t>
  </si>
  <si>
    <t>Đơn đủ điều kiện được cộng điểm</t>
  </si>
  <si>
    <t>PH6-04.</t>
  </si>
  <si>
    <t>1. Đặt đơn COD ≥ 100.000đ.
2. Đợi 10–30 giây.
3. /profile?tab=membership.</t>
  </si>
  <si>
    <t>Điểm tăng đúng 100.</t>
  </si>
  <si>
    <t>PH6-06</t>
  </si>
  <si>
    <t>Đơn đủ điều kiện được phát voucher</t>
  </si>
  <si>
    <t>PH6-05.</t>
  </si>
  <si>
    <t>1. /profile?tab=vouchers.</t>
  </si>
  <si>
    <t>Có 1 voucher 10% mới.</t>
  </si>
  <si>
    <t>PH6-07</t>
  </si>
  <si>
    <t>Đơn dưới ngưỡng không kích hoạt</t>
  </si>
  <si>
    <t>1. Đặt đơn &lt; 100.000đ.</t>
  </si>
  <si>
    <t>Không cộng điểm, không phát voucher.</t>
  </si>
  <si>
    <t>PH6-08</t>
  </si>
  <si>
    <t>Voucher</t>
  </si>
  <si>
    <t>Dùng voucher ở checkout</t>
  </si>
  <si>
    <t>Có voucher UNUSED.</t>
  </si>
  <si>
    <t>1. Chọn voucher ở /checkout.
2. Đặt hàng.</t>
  </si>
  <si>
    <t>Giảm đúng 10%, không vượt 50.000đ; voucher chuyển USED khi đơn CONFIRMED.</t>
  </si>
  <si>
    <t>Giao diện; bảng issued_vouchers.</t>
  </si>
  <si>
    <t>PH6-09</t>
  </si>
  <si>
    <t>Hủy đơn VNPay có voucher trước khi xác nhận</t>
  </si>
  <si>
    <t>Có voucher.</t>
  </si>
  <si>
    <t>1. Đặt đơn VNPay có voucher.
2. Hủy giao dịch trên VNPay.</t>
  </si>
  <si>
    <t>Voucher trở lại UNUSED.</t>
  </si>
  <si>
    <t>Giao diện ví voucher.</t>
  </si>
  <si>
    <t>PH6-10</t>
  </si>
  <si>
    <t>Hủy đơn COD có voucher</t>
  </si>
  <si>
    <t>1. Đặt đơn COD có voucher (xác nhận ngay).
2. Hủy đơn.</t>
  </si>
  <si>
    <t>Voucher không được trả lại (đã tính là đã dùng).</t>
  </si>
  <si>
    <t>PH6-11</t>
  </si>
  <si>
    <t>Không áp được 2 voucher cho 1 đơn</t>
  </si>
  <si>
    <t>Có ≥ 2 voucher.</t>
  </si>
  <si>
    <t>1. Thử chọn 2 voucher ở /checkout.</t>
  </si>
  <si>
    <t>Chỉ áp được 1 mã.</t>
  </si>
  <si>
    <t>PH6-12</t>
  </si>
  <si>
    <t>Voucher hết hạn</t>
  </si>
  <si>
    <t>Có voucher đã hết hạn.</t>
  </si>
  <si>
    <t>1. Thử áp voucher hết hạn.</t>
  </si>
  <si>
    <t>Không áp được, báo lỗi.</t>
  </si>
  <si>
    <t>PH6-13</t>
  </si>
  <si>
    <t>Điểm thưởng</t>
  </si>
  <si>
    <t>Dùng điểm ở checkout và hoàn điểm khi hủy</t>
  </si>
  <si>
    <t>Có điểm.</t>
  </si>
  <si>
    <t>1. Dùng điểm ở /checkout.
2. Đặt hàng.
3. Hủy đơn.</t>
  </si>
  <si>
    <t>10 điểm</t>
  </si>
  <si>
    <t>Tổng giảm 10.000đ (1 điểm = 1.000đ); hủy đơn thì điểm được hoàn.</t>
  </si>
  <si>
    <t>Giao diện membership.</t>
  </si>
  <si>
    <t>PH6-14</t>
  </si>
  <si>
    <t>Dùng nhiều điểm hơn số đang có</t>
  </si>
  <si>
    <t>1. Nhập số điểm lớn hơn số dư.</t>
  </si>
  <si>
    <t>Bị chặn, báo không đủ điểm.</t>
  </si>
  <si>
    <t>PH6-15</t>
  </si>
  <si>
    <t>Thống kê</t>
  </si>
  <si>
    <t>Thống kê chiến dịch</t>
  </si>
  <si>
    <t>Chiến dịch đã kích hoạt.</t>
  </si>
  <si>
    <t>1. Thống kê Promotion.</t>
  </si>
  <si>
    <t>Số lần kích hoạt và ngân sách đã dùng tăng.</t>
  </si>
  <si>
    <t>PH6-16</t>
  </si>
  <si>
    <t>Quản lý chiến dịch</t>
  </si>
  <si>
    <t>Tắt chiến dịch</t>
  </si>
  <si>
    <t>1. Toggle tắt chiến dịch.
2. Khách đặt thêm đơn đủ điều kiện.</t>
  </si>
  <si>
    <t>Không phát thêm điểm/voucher.</t>
  </si>
  <si>
    <t>PH6-17</t>
  </si>
  <si>
    <t>Hết ngân sách</t>
  </si>
  <si>
    <t>1. Tạo chiến dịch ngân sách nhỏ (đủ 1 voucher).
2. Đặt 2 đơn đủ điều kiện.</t>
  </si>
  <si>
    <t>Chỉ phát cho lần đầu; lần sau dừng do hết ngân sách.</t>
  </si>
  <si>
    <t>Ví voucher; thống kê.</t>
  </si>
  <si>
    <t>PH6-18</t>
  </si>
  <si>
    <t>Staff tạo, sửa, deploy chiến dịch</t>
  </si>
  <si>
    <t>1. Tạo, sửa, deploy một chiến dịch.</t>
  </si>
  <si>
    <t>Danh sách chiến dịch.</t>
  </si>
  <si>
    <t>PH6-19</t>
  </si>
  <si>
    <t>Xóa chiến dịch</t>
  </si>
  <si>
    <t>admin, staff</t>
  </si>
  <si>
    <t>1. Staff thử xóa chiến dịch.
2. Admin xóa chiến dịch.</t>
  </si>
  <si>
    <t>Staff bị từ chối (403); admin xóa thành công.</t>
  </si>
  <si>
    <t>PH6-20</t>
  </si>
  <si>
    <t>Trigger khác</t>
  </si>
  <si>
    <t>Trigger Người dùng mới</t>
  </si>
  <si>
    <t>Chiến dịch NewUser → voucher freeship đang bật.</t>
  </si>
  <si>
    <t>1. Đăng ký tài khoản mới.
2. Xem ví voucher.</t>
  </si>
  <si>
    <t>Có voucher freeship.</t>
  </si>
  <si>
    <t>PH6-21</t>
  </si>
  <si>
    <t>Trigger Đánh giá sản phẩm</t>
  </si>
  <si>
    <t>Chiến dịch ReviewProduct → cộng điểm đang bật.</t>
  </si>
  <si>
    <t>1. Viết đánh giá cho sản phẩm đã nhận.</t>
  </si>
  <si>
    <t>Điểm tăng theo cấu hình.</t>
  </si>
  <si>
    <t>PH6-22</t>
  </si>
  <si>
    <t>Điều kiện</t>
  </si>
  <si>
    <t>Điều kiện hạng thành viên</t>
  </si>
  <si>
    <t>Chiến dịch có điều kiện hạng = GOLD.</t>
  </si>
  <si>
    <t>1. Khách MEMBER đặt đơn → không nhận.
2. Admin đổi khách sang GOLD.
3. Đặt đơn lại.</t>
  </si>
  <si>
    <t>Chỉ nhận thưởng khi là GOLD.</t>
  </si>
  <si>
    <t>PH6-23</t>
  </si>
  <si>
    <t>Hành động</t>
  </si>
  <si>
    <t>Hành động gửi email</t>
  </si>
  <si>
    <t>Chiến dịch có hành động Gửi email; email tài khoản là email thật của bạn.</t>
  </si>
  <si>
    <t>1. Kích hoạt chiến dịch.</t>
  </si>
  <si>
    <t>Nhận email theo mẫu đã chọn.</t>
  </si>
  <si>
    <t>Hộp thư / log notification.</t>
  </si>
  <si>
    <t>PH6-24</t>
  </si>
  <si>
    <t>Chống trùng</t>
  </si>
  <si>
    <t>Mỗi sự kiện chỉ chạy một lần</t>
  </si>
  <si>
    <t>Đã chạy PH6-05.</t>
  </si>
  <si>
    <t>1. Truy vấn `SELECT idempotency_key, COUNT(*) FROM ecommerce_promotion_db.executed_actions GROUP BY 1 HAVING COUNT(*) &gt; 1`.</t>
  </si>
  <si>
    <t>Không có dòng nào (không có hành động bị chạy trùng).</t>
  </si>
  <si>
    <t>Kết quả SQL.</t>
  </si>
  <si>
    <t>PH7-01</t>
  </si>
  <si>
    <t>PH7 – Thông báo email</t>
  </si>
  <si>
    <t>Email đơn hàng</t>
  </si>
  <si>
    <t>Email đơn đã xác nhận</t>
  </si>
  <si>
    <t>Email tài khoản là email thật của bạn.</t>
  </si>
  <si>
    <t>1. Đặt đơn, chờ CONFIRMED.</t>
  </si>
  <si>
    <t>Nhận email 'Đơn hàng đã xác nhận' trong vài giây đến 1 phút.</t>
  </si>
  <si>
    <t>Hộp thư / log notification-service.</t>
  </si>
  <si>
    <t>PH7-02</t>
  </si>
  <si>
    <t>Email thanh toán</t>
  </si>
  <si>
    <t>Email thanh toán VNPay thành công / thất bại</t>
  </si>
  <si>
    <t>1. Thanh toán VNPay thành công.
2. Đặt đơn khác, hủy giao dịch.</t>
  </si>
  <si>
    <t>Nhận email thanh toán tương ứng cho mỗi trường hợp.</t>
  </si>
  <si>
    <t>Hộp thư / log.</t>
  </si>
  <si>
    <t>PH7-03</t>
  </si>
  <si>
    <t>Email đang giao</t>
  </si>
  <si>
    <t>1. Admin xác nhận giao hàng.</t>
  </si>
  <si>
    <t>Nhận email 'Đơn hàng đang giao'.</t>
  </si>
  <si>
    <t>PH7-04</t>
  </si>
  <si>
    <t>Email đã giao</t>
  </si>
  <si>
    <t>1. Admin bấm đã giao.</t>
  </si>
  <si>
    <t>Nhận email 'Đơn hàng đã giao'.</t>
  </si>
  <si>
    <t>PH7-05</t>
  </si>
  <si>
    <t>Email đơn bị hủy</t>
  </si>
  <si>
    <t>1. Hủy một đơn.</t>
  </si>
  <si>
    <t>Nhận email 'Đơn hàng đã hủy'.</t>
  </si>
  <si>
    <t>PH7-06</t>
  </si>
  <si>
    <t>Cấu hình</t>
  </si>
  <si>
    <t>Không có cấu hình SMTP</t>
  </si>
  <si>
    <t>BE/.env không có MAIL_USERNAME/MAIL_PASSWORD.</t>
  </si>
  <si>
    <t>1. Kích hoạt một sự kiện gửi email.</t>
  </si>
  <si>
    <t>Email không gửi thật nhưng được ghi vào log, service không dừng.</t>
  </si>
  <si>
    <t>Log notification-service.</t>
  </si>
  <si>
    <t>PH8-01</t>
  </si>
  <si>
    <t>PH8 – Hành vi &amp; gợi ý</t>
  </si>
  <si>
    <t>Theo dõi hành vi</t>
  </si>
  <si>
    <t>Ghi nhận xem sản phẩm</t>
  </si>
  <si>
    <t>Đã bật service AI tương ứng (8002/8003/8004). Cần forecast-service.</t>
  </si>
  <si>
    <t>1. Mở một trang sản phẩm.</t>
  </si>
  <si>
    <t>Ghi sự kiện VIEW (và PAGE_DWELL, SCROLL_DEPTH).</t>
  </si>
  <si>
    <t>SQL: SELECT * FROM ecommerce_order_db.user_events ORDER BY created_at DESC LIMIT 30.</t>
  </si>
  <si>
    <t>PH8-02</t>
  </si>
  <si>
    <t>Ghi nhận thêm vào giỏ</t>
  </si>
  <si>
    <t>1. Thêm sản phẩm vào giỏ.</t>
  </si>
  <si>
    <t>Ghi sự kiện ADD_TO_CART.</t>
  </si>
  <si>
    <t>Bảng user_events.</t>
  </si>
  <si>
    <t>PH8-03</t>
  </si>
  <si>
    <t>Ghi nhận tìm kiếm, lọc, sắp xếp</t>
  </si>
  <si>
    <t>1. Tìm kiếm, lọc, đổi sắp xếp.</t>
  </si>
  <si>
    <t>Ghi SEARCH, FILTER_APPLIED, SORT_APPLIED, IMPRESSION.</t>
  </si>
  <si>
    <t>PH8-04</t>
  </si>
  <si>
    <t>Ghi nhận giỏ hàng và checkout</t>
  </si>
  <si>
    <t>1. Vào giỏ, mở checkout, áp voucher.</t>
  </si>
  <si>
    <t>Ghi VIEW_CART, BEGIN_CHECKOUT, VIEW_SHIPPING_FEE, COUPON_APPLIED/COUPON_FAILED.</t>
  </si>
  <si>
    <t>PH8-05</t>
  </si>
  <si>
    <t>Ghi nhận mua hàng</t>
  </si>
  <si>
    <t>Ghi PURCHASE, thời gian theo UTC.</t>
  </si>
  <si>
    <t>PH8-06</t>
  </si>
  <si>
    <t>Gửi sự kiện theo lô 10 giây</t>
  </si>
  <si>
    <t>1. F12 → Network, lọc 'behavior'.
2. Thao tác vài trang, chờ 10 giây.</t>
  </si>
  <si>
    <t>Có request POST /api/v1/public/behavior/events trả {received, accepted}.</t>
  </si>
  <si>
    <t>PH8-07</t>
  </si>
  <si>
    <t>Ghi nhận hành vi khách chưa đăng nhập</t>
  </si>
  <si>
    <t>1. Xem vài sản phẩm khi chưa đăng nhập.</t>
  </si>
  <si>
    <t>Sự kiện được ghi theo session_id.</t>
  </si>
  <si>
    <t>Bảng user_events (user_id rỗng, có session_id).</t>
  </si>
  <si>
    <t>PH8-08</t>
  </si>
  <si>
    <t>Gợi ý</t>
  </si>
  <si>
    <t>Gợi ý cho tài khoản mới</t>
  </si>
  <si>
    <t>Tài khoản mới</t>
  </si>
  <si>
    <t>Đã bật service AI tương ứng (8002/8003/8004). Cần recs-service.</t>
  </si>
  <si>
    <t>1. Trang chủ → tab GỢI Ý CHO BẠN.</t>
  </si>
  <si>
    <t>Hiện danh sách phổ biến/xu hướng.</t>
  </si>
  <si>
    <t>Giao diện; header X-Recs-Strategy.</t>
  </si>
  <si>
    <t>PH8-09</t>
  </si>
  <si>
    <t>Tab xem gần đây</t>
  </si>
  <si>
    <t>1. Xem 5–10 sản phẩm cùng loại.
2. Quay lại trang chủ → tab XEM GẦN ĐÂY.</t>
  </si>
  <si>
    <t>Hiện đúng các sản phẩm vừa xem; GỢI Ý CHO BẠN thay đổi theo.</t>
  </si>
  <si>
    <t>PH8-10</t>
  </si>
  <si>
    <t>Tab xu hướng</t>
  </si>
  <si>
    <t>1. Trang chủ → tab XU HƯỚNG MUA SẮM.</t>
  </si>
  <si>
    <t>Hiện sản phẩm được xem/mua nhiều.</t>
  </si>
  <si>
    <t>PH8-11</t>
  </si>
  <si>
    <t>Header chiến lược gợi ý</t>
  </si>
  <si>
    <t>1. F12 → Network → request recommendations → Headers.</t>
  </si>
  <si>
    <t>Có header X-Recs-Strategy cho biết chiến lược (SASRec hay dự phòng).</t>
  </si>
  <si>
    <t>PH8-12</t>
  </si>
  <si>
    <t>Health của recs-service</t>
  </si>
  <si>
    <t>1. Mở http://localhost:8003/health.</t>
  </si>
  <si>
    <t>Trả trạng thái model SASRec và kết quả cổng đánh giá.</t>
  </si>
  <si>
    <t>PH8-13</t>
  </si>
  <si>
    <t>Trang chủ khi recs-service tắt</t>
  </si>
  <si>
    <t>recs-service không chạy.</t>
  </si>
  <si>
    <t>1. Mở trang chủ.</t>
  </si>
  <si>
    <t>Trang vẫn hiển thị bình thường; khối gợi ý trống hoặc báo lỗi nhẹ, không vỡ trang.</t>
  </si>
  <si>
    <t>Giao diện; F12 → Console.</t>
  </si>
  <si>
    <t>PH9-01</t>
  </si>
  <si>
    <t>PH9 – Phân tích AI &amp; churn</t>
  </si>
  <si>
    <t>Huấn luyện</t>
  </si>
  <si>
    <t>Huấn luyện model churn</t>
  </si>
  <si>
    <t>Đã bật service AI tương ứng (8002/8003/8004). Đã chạy tools/data-seed.</t>
  </si>
  <si>
    <t>1. http://localhost:8004/docs → POST /api/v1/models/train → Execute.</t>
  </si>
  <si>
    <t>Huấn luyện xong (~15 giây), trả AUC từng fold.</t>
  </si>
  <si>
    <t>PH9-02</t>
  </si>
  <si>
    <t>Thẻ mô tả model</t>
  </si>
  <si>
    <t>PH9-01.</t>
  </si>
  <si>
    <t>1. GET /api/v1/models/card.</t>
  </si>
  <si>
    <t>Có nhãn churn_label_v2_orders_120d_min2, số mẫu, chỉ số.</t>
  </si>
  <si>
    <t>PH9-03</t>
  </si>
  <si>
    <t>Đánh giá model</t>
  </si>
  <si>
    <t>Các báo cáo đánh giá model</t>
  </si>
  <si>
    <t>1. POST /models/label-diagnostics, /models/calibration, /models/ablation, /models/rule-benchmark.</t>
  </si>
  <si>
    <t>Mỗi endpoint trả số liệu (lưu lại cho Chương 4.3).</t>
  </si>
  <si>
    <t>PH9-04</t>
  </si>
  <si>
    <t>Phân khúc</t>
  </si>
  <si>
    <t>Phân khúc RFM</t>
  </si>
  <si>
    <t>1. POST /api/v1/rfm/trigger.</t>
  </si>
  <si>
    <t>Trả phân bố khách theo 4 nhóm.</t>
  </si>
  <si>
    <t>PH9-05</t>
  </si>
  <si>
    <t>Quét rủi ro</t>
  </si>
  <si>
    <t>Quét khách có nguy cơ rời bỏ</t>
  </si>
  <si>
    <t>1. POST /api/v1/risk/trigger-scan.</t>
  </si>
  <si>
    <t>Trả danh sách khách có nguy cơ; nếu chưa train thì trả SKIPPED.</t>
  </si>
  <si>
    <t>PH9-06</t>
  </si>
  <si>
    <t>Phát sự kiện rủi ro lên Kafka</t>
  </si>
  <si>
    <t>PH9-05 có khách rủi ro cao.</t>
  </si>
  <si>
    <t>1. Chạy `docker exec infra-kafka kafka-console-consumer --bootstrap-server localhost:9092 --topic user-risk-events --from-beginning --timeout-ms 10000`.</t>
  </si>
  <si>
    <t>Có ChurnRiskDetectedEvent.</t>
  </si>
  <si>
    <t>Output lệnh (chỉ đọc, không gửi message).</t>
  </si>
  <si>
    <t>PH9-07</t>
  </si>
  <si>
    <t>Vòng khép kín</t>
  </si>
  <si>
    <t>Chiến dịch tự giữ chân khách có nguy cơ</t>
  </si>
  <si>
    <t>Luồng E2E</t>
  </si>
  <si>
    <t>Có chiến dịch Trigger Nguy cơ rời bỏ → voucher.</t>
  </si>
  <si>
    <t>1. Chạy lại quét rủi ro.</t>
  </si>
  <si>
    <t>Khách có nguy cơ nhận voucher giữ chân.</t>
  </si>
  <si>
    <t>Ví voucher của khách; bảng issued_vouchers.</t>
  </si>
  <si>
    <t>PH9-08</t>
  </si>
  <si>
    <t>Dashboard</t>
  </si>
  <si>
    <t>Tab AI Analytics</t>
  </si>
  <si>
    <t>1. Tab AI Analytics.</t>
  </si>
  <si>
    <t>Biểu đồ phân khúc là số thật; dự báo nhu cầu và bất thường có nhãn dữ liệu minh họa.</t>
  </si>
  <si>
    <t>PH9-09</t>
  </si>
  <si>
    <t>Dashboard KPI</t>
  </si>
  <si>
    <t>1. Tab Dashboard.</t>
  </si>
  <si>
    <t>KPI doanh thu, số đơn hiển thị và khớp dữ liệu.</t>
  </si>
  <si>
    <t>So với bảng orders.</t>
  </si>
  <si>
    <t>PH10-01</t>
  </si>
  <si>
    <t>PH10 – Chatbot &amp; hỗ trợ</t>
  </si>
  <si>
    <t>Chatbot</t>
  </si>
  <si>
    <t>Hỏi chính sách khi chưa đăng nhập</t>
  </si>
  <si>
    <t>Đã bật service AI tương ứng (8002/8003/8004). Cần chatbot-service.</t>
  </si>
  <si>
    <t>1. Mở biểu tượng chat.
2. Hỏi 'Chính sách đổi trả ra sao?'.</t>
  </si>
  <si>
    <t>Trả lời đúng theo tài liệu chính sách.</t>
  </si>
  <si>
    <t>Đối chiếu tài liệu chính sách.</t>
  </si>
  <si>
    <t>PH10-02</t>
  </si>
  <si>
    <t>Hỏi phí vận chuyển và bảo hành</t>
  </si>
  <si>
    <t>1. Hỏi 'Phí vận chuyển bao nhiêu?'.
2. Hỏi 'Bảo hành iPhone bao lâu?'.</t>
  </si>
  <si>
    <t>Trả lời đúng chính sách.</t>
  </si>
  <si>
    <t>Đối chiếu tài liệu.</t>
  </si>
  <si>
    <t>PH10-03</t>
  </si>
  <si>
    <t>Tư vấn sản phẩm</t>
  </si>
  <si>
    <t>1. Hỏi 'Laptop gaming cho sinh viên'.</t>
  </si>
  <si>
    <t>Có thẻ sản phẩm bấm được, mở đúng trang sản phẩm.</t>
  </si>
  <si>
    <t>PH10-04</t>
  </si>
  <si>
    <t>Hỏi đơn hàng khi chưa đăng nhập</t>
  </si>
  <si>
    <t>1. Hỏi 'Đơn hàng của tôi đang ở đâu?'.</t>
  </si>
  <si>
    <t>PH10-05</t>
  </si>
  <si>
    <t>Hỏi đơn hàng, điểm, voucher khi đã đăng nhập</t>
  </si>
  <si>
    <t>1. Hỏi về đơn hàng.
2. Hỏi điểm thưởng.
3. Hỏi voucher.</t>
  </si>
  <si>
    <t>Trả dữ liệu thật của chính tài khoản.</t>
  </si>
  <si>
    <t>So với trang hồ sơ.</t>
  </si>
  <si>
    <t>PH10-06</t>
  </si>
  <si>
    <t>Câu hỏi ngoài chủ đề</t>
  </si>
  <si>
    <t>1. Hỏi 'Thời tiết hôm nay thế nào?'.</t>
  </si>
  <si>
    <t>Từ chối lịch sự, kéo về chủ đề mua sắm.</t>
  </si>
  <si>
    <t>PH10-07</t>
  </si>
  <si>
    <t>Giữ lịch sử hội thoại</t>
  </si>
  <si>
    <t>1. Chat vài câu.
2. Tải lại trang, mở lại chatbot.</t>
  </si>
  <si>
    <t>Lịch sử hội thoại còn.</t>
  </si>
  <si>
    <t>PH10-08</t>
  </si>
  <si>
    <t>Khiếu nại tự chuyển sang nhân viên</t>
  </si>
  <si>
    <t>Đã bật service AI tương ứng (8002/8003/8004). Có staff online.</t>
  </si>
  <si>
    <t>1. Gửi một câu khiếu nại rõ ràng.</t>
  </si>
  <si>
    <t>Sản phẩm tôi nhận bị lỗi, tôi rất bực</t>
  </si>
  <si>
    <t>Chatbot chuyển sang chat với nhân viên.</t>
  </si>
  <si>
    <t>PH10-09</t>
  </si>
  <si>
    <t>Chatbot khi chatbot-service tắt</t>
  </si>
  <si>
    <t>chatbot-service không chạy.</t>
  </si>
  <si>
    <t>1. Gửi một câu hỏi.</t>
  </si>
  <si>
    <t>Widget báo lỗi thân thiện, trang không bị treo.</t>
  </si>
  <si>
    <t>PH10-10</t>
  </si>
  <si>
    <t>Chat nhân viên</t>
  </si>
  <si>
    <t>Yêu cầu gặp nhân viên khi có staff online</t>
  </si>
  <si>
    <t>staff + customer (2 trình duyệt)</t>
  </si>
  <si>
    <t>Staff mở /admin → Customer Chat.</t>
  </si>
  <si>
    <t>1. Customer → chatbot → Yêu cầu gặp nhân viên trực tuyến.</t>
  </si>
  <si>
    <t>Phòng chat được tạo và tự gán cho nhân viên online.</t>
  </si>
  <si>
    <t>MongoDB chat_db.chatRooms.</t>
  </si>
  <si>
    <t>PH10-11</t>
  </si>
  <si>
    <t>Nhắn tin thời gian thực</t>
  </si>
  <si>
    <t>staff + customer</t>
  </si>
  <si>
    <t>PH10-10.</t>
  </si>
  <si>
    <t>1. Hai bên nhắn qua lại.</t>
  </si>
  <si>
    <t>Tin nhắn hiện ngay, không cần tải lại trang.</t>
  </si>
  <si>
    <t>PH10-12</t>
  </si>
  <si>
    <t>Gửi ảnh trong chat</t>
  </si>
  <si>
    <t>1. Gửi một ảnh.</t>
  </si>
  <si>
    <t>Ảnh JPG</t>
  </si>
  <si>
    <t>Ảnh hiện cho bên kia.</t>
  </si>
  <si>
    <t>MinIO bucket chat-images.</t>
  </si>
  <si>
    <t>PH10-13</t>
  </si>
  <si>
    <t>Nhân viên đóng phòng</t>
  </si>
  <si>
    <t>1. Bấm Đóng phòng.</t>
  </si>
  <si>
    <t>Phòng chuyển trạng thái CLOSED.</t>
  </si>
  <si>
    <t>MongoDB chatRooms.status.</t>
  </si>
  <si>
    <t>PH10-14</t>
  </si>
  <si>
    <t>Yêu cầu gặp nhân viên khi không ai online</t>
  </si>
  <si>
    <t>Không có staff nào online.</t>
  </si>
  <si>
    <t>1. Yêu cầu gặp nhân viên.</t>
  </si>
  <si>
    <t>Phòng ở trạng thái WAITING.</t>
  </si>
  <si>
    <t>PH10-15</t>
  </si>
  <si>
    <t>Khách chưa đăng nhập chat với bot</t>
  </si>
  <si>
    <t>1. Chưa đăng nhập, hỏi vài câu về sản phẩm.</t>
  </si>
  <si>
    <t>Bot trả lời bình thường.</t>
  </si>
  <si>
    <t>SEC-01</t>
  </si>
  <si>
    <t>SEC – Bảo mật</t>
  </si>
  <si>
    <t>Xác thực</t>
  </si>
  <si>
    <t>Gọi API quản trị không có token</t>
  </si>
  <si>
    <t>1. Gửi POST http://localhost:8080/api/v1/admin/inventories/sync-redis không kèm header Authorization.</t>
  </si>
  <si>
    <t>HTTP 401.</t>
  </si>
  <si>
    <t>Mã trạng thái HTTP.</t>
  </si>
  <si>
    <t>SEC-02</t>
  </si>
  <si>
    <t>Customer gọi API quản trị</t>
  </si>
  <si>
    <t>Có token customer.</t>
  </si>
  <si>
    <t>1. Gửi request /api/v1/admin/** với token customer.</t>
  </si>
  <si>
    <t>HTTP 403.</t>
  </si>
  <si>
    <t>SEC-03</t>
  </si>
  <si>
    <t>Token giả hoặc hết hạn</t>
  </si>
  <si>
    <t>1. Gửi request cần đăng nhập với token sửa 1 ký tự hoặc token đã hết hạn.</t>
  </si>
  <si>
    <t>SEC-04</t>
  </si>
  <si>
    <t>Giả mạo header</t>
  </si>
  <si>
    <t>Gửi header X-User-Roles giả</t>
  </si>
  <si>
    <t>1. Gửi request /api/v1/admin/** với token customer và header `X-User-Roles: ROLE_ADMIN`.</t>
  </si>
  <si>
    <t>Vẫn bị từ chối (403): gateway loại bỏ header X-User-* từ client.</t>
  </si>
  <si>
    <t>SEC-05</t>
  </si>
  <si>
    <t>IDOR</t>
  </si>
  <si>
    <t>Xem đơn của khách khác</t>
  </si>
  <si>
    <t>Biết id đơn của khách B.</t>
  </si>
  <si>
    <t>1. Khách A mở /order/{id của B} hoặc gọi API chi tiết đơn đó.</t>
  </si>
  <si>
    <t>Bị từ chối (403/404), không lộ dữ liệu đơn của B.</t>
  </si>
  <si>
    <t>SEC-06</t>
  </si>
  <si>
    <t>Hủy đơn của khách khác</t>
  </si>
  <si>
    <t>1. Khách A gọi POST /api/v1/orders/{id của B}/cancel.</t>
  </si>
  <si>
    <t>HTTP 403; đơn của B không đổi.</t>
  </si>
  <si>
    <t>Mã HTTP; bảng orders.</t>
  </si>
  <si>
    <t>SEC-07</t>
  </si>
  <si>
    <t>Sửa giá</t>
  </si>
  <si>
    <t>Sửa phí ship trong request checkout</t>
  </si>
  <si>
    <t>1. F12 → sửa body request checkout: shippingFee = 0 (hoặc giá trị khác).
2. Gửi lại.</t>
  </si>
  <si>
    <t>Server tự tính lại; tổng tiền và phí ship của đơn không đổi theo giá trị gửi lên.</t>
  </si>
  <si>
    <t>Bảng orders.</t>
  </si>
  <si>
    <t>SEC-08</t>
  </si>
  <si>
    <t>Rate limit</t>
  </si>
  <si>
    <t>Giới hạn tần suất request</t>
  </si>
  <si>
    <t>1. Gửi &gt; 50 request liên tiếp trong 1 giây tới một API public qua gateway.</t>
  </si>
  <si>
    <t>Một phần request nhận HTTP 429 (rate limit 20/s, burst 50).</t>
  </si>
  <si>
    <t>SEC-09</t>
  </si>
  <si>
    <t>Bỏ qua gateway</t>
  </si>
  <si>
    <t>Gọi thẳng API quản trị của service</t>
  </si>
  <si>
    <t>1. Gọi thẳng http://localhost:8089/api/v1/admin/... (product-service) không kèm token.</t>
  </si>
  <si>
    <t>Bị từ chối (401/403).</t>
  </si>
  <si>
    <t>Mã trạng thái HTTP. Nếu trả 200 thì ghi lỗi bảo mật.</t>
  </si>
  <si>
    <t>SEC-10</t>
  </si>
  <si>
    <t>XSS</t>
  </si>
  <si>
    <t>Chèn script vào đánh giá</t>
  </si>
  <si>
    <t>Có sản phẩm được phép đánh giá.</t>
  </si>
  <si>
    <t>1. Gửi đánh giá có nội dung `&lt;script&gt;alert(1)&lt;/script&gt;`.
2. Mở trang sản phẩm.</t>
  </si>
  <si>
    <t>&lt;script&gt;alert(1)&lt;/script&gt;</t>
  </si>
  <si>
    <t>Nội dung hiện dạng chữ, không bật hộp thoại alert.</t>
  </si>
  <si>
    <t>SEC-11</t>
  </si>
  <si>
    <t>SQL injection</t>
  </si>
  <si>
    <t>Chèn SQL vào ô tìm kiếm</t>
  </si>
  <si>
    <t>1. Tìm `' OR 1=1 --`.</t>
  </si>
  <si>
    <t>' OR 1=1 --</t>
  </si>
  <si>
    <t>Không lỗi 500, không trả về dữ liệu bất thường.</t>
  </si>
  <si>
    <t>SEC-12</t>
  </si>
  <si>
    <t>Upload</t>
  </si>
  <si>
    <t>Tải lên file không phải ảnh làm ảnh đại diện</t>
  </si>
  <si>
    <t>1. /profile?tab=account → tải file .exe hoặc .html làm ảnh đại diện.</t>
  </si>
  <si>
    <t>Bị từ chối.</t>
  </si>
  <si>
    <t>NFR-01</t>
  </si>
  <si>
    <t>NFR – Phi chức năng</t>
  </si>
  <si>
    <t>Hiệu năng</t>
  </si>
  <si>
    <t>Thời gian tải danh sách sản phẩm</t>
  </si>
  <si>
    <t>Phi chức năng</t>
  </si>
  <si>
    <t>1. F12 → Network.
2. Mở /category.</t>
  </si>
  <si>
    <t>Request danh sách sản phẩm &lt; 1 giây.</t>
  </si>
  <si>
    <t>Cột Time trong Network.</t>
  </si>
  <si>
    <t>NFR-02</t>
  </si>
  <si>
    <t>Thời gian tìm bằng ảnh</t>
  </si>
  <si>
    <t>Model đã được nạp (đã tìm ít nhất 1 lần).</t>
  </si>
  <si>
    <t>1. Tìm bằng ảnh.</t>
  </si>
  <si>
    <t>Có kết quả &lt; 5 giây (lần đầu có thể ~12 giây do nạp model).</t>
  </si>
  <si>
    <t>NFR-03</t>
  </si>
  <si>
    <t>Giao diện</t>
  </si>
  <si>
    <t>Hiển thị trên màn hình điện thoại</t>
  </si>
  <si>
    <t>1. F12 → Device toolbar, chọn rộng 375px.
2. Xem trang chủ, chi tiết, giỏ, checkout.</t>
  </si>
  <si>
    <t>Không vỡ bố cục, không cuộn ngang.</t>
  </si>
  <si>
    <t>NFR-04</t>
  </si>
  <si>
    <t>Trình duyệt</t>
  </si>
  <si>
    <t>Tương thích trình duyệt</t>
  </si>
  <si>
    <t>1. Chạy luồng đặt hàng COD trên Chrome, Edge, Firefox.</t>
  </si>
  <si>
    <t>Hoạt động như nhau.</t>
  </si>
  <si>
    <t>NFR-05</t>
  </si>
  <si>
    <t>Chịu lỗi</t>
  </si>
  <si>
    <t>Elasticsearch ngừng hoạt động</t>
  </si>
  <si>
    <t>1. `docker stop infra-elasticsearch`.
2. Tìm 'iphone'.
3. `docker start infra-elasticsearch`.</t>
  </si>
  <si>
    <t>Vẫn có kết quả (tự chuyển sang tìm trong MariaDB).</t>
  </si>
  <si>
    <t>Giao diện; log product-service.</t>
  </si>
  <si>
    <t>NFR-06</t>
  </si>
  <si>
    <t>inventory-service tạm ngừng khi đặt hàng</t>
  </si>
  <si>
    <t>1. Dừng inventory-service.
2. Đặt đơn COD.
3. Bật lại inventory-service.</t>
  </si>
  <si>
    <t>Đơn tạo ở PENDING; khi inventory-service chạy lại, đơn được xử lý tiếp (sự kiện vẫn còn trong Kafka).</t>
  </si>
  <si>
    <t>E2E-01</t>
  </si>
  <si>
    <t>E2E – Luồng xuyên suốt</t>
  </si>
  <si>
    <t>Khách mới</t>
  </si>
  <si>
    <t>Từ đăng ký đến đánh giá</t>
  </si>
  <si>
    <t>Tài khoản mới, admin</t>
  </si>
  <si>
    <t>Có chiến dịch ReviewProduct → cộng điểm.</t>
  </si>
  <si>
    <t>1. Đăng ký.
2. Tìm sản phẩm, thêm giỏ.
3. Đặt COD.
4. Admin giao → đã giao.
5. Khách đánh giá.</t>
  </si>
  <si>
    <t>Mọi bước thành công; khách nhận email đơn hàng; điểm tăng sau khi đánh giá.</t>
  </si>
  <si>
    <t>Giao diện, DB, hộp thư.</t>
  </si>
  <si>
    <t>E2E-02</t>
  </si>
  <si>
    <t>Thanh toán + khuyến mãi</t>
  </si>
  <si>
    <t>VNPay có voucher rồi hủy</t>
  </si>
  <si>
    <t>1. Đặt đơn VNPay có voucher và dùng điểm.
2. Thanh toán thành công.
3. Hủy đơn.</t>
  </si>
  <si>
    <t>Đơn CANCELLED; tồn kho trả lại; điểm hoàn; tiền được hoàn (REFUNDED/PENDING_MANUAL); voucher không trả lại vì đơn đã xác nhận.</t>
  </si>
  <si>
    <t>Giao diện, tab Transaction, DB.</t>
  </si>
  <si>
    <t>E2E-03</t>
  </si>
  <si>
    <t>Vòng churn khép kín</t>
  </si>
  <si>
    <t>Đã bật service AI tương ứng (8002/8003/8004). Đã chạy data-seed.</t>
  </si>
  <si>
    <t>1. Train model.
2. Tạo chiến dịch ChurnRisk → voucher.
3. Quét rủi ro.</t>
  </si>
  <si>
    <t>Khách có nguy cơ cao nhận voucher giữ chân.</t>
  </si>
  <si>
    <t>Bảng issued_vouchers.</t>
  </si>
  <si>
    <t>TỔNG HỢP KẾT QUẢ TEST</t>
  </si>
  <si>
    <t>Tự cập nhật theo cột Trạng thái ở sheet 'Test case'. Tỷ lệ đạt = Đạt / (Đạt + Không đạt + Bị chặn).</t>
  </si>
  <si>
    <t>Tổng</t>
  </si>
  <si>
    <t>% đã test</t>
  </si>
  <si>
    <t>% đạt</t>
  </si>
  <si>
    <t>TỔNG CỘNG</t>
  </si>
  <si>
    <t>Kiểm tra</t>
  </si>
  <si>
    <t>Theo mức ưu tiên</t>
  </si>
  <si>
    <t>HÀNH VI ĐÃ BIẾT – KHÔNG GHI LÀ LỖI MỚI</t>
  </si>
  <si>
    <t>Nguồn: docs/test/HUONG_DAN_TEST_THU_CONG.md §13 và rà soát code nhánh develop (10/2026).</t>
  </si>
  <si>
    <t>Hành vi hiện tại</t>
  </si>
  <si>
    <t>Tìm kiếm trên web</t>
  </si>
  <si>
    <t>Ô tìm kiếm gọi product-service (Elasticsearch, so khớp chứa chuỗi), chưa dùng tìm kiếm ngữ nghĩa; tìm kiếm ngữ nghĩa chỉ thử được qua Swagger 8001.</t>
  </si>
  <si>
    <t>Tìm kiếm bằng ảnh</t>
  </si>
  <si>
    <t>Nhãn 'YOLO v8 detected' luôn hiện; 'Độ khớp %' không phản ánh độ tin cậy; tiêu đề hiện Kết quả cho "".</t>
  </si>
  <si>
    <t>Sản phẩm liên quan</t>
  </si>
  <si>
    <t>Luôn là 8 sản phẩm đầu danh sách, không phải AI.</t>
  </si>
  <si>
    <t>Điểm đánh giá</t>
  </si>
  <si>
    <t>Trang sản phẩm hiện 0 sao dù có đánh giá.</t>
  </si>
  <si>
    <t>/stores, /tradein</t>
  </si>
  <si>
    <t>Chưa có backend.</t>
  </si>
  <si>
    <t>Mã vận đơn giả MOCK-GHTK-*, phí cố định 30.000đ.</t>
  </si>
  <si>
    <t>Giới hạn 2 giờ chỉ kiểm tra ở FE; API không kiểm tra thời gian. Không có chọn lý do hủy.</t>
  </si>
  <si>
    <t>Không tự cộng cho mọi đơn, chỉ cộng qua chiến dịch.</t>
  </si>
  <si>
    <t>Chiến dịch hẹn giờ</t>
  </si>
  <si>
    <t>Hành động cần người dùng bị bỏ qua; xóa chiến dịch không gỡ deployment Camunda.</t>
  </si>
  <si>
    <t>Thông báo</t>
  </si>
  <si>
    <t>Không có thông báo đẩy (FCM chỉ lưu token); chuông thông báo admin chỉ trang trí; chưa có email hoàn tiền.</t>
  </si>
  <si>
    <t>Gợi ý mua kèm (giỏ hàng)</t>
  </si>
  <si>
    <t>Trả danh sách phổ biến, chưa dựa vào sản phẩm trong giỏ.</t>
  </si>
  <si>
    <t>AI Analytics</t>
  </si>
  <si>
    <t>Dự báo nhu cầu và phát hiện bất thường là dữ liệu minh họa; nút khóa / đánh dấu an toàn chỉ hiện thông báo.</t>
  </si>
  <si>
    <t>Hỏi theo khoảng giá có thể ra sản phẩm ngoài khoảng; cảm xúc tiêu cực chỉ ghi log; không trả lời dạng stream.</t>
  </si>
  <si>
    <t>Badge xu hướng (tổng quan đơn admin)</t>
  </si>
  <si>
    <t>Số cố định.</t>
  </si>
  <si>
    <t>Chiến dịch: điều kiện Địa chỉ</t>
  </si>
  <si>
    <t>Gần như không khớp (giao diện gửi tên tỉnh đầy đủ, backend chỉ nhận Hanoi / Ho Chi Minh / Da Nang).</t>
  </si>
  <si>
    <t>Kiểm tra chiến dịch không hợp lệ</t>
  </si>
  <si>
    <t>API trả HTTP 200 với code VALIDATION_FAILED, không phải 400.</t>
  </si>
  <si>
    <t>Mã lỗi</t>
  </si>
  <si>
    <t>Test case ID</t>
  </si>
  <si>
    <t>Mức độ</t>
  </si>
  <si>
    <t>Tiêu đề lỗi</t>
  </si>
  <si>
    <t>Bước tái hiện</t>
  </si>
  <si>
    <t>Ảnh / log</t>
  </si>
  <si>
    <t>Ngày phát hiện</t>
  </si>
  <si>
    <t>Trạng thái xử lý</t>
  </si>
  <si>
    <t>BUG-VD</t>
  </si>
  <si>
    <t>(VÍ DỤ – xóa dòng này khi dùng) Đặt vượt tồn kho vẫn tạo đơn</t>
  </si>
  <si>
    <t>1. Đăng nhập customer.
2. Đặt 15 sản phẩm khi tồn kho 10.</t>
  </si>
  <si>
    <t>Bị từ chối, HTTP 400</t>
  </si>
  <si>
    <t>Đơn được tạo ở PENDING</t>
  </si>
  <si>
    <t>screenshot-01.png</t>
  </si>
  <si>
    <t>Tên bạn</t>
  </si>
  <si>
    <t>17/10/2026</t>
  </si>
  <si>
    <t>Mới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</si>
</sst>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  <numFmt numFmtId="179" formatCode="dd/mm/yyyy"/>
  </numFmts>
  <fonts count="28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i/>
      <sz val="10"/>
      <color rgb="FF808080"/>
      <name val="Arial"/>
      <charset val="134"/>
    </font>
    <font>
      <sz val="10"/>
      <name val="Arial"/>
      <charset val="134"/>
    </font>
    <font>
      <b/>
      <sz val="16"/>
      <color rgb="FF1F3864"/>
      <name val="Arial"/>
      <charset val="134"/>
    </font>
    <font>
      <i/>
      <sz val="9"/>
      <color rgb="FF595959"/>
      <name val="Arial"/>
      <charset val="134"/>
    </font>
    <font>
      <b/>
      <sz val="10"/>
      <name val="Arial"/>
      <charset val="134"/>
    </font>
    <font>
      <b/>
      <sz val="12"/>
      <color rgb="FF1F3864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78" fontId="3" fillId="0" borderId="1" xfId="0" applyNumberFormat="1" applyFont="1" applyBorder="1" applyAlignment="1">
      <alignment horizont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178" fontId="6" fillId="4" borderId="1" xfId="0" applyNumberFormat="1" applyFont="1" applyFill="1" applyBorder="1" applyAlignment="1">
      <alignment horizontal="center"/>
    </xf>
    <xf numFmtId="0" fontId="7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179" fontId="3" fillId="3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6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ont>
        <name val="Arial"/>
        <scheme val="none"/>
        <b val="1"/>
        <sz val="10"/>
        <color rgb="FFC00000"/>
      </font>
    </dxf>
    <dxf>
      <font>
        <name val="Arial"/>
        <scheme val="none"/>
        <b val="1"/>
        <sz val="10"/>
        <color rgb="FF006100"/>
      </font>
      <fill>
        <patternFill patternType="solid">
          <fgColor rgb="FFC6EFCE"/>
        </patternFill>
      </fill>
    </dxf>
    <dxf>
      <font>
        <name val="Arial"/>
        <scheme val="none"/>
        <b val="1"/>
        <sz val="10"/>
        <color rgb="FF9C0006"/>
      </font>
      <fill>
        <patternFill patternType="solid">
          <fgColor rgb="FFFFC7CE"/>
        </patternFill>
      </fill>
    </dxf>
    <dxf>
      <font>
        <name val="Arial"/>
        <scheme val="none"/>
        <b val="1"/>
        <sz val="10"/>
        <color rgb="FF9C5700"/>
      </font>
      <fill>
        <patternFill patternType="solid">
          <fgColor rgb="FFFFEB9C"/>
        </patternFill>
      </fill>
    </dxf>
    <dxf>
      <font>
        <name val="Arial"/>
        <scheme val="none"/>
        <b val="1"/>
        <sz val="10"/>
        <color rgb="FF404040"/>
      </font>
      <fill>
        <patternFill patternType="solid">
          <fgColor rgb="FFD9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tabSelected="1" workbookViewId="0">
      <selection activeCell="A1" sqref="A1"/>
    </sheetView>
  </sheetViews>
  <sheetFormatPr defaultColWidth="9" defaultRowHeight="15" outlineLevelCol="1"/>
  <cols>
    <col min="1" max="1" width="30" customWidth="1"/>
    <col min="2" max="2" width="95" customWidth="1"/>
  </cols>
  <sheetData>
    <row r="1" ht="60.75" spans="1:2">
      <c r="A1" s="19" t="s">
        <v>0</v>
      </c>
      <c r="B1" s="20" t="s">
        <v>1</v>
      </c>
    </row>
    <row r="2" spans="1:2">
      <c r="A2" s="21" t="s">
        <v>2</v>
      </c>
      <c r="B2" s="20" t="s">
        <v>3</v>
      </c>
    </row>
    <row r="3" spans="1:2">
      <c r="A3" s="21" t="s">
        <v>4</v>
      </c>
      <c r="B3" s="20" t="s">
        <v>5</v>
      </c>
    </row>
    <row r="4" ht="25.5" spans="1:2">
      <c r="A4" s="21" t="s">
        <v>6</v>
      </c>
      <c r="B4" s="20" t="s">
        <v>7</v>
      </c>
    </row>
    <row r="6" ht="15.75" spans="1:2">
      <c r="A6" s="22" t="s">
        <v>8</v>
      </c>
      <c r="B6" s="22" t="s">
        <v>1</v>
      </c>
    </row>
    <row r="7" ht="25.5" spans="1:2">
      <c r="A7" s="20" t="s">
        <v>9</v>
      </c>
      <c r="B7" s="20" t="s">
        <v>10</v>
      </c>
    </row>
    <row r="8" spans="1:2">
      <c r="A8" s="20" t="s">
        <v>11</v>
      </c>
      <c r="B8" s="20" t="s">
        <v>12</v>
      </c>
    </row>
    <row r="9" ht="25.5" spans="1:2">
      <c r="A9" s="20" t="s">
        <v>13</v>
      </c>
      <c r="B9" s="20" t="s">
        <v>14</v>
      </c>
    </row>
    <row r="10" ht="25.5" spans="1:2">
      <c r="A10" s="20" t="s">
        <v>15</v>
      </c>
      <c r="B10" s="20" t="s">
        <v>16</v>
      </c>
    </row>
    <row r="11" ht="25.5" spans="1:2">
      <c r="A11" s="20" t="s">
        <v>17</v>
      </c>
      <c r="B11" s="20" t="s">
        <v>18</v>
      </c>
    </row>
    <row r="12" spans="1:2">
      <c r="A12" s="20" t="s">
        <v>19</v>
      </c>
      <c r="B12" s="20" t="s">
        <v>20</v>
      </c>
    </row>
    <row r="14" ht="15.75" spans="1:2">
      <c r="A14" s="22" t="s">
        <v>21</v>
      </c>
      <c r="B14" s="22" t="s">
        <v>1</v>
      </c>
    </row>
    <row r="15" spans="1:2">
      <c r="A15" s="20" t="s">
        <v>22</v>
      </c>
      <c r="B15" s="20" t="s">
        <v>23</v>
      </c>
    </row>
    <row r="16" spans="1:2">
      <c r="A16" s="20" t="s">
        <v>24</v>
      </c>
      <c r="B16" s="20" t="s">
        <v>25</v>
      </c>
    </row>
    <row r="17" spans="1:2">
      <c r="A17" s="20" t="s">
        <v>26</v>
      </c>
      <c r="B17" s="20" t="s">
        <v>27</v>
      </c>
    </row>
    <row r="18" spans="1:2">
      <c r="A18" s="20" t="s">
        <v>28</v>
      </c>
      <c r="B18" s="20" t="s">
        <v>29</v>
      </c>
    </row>
    <row r="19" spans="1:2">
      <c r="A19" s="20" t="s">
        <v>30</v>
      </c>
      <c r="B19" s="20" t="s">
        <v>31</v>
      </c>
    </row>
    <row r="21" ht="15.75" spans="1:2">
      <c r="A21" s="22" t="s">
        <v>32</v>
      </c>
      <c r="B21" s="22" t="s">
        <v>1</v>
      </c>
    </row>
    <row r="22" spans="1:2">
      <c r="A22" s="21" t="s">
        <v>33</v>
      </c>
      <c r="B22" s="20" t="s">
        <v>34</v>
      </c>
    </row>
    <row r="23" spans="1:2">
      <c r="A23" s="21" t="s">
        <v>35</v>
      </c>
      <c r="B23" s="20" t="s">
        <v>36</v>
      </c>
    </row>
    <row r="24" spans="1:2">
      <c r="A24" s="21" t="s">
        <v>37</v>
      </c>
      <c r="B24" s="20" t="s">
        <v>38</v>
      </c>
    </row>
    <row r="25" spans="1:2">
      <c r="A25" s="21" t="s">
        <v>39</v>
      </c>
      <c r="B25" s="20" t="s">
        <v>40</v>
      </c>
    </row>
    <row r="26" spans="1:2">
      <c r="A26" s="21" t="s">
        <v>41</v>
      </c>
      <c r="B26" s="20" t="s">
        <v>42</v>
      </c>
    </row>
    <row r="27" spans="1:2">
      <c r="A27" s="21" t="s">
        <v>43</v>
      </c>
      <c r="B27" s="20" t="s">
        <v>44</v>
      </c>
    </row>
    <row r="28" spans="1:2">
      <c r="A28" s="21" t="s">
        <v>45</v>
      </c>
      <c r="B28" s="20" t="s">
        <v>46</v>
      </c>
    </row>
    <row r="29" spans="1:2">
      <c r="A29" s="21" t="s">
        <v>47</v>
      </c>
      <c r="B29" s="20" t="s">
        <v>48</v>
      </c>
    </row>
    <row r="30" spans="1:2">
      <c r="A30" s="21" t="s">
        <v>49</v>
      </c>
      <c r="B30" s="20" t="s">
        <v>50</v>
      </c>
    </row>
    <row r="32" ht="31.5" spans="1:2">
      <c r="A32" s="22" t="s">
        <v>51</v>
      </c>
      <c r="B32" s="22" t="s">
        <v>1</v>
      </c>
    </row>
    <row r="33" spans="1:2">
      <c r="A33" s="21" t="s">
        <v>52</v>
      </c>
      <c r="B33" s="20" t="s">
        <v>53</v>
      </c>
    </row>
    <row r="34" spans="1:2">
      <c r="A34" s="21" t="s">
        <v>54</v>
      </c>
      <c r="B34" s="20" t="s">
        <v>55</v>
      </c>
    </row>
    <row r="35" spans="1:2">
      <c r="A35" s="21" t="s">
        <v>56</v>
      </c>
      <c r="B35" s="20" t="s">
        <v>57</v>
      </c>
    </row>
    <row r="36" ht="25.5" spans="1:2">
      <c r="A36" s="20" t="s">
        <v>58</v>
      </c>
      <c r="B36" s="20" t="s">
        <v>59</v>
      </c>
    </row>
    <row r="38" ht="31.5" spans="1:2">
      <c r="A38" s="22" t="s">
        <v>60</v>
      </c>
      <c r="B38" s="22" t="s">
        <v>1</v>
      </c>
    </row>
    <row r="39" ht="25.5" spans="1:2">
      <c r="A39" s="20" t="s">
        <v>61</v>
      </c>
      <c r="B39" s="20" t="s">
        <v>62</v>
      </c>
    </row>
    <row r="40" spans="1:2">
      <c r="A40" s="20" t="s">
        <v>63</v>
      </c>
      <c r="B40" s="20" t="s">
        <v>64</v>
      </c>
    </row>
    <row r="41" spans="1:2">
      <c r="A41" s="20" t="s">
        <v>65</v>
      </c>
      <c r="B41" s="20" t="s">
        <v>66</v>
      </c>
    </row>
    <row r="43" ht="15.75" spans="1:2">
      <c r="A43" s="22" t="s">
        <v>67</v>
      </c>
      <c r="B43" s="22" t="s">
        <v>1</v>
      </c>
    </row>
    <row r="44" ht="25.5" spans="1:2">
      <c r="A44" s="20" t="s">
        <v>68</v>
      </c>
      <c r="B44" s="20" t="s">
        <v>69</v>
      </c>
    </row>
    <row r="45" spans="1:2">
      <c r="A45" s="20" t="s">
        <v>70</v>
      </c>
      <c r="B45" s="20" t="s">
        <v>71</v>
      </c>
    </row>
    <row r="46" spans="1:2">
      <c r="A46" s="20" t="s">
        <v>72</v>
      </c>
      <c r="B46" s="20" t="s">
        <v>73</v>
      </c>
    </row>
    <row r="47" spans="1:2">
      <c r="A47" s="21" t="s">
        <v>74</v>
      </c>
      <c r="B47" s="23" t="s">
        <v>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87"/>
  <sheetViews>
    <sheetView workbookViewId="0">
      <pane xSplit="4" ySplit="1" topLeftCell="E189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9" customWidth="1"/>
    <col min="2" max="2" width="22" customWidth="1"/>
    <col min="3" max="3" width="18" customWidth="1"/>
    <col min="4" max="4" width="34" customWidth="1"/>
    <col min="5" max="5" width="13" customWidth="1"/>
    <col min="6" max="6" width="11" customWidth="1"/>
    <col min="7" max="7" width="16" customWidth="1"/>
    <col min="8" max="8" width="28" customWidth="1"/>
    <col min="9" max="9" width="46" customWidth="1"/>
    <col min="10" max="10" width="22" customWidth="1"/>
    <col min="11" max="11" width="44" customWidth="1"/>
    <col min="12" max="12" width="32" customWidth="1"/>
    <col min="13" max="13" width="30" customWidth="1"/>
    <col min="14" max="14" width="13" customWidth="1"/>
    <col min="15" max="15" width="14" customWidth="1"/>
    <col min="16" max="16" width="12" customWidth="1"/>
    <col min="17" max="17" width="24" customWidth="1"/>
  </cols>
  <sheetData>
    <row r="1" ht="32" customHeight="1" spans="1:17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5" t="s">
        <v>88</v>
      </c>
      <c r="N1" s="15" t="s">
        <v>89</v>
      </c>
      <c r="O1" s="15" t="s">
        <v>90</v>
      </c>
      <c r="P1" s="15" t="s">
        <v>91</v>
      </c>
      <c r="Q1" s="15" t="s">
        <v>92</v>
      </c>
    </row>
    <row r="2" ht="51" spans="1:17">
      <c r="A2" s="6" t="s">
        <v>93</v>
      </c>
      <c r="B2" s="7" t="s">
        <v>94</v>
      </c>
      <c r="C2" s="7" t="s">
        <v>70</v>
      </c>
      <c r="D2" s="7" t="s">
        <v>95</v>
      </c>
      <c r="E2" s="16" t="s">
        <v>78</v>
      </c>
      <c r="F2" s="16" t="s">
        <v>96</v>
      </c>
      <c r="G2" s="7" t="s">
        <v>97</v>
      </c>
      <c r="H2" s="7" t="s">
        <v>98</v>
      </c>
      <c r="I2" s="7" t="s">
        <v>99</v>
      </c>
      <c r="J2" s="7" t="s">
        <v>1</v>
      </c>
      <c r="K2" s="7" t="s">
        <v>100</v>
      </c>
      <c r="L2" s="7" t="s">
        <v>101</v>
      </c>
      <c r="M2" s="3" t="s">
        <v>1</v>
      </c>
      <c r="N2" s="17" t="s">
        <v>22</v>
      </c>
      <c r="O2" s="3" t="s">
        <v>1</v>
      </c>
      <c r="P2" s="18" t="s">
        <v>1</v>
      </c>
      <c r="Q2" s="3" t="s">
        <v>1</v>
      </c>
    </row>
    <row r="3" ht="38.25" spans="1:17">
      <c r="A3" s="6" t="s">
        <v>102</v>
      </c>
      <c r="B3" s="7" t="s">
        <v>94</v>
      </c>
      <c r="C3" s="7" t="s">
        <v>37</v>
      </c>
      <c r="D3" s="7" t="s">
        <v>103</v>
      </c>
      <c r="E3" s="16" t="s">
        <v>78</v>
      </c>
      <c r="F3" s="16" t="s">
        <v>96</v>
      </c>
      <c r="G3" s="7" t="s">
        <v>97</v>
      </c>
      <c r="H3" s="7" t="s">
        <v>104</v>
      </c>
      <c r="I3" s="7" t="s">
        <v>105</v>
      </c>
      <c r="J3" s="7" t="s">
        <v>1</v>
      </c>
      <c r="K3" s="7" t="s">
        <v>106</v>
      </c>
      <c r="L3" s="7" t="s">
        <v>107</v>
      </c>
      <c r="M3" s="3" t="s">
        <v>1</v>
      </c>
      <c r="N3" s="17" t="s">
        <v>22</v>
      </c>
      <c r="O3" s="3" t="s">
        <v>1</v>
      </c>
      <c r="P3" s="18" t="s">
        <v>1</v>
      </c>
      <c r="Q3" s="3" t="s">
        <v>1</v>
      </c>
    </row>
    <row r="4" ht="38.25" spans="1:17">
      <c r="A4" s="6" t="s">
        <v>108</v>
      </c>
      <c r="B4" s="7" t="s">
        <v>94</v>
      </c>
      <c r="C4" s="7" t="s">
        <v>109</v>
      </c>
      <c r="D4" s="7" t="s">
        <v>110</v>
      </c>
      <c r="E4" s="16" t="s">
        <v>111</v>
      </c>
      <c r="F4" s="16" t="s">
        <v>96</v>
      </c>
      <c r="G4" s="7" t="s">
        <v>97</v>
      </c>
      <c r="H4" s="7" t="s">
        <v>112</v>
      </c>
      <c r="I4" s="7" t="s">
        <v>113</v>
      </c>
      <c r="J4" s="7" t="s">
        <v>1</v>
      </c>
      <c r="K4" s="7" t="s">
        <v>114</v>
      </c>
      <c r="L4" s="7" t="s">
        <v>115</v>
      </c>
      <c r="M4" s="3" t="s">
        <v>1</v>
      </c>
      <c r="N4" s="17" t="s">
        <v>22</v>
      </c>
      <c r="O4" s="3" t="s">
        <v>1</v>
      </c>
      <c r="P4" s="18" t="s">
        <v>1</v>
      </c>
      <c r="Q4" s="3" t="s">
        <v>1</v>
      </c>
    </row>
    <row r="5" ht="38.25" spans="1:17">
      <c r="A5" s="6" t="s">
        <v>116</v>
      </c>
      <c r="B5" s="7" t="s">
        <v>94</v>
      </c>
      <c r="C5" s="7" t="s">
        <v>117</v>
      </c>
      <c r="D5" s="7" t="s">
        <v>118</v>
      </c>
      <c r="E5" s="16" t="s">
        <v>111</v>
      </c>
      <c r="F5" s="16" t="s">
        <v>96</v>
      </c>
      <c r="G5" s="7" t="s">
        <v>97</v>
      </c>
      <c r="H5" s="7" t="s">
        <v>119</v>
      </c>
      <c r="I5" s="7" t="s">
        <v>120</v>
      </c>
      <c r="J5" s="7" t="s">
        <v>1</v>
      </c>
      <c r="K5" s="7" t="s">
        <v>121</v>
      </c>
      <c r="L5" s="7" t="s">
        <v>122</v>
      </c>
      <c r="M5" s="3" t="s">
        <v>1</v>
      </c>
      <c r="N5" s="17" t="s">
        <v>22</v>
      </c>
      <c r="O5" s="3" t="s">
        <v>1</v>
      </c>
      <c r="P5" s="18" t="s">
        <v>1</v>
      </c>
      <c r="Q5" s="3" t="s">
        <v>1</v>
      </c>
    </row>
    <row r="6" ht="25.5" spans="1:17">
      <c r="A6" s="6" t="s">
        <v>123</v>
      </c>
      <c r="B6" s="7" t="s">
        <v>94</v>
      </c>
      <c r="C6" s="7" t="s">
        <v>39</v>
      </c>
      <c r="D6" s="7" t="s">
        <v>124</v>
      </c>
      <c r="E6" s="16" t="s">
        <v>78</v>
      </c>
      <c r="F6" s="16" t="s">
        <v>96</v>
      </c>
      <c r="G6" s="7" t="s">
        <v>97</v>
      </c>
      <c r="H6" s="7" t="s">
        <v>1</v>
      </c>
      <c r="I6" s="7" t="s">
        <v>125</v>
      </c>
      <c r="J6" s="7" t="s">
        <v>1</v>
      </c>
      <c r="K6" s="7" t="s">
        <v>126</v>
      </c>
      <c r="L6" s="7" t="s">
        <v>127</v>
      </c>
      <c r="M6" s="3" t="s">
        <v>1</v>
      </c>
      <c r="N6" s="17" t="s">
        <v>22</v>
      </c>
      <c r="O6" s="3" t="s">
        <v>1</v>
      </c>
      <c r="P6" s="18" t="s">
        <v>1</v>
      </c>
      <c r="Q6" s="3" t="s">
        <v>1</v>
      </c>
    </row>
    <row r="7" ht="25.5" spans="1:17">
      <c r="A7" s="6" t="s">
        <v>128</v>
      </c>
      <c r="B7" s="7" t="s">
        <v>94</v>
      </c>
      <c r="C7" s="7" t="s">
        <v>129</v>
      </c>
      <c r="D7" s="7" t="s">
        <v>130</v>
      </c>
      <c r="E7" s="16" t="s">
        <v>78</v>
      </c>
      <c r="F7" s="16" t="s">
        <v>131</v>
      </c>
      <c r="G7" s="7" t="s">
        <v>97</v>
      </c>
      <c r="H7" s="7" t="s">
        <v>132</v>
      </c>
      <c r="I7" s="7" t="s">
        <v>133</v>
      </c>
      <c r="J7" s="7" t="s">
        <v>1</v>
      </c>
      <c r="K7" s="7" t="s">
        <v>134</v>
      </c>
      <c r="L7" s="7" t="s">
        <v>127</v>
      </c>
      <c r="M7" s="3" t="s">
        <v>1</v>
      </c>
      <c r="N7" s="17" t="s">
        <v>22</v>
      </c>
      <c r="O7" s="3" t="s">
        <v>1</v>
      </c>
      <c r="P7" s="18" t="s">
        <v>1</v>
      </c>
      <c r="Q7" s="3" t="s">
        <v>1</v>
      </c>
    </row>
    <row r="8" ht="25.5" spans="1:17">
      <c r="A8" s="6" t="s">
        <v>135</v>
      </c>
      <c r="B8" s="7" t="s">
        <v>94</v>
      </c>
      <c r="C8" s="7" t="s">
        <v>136</v>
      </c>
      <c r="D8" s="7" t="s">
        <v>137</v>
      </c>
      <c r="E8" s="16" t="s">
        <v>78</v>
      </c>
      <c r="F8" s="16" t="s">
        <v>96</v>
      </c>
      <c r="G8" s="7" t="s">
        <v>138</v>
      </c>
      <c r="H8" s="7" t="s">
        <v>139</v>
      </c>
      <c r="I8" s="7" t="s">
        <v>140</v>
      </c>
      <c r="J8" s="7" t="s">
        <v>1</v>
      </c>
      <c r="K8" s="7" t="s">
        <v>141</v>
      </c>
      <c r="L8" s="7" t="s">
        <v>142</v>
      </c>
      <c r="M8" s="3" t="s">
        <v>1</v>
      </c>
      <c r="N8" s="17" t="s">
        <v>22</v>
      </c>
      <c r="O8" s="3" t="s">
        <v>1</v>
      </c>
      <c r="P8" s="18" t="s">
        <v>1</v>
      </c>
      <c r="Q8" s="3" t="s">
        <v>1</v>
      </c>
    </row>
    <row r="9" ht="25.5" spans="1:17">
      <c r="A9" s="6" t="s">
        <v>143</v>
      </c>
      <c r="B9" s="7" t="s">
        <v>94</v>
      </c>
      <c r="C9" s="7" t="s">
        <v>45</v>
      </c>
      <c r="D9" s="7" t="s">
        <v>144</v>
      </c>
      <c r="E9" s="16" t="s">
        <v>111</v>
      </c>
      <c r="F9" s="16" t="s">
        <v>131</v>
      </c>
      <c r="G9" s="7" t="s">
        <v>97</v>
      </c>
      <c r="H9" s="7" t="s">
        <v>145</v>
      </c>
      <c r="I9" s="7" t="s">
        <v>146</v>
      </c>
      <c r="J9" s="7" t="s">
        <v>1</v>
      </c>
      <c r="K9" s="7" t="s">
        <v>147</v>
      </c>
      <c r="L9" s="7" t="s">
        <v>127</v>
      </c>
      <c r="M9" s="3" t="s">
        <v>1</v>
      </c>
      <c r="N9" s="17" t="s">
        <v>22</v>
      </c>
      <c r="O9" s="3" t="s">
        <v>1</v>
      </c>
      <c r="P9" s="18" t="s">
        <v>1</v>
      </c>
      <c r="Q9" s="3" t="s">
        <v>1</v>
      </c>
    </row>
    <row r="10" ht="25.5" spans="1:17">
      <c r="A10" s="6" t="s">
        <v>148</v>
      </c>
      <c r="B10" s="7" t="s">
        <v>94</v>
      </c>
      <c r="C10" s="7" t="s">
        <v>149</v>
      </c>
      <c r="D10" s="7" t="s">
        <v>150</v>
      </c>
      <c r="E10" s="16" t="s">
        <v>111</v>
      </c>
      <c r="F10" s="16" t="s">
        <v>151</v>
      </c>
      <c r="G10" s="7" t="s">
        <v>97</v>
      </c>
      <c r="H10" s="7" t="s">
        <v>1</v>
      </c>
      <c r="I10" s="7" t="s">
        <v>152</v>
      </c>
      <c r="J10" s="7" t="s">
        <v>1</v>
      </c>
      <c r="K10" s="7" t="s">
        <v>153</v>
      </c>
      <c r="L10" s="7" t="s">
        <v>154</v>
      </c>
      <c r="M10" s="3" t="s">
        <v>1</v>
      </c>
      <c r="N10" s="17" t="s">
        <v>22</v>
      </c>
      <c r="O10" s="3" t="s">
        <v>1</v>
      </c>
      <c r="P10" s="18" t="s">
        <v>1</v>
      </c>
      <c r="Q10" s="3" t="s">
        <v>1</v>
      </c>
    </row>
    <row r="11" ht="38.25" spans="1:17">
      <c r="A11" s="6" t="s">
        <v>155</v>
      </c>
      <c r="B11" s="7" t="s">
        <v>156</v>
      </c>
      <c r="C11" s="7" t="s">
        <v>157</v>
      </c>
      <c r="D11" s="7" t="s">
        <v>158</v>
      </c>
      <c r="E11" s="16" t="s">
        <v>78</v>
      </c>
      <c r="F11" s="16" t="s">
        <v>96</v>
      </c>
      <c r="G11" s="7" t="s">
        <v>138</v>
      </c>
      <c r="H11" s="7" t="s">
        <v>159</v>
      </c>
      <c r="I11" s="7" t="s">
        <v>160</v>
      </c>
      <c r="J11" s="7" t="s">
        <v>161</v>
      </c>
      <c r="K11" s="7" t="s">
        <v>162</v>
      </c>
      <c r="L11" s="7" t="s">
        <v>163</v>
      </c>
      <c r="M11" s="3" t="s">
        <v>1</v>
      </c>
      <c r="N11" s="17" t="s">
        <v>22</v>
      </c>
      <c r="O11" s="3" t="s">
        <v>1</v>
      </c>
      <c r="P11" s="18" t="s">
        <v>1</v>
      </c>
      <c r="Q11" s="3" t="s">
        <v>1</v>
      </c>
    </row>
    <row r="12" ht="25.5" spans="1:17">
      <c r="A12" s="6" t="s">
        <v>164</v>
      </c>
      <c r="B12" s="7" t="s">
        <v>156</v>
      </c>
      <c r="C12" s="7" t="s">
        <v>157</v>
      </c>
      <c r="D12" s="7" t="s">
        <v>165</v>
      </c>
      <c r="E12" s="16" t="s">
        <v>166</v>
      </c>
      <c r="F12" s="16" t="s">
        <v>131</v>
      </c>
      <c r="G12" s="7" t="s">
        <v>138</v>
      </c>
      <c r="H12" s="7" t="s">
        <v>167</v>
      </c>
      <c r="I12" s="7" t="s">
        <v>168</v>
      </c>
      <c r="J12" s="7" t="s">
        <v>1</v>
      </c>
      <c r="K12" s="7" t="s">
        <v>169</v>
      </c>
      <c r="L12" s="7" t="s">
        <v>170</v>
      </c>
      <c r="M12" s="3" t="s">
        <v>1</v>
      </c>
      <c r="N12" s="17" t="s">
        <v>22</v>
      </c>
      <c r="O12" s="3" t="s">
        <v>1</v>
      </c>
      <c r="P12" s="18" t="s">
        <v>1</v>
      </c>
      <c r="Q12" s="3" t="s">
        <v>1</v>
      </c>
    </row>
    <row r="13" ht="38.25" spans="1:17">
      <c r="A13" s="6" t="s">
        <v>171</v>
      </c>
      <c r="B13" s="7" t="s">
        <v>156</v>
      </c>
      <c r="C13" s="7" t="s">
        <v>172</v>
      </c>
      <c r="D13" s="7" t="s">
        <v>173</v>
      </c>
      <c r="E13" s="16" t="s">
        <v>111</v>
      </c>
      <c r="F13" s="16" t="s">
        <v>96</v>
      </c>
      <c r="G13" s="7" t="s">
        <v>174</v>
      </c>
      <c r="H13" s="7" t="s">
        <v>175</v>
      </c>
      <c r="I13" s="7" t="s">
        <v>176</v>
      </c>
      <c r="J13" s="7" t="s">
        <v>1</v>
      </c>
      <c r="K13" s="7" t="s">
        <v>177</v>
      </c>
      <c r="L13" s="7" t="s">
        <v>178</v>
      </c>
      <c r="M13" s="3" t="s">
        <v>1</v>
      </c>
      <c r="N13" s="17" t="s">
        <v>22</v>
      </c>
      <c r="O13" s="3" t="s">
        <v>1</v>
      </c>
      <c r="P13" s="18" t="s">
        <v>1</v>
      </c>
      <c r="Q13" s="3" t="s">
        <v>1</v>
      </c>
    </row>
    <row r="14" ht="25.5" spans="1:17">
      <c r="A14" s="6" t="s">
        <v>179</v>
      </c>
      <c r="B14" s="7" t="s">
        <v>156</v>
      </c>
      <c r="C14" s="7" t="s">
        <v>180</v>
      </c>
      <c r="D14" s="7" t="s">
        <v>181</v>
      </c>
      <c r="E14" s="16" t="s">
        <v>78</v>
      </c>
      <c r="F14" s="16" t="s">
        <v>96</v>
      </c>
      <c r="G14" s="7" t="s">
        <v>182</v>
      </c>
      <c r="H14" s="7" t="s">
        <v>183</v>
      </c>
      <c r="I14" s="7" t="s">
        <v>184</v>
      </c>
      <c r="J14" s="7" t="s">
        <v>1</v>
      </c>
      <c r="K14" s="7" t="s">
        <v>185</v>
      </c>
      <c r="L14" s="7" t="s">
        <v>186</v>
      </c>
      <c r="M14" s="3" t="s">
        <v>1</v>
      </c>
      <c r="N14" s="17" t="s">
        <v>22</v>
      </c>
      <c r="O14" s="3" t="s">
        <v>1</v>
      </c>
      <c r="P14" s="18" t="s">
        <v>1</v>
      </c>
      <c r="Q14" s="3" t="s">
        <v>1</v>
      </c>
    </row>
    <row r="15" ht="25.5" spans="1:17">
      <c r="A15" s="6" t="s">
        <v>187</v>
      </c>
      <c r="B15" s="7" t="s">
        <v>156</v>
      </c>
      <c r="C15" s="7" t="s">
        <v>180</v>
      </c>
      <c r="D15" s="7" t="s">
        <v>188</v>
      </c>
      <c r="E15" s="16" t="s">
        <v>166</v>
      </c>
      <c r="F15" s="16" t="s">
        <v>96</v>
      </c>
      <c r="G15" s="7" t="s">
        <v>182</v>
      </c>
      <c r="H15" s="7" t="s">
        <v>1</v>
      </c>
      <c r="I15" s="7" t="s">
        <v>189</v>
      </c>
      <c r="J15" s="7" t="s">
        <v>190</v>
      </c>
      <c r="K15" s="7" t="s">
        <v>191</v>
      </c>
      <c r="L15" s="7" t="s">
        <v>192</v>
      </c>
      <c r="M15" s="3" t="s">
        <v>1</v>
      </c>
      <c r="N15" s="17" t="s">
        <v>22</v>
      </c>
      <c r="O15" s="3" t="s">
        <v>1</v>
      </c>
      <c r="P15" s="18" t="s">
        <v>1</v>
      </c>
      <c r="Q15" s="3" t="s">
        <v>1</v>
      </c>
    </row>
    <row r="16" ht="25.5" spans="1:17">
      <c r="A16" s="6" t="s">
        <v>193</v>
      </c>
      <c r="B16" s="7" t="s">
        <v>156</v>
      </c>
      <c r="C16" s="7" t="s">
        <v>180</v>
      </c>
      <c r="D16" s="7" t="s">
        <v>194</v>
      </c>
      <c r="E16" s="16" t="s">
        <v>111</v>
      </c>
      <c r="F16" s="16" t="s">
        <v>151</v>
      </c>
      <c r="G16" s="7" t="s">
        <v>138</v>
      </c>
      <c r="H16" s="7" t="s">
        <v>195</v>
      </c>
      <c r="I16" s="7" t="s">
        <v>196</v>
      </c>
      <c r="J16" s="7" t="s">
        <v>1</v>
      </c>
      <c r="K16" s="7" t="s">
        <v>197</v>
      </c>
      <c r="L16" s="7" t="s">
        <v>198</v>
      </c>
      <c r="M16" s="3" t="s">
        <v>1</v>
      </c>
      <c r="N16" s="17" t="s">
        <v>22</v>
      </c>
      <c r="O16" s="3" t="s">
        <v>1</v>
      </c>
      <c r="P16" s="18" t="s">
        <v>1</v>
      </c>
      <c r="Q16" s="3" t="s">
        <v>1</v>
      </c>
    </row>
    <row r="17" ht="38.25" spans="1:17">
      <c r="A17" s="6" t="s">
        <v>199</v>
      </c>
      <c r="B17" s="7" t="s">
        <v>156</v>
      </c>
      <c r="C17" s="7" t="s">
        <v>172</v>
      </c>
      <c r="D17" s="7" t="s">
        <v>200</v>
      </c>
      <c r="E17" s="16" t="s">
        <v>78</v>
      </c>
      <c r="F17" s="16" t="s">
        <v>131</v>
      </c>
      <c r="G17" s="7" t="s">
        <v>182</v>
      </c>
      <c r="H17" s="7" t="s">
        <v>1</v>
      </c>
      <c r="I17" s="7" t="s">
        <v>201</v>
      </c>
      <c r="J17" s="7" t="s">
        <v>202</v>
      </c>
      <c r="K17" s="7" t="s">
        <v>203</v>
      </c>
      <c r="L17" s="7" t="s">
        <v>204</v>
      </c>
      <c r="M17" s="3" t="s">
        <v>1</v>
      </c>
      <c r="N17" s="17" t="s">
        <v>22</v>
      </c>
      <c r="O17" s="3" t="s">
        <v>1</v>
      </c>
      <c r="P17" s="18" t="s">
        <v>1</v>
      </c>
      <c r="Q17" s="3" t="s">
        <v>1</v>
      </c>
    </row>
    <row r="18" ht="51" spans="1:17">
      <c r="A18" s="6" t="s">
        <v>205</v>
      </c>
      <c r="B18" s="7" t="s">
        <v>156</v>
      </c>
      <c r="C18" s="7" t="s">
        <v>32</v>
      </c>
      <c r="D18" s="7" t="s">
        <v>206</v>
      </c>
      <c r="E18" s="16" t="s">
        <v>78</v>
      </c>
      <c r="F18" s="16" t="s">
        <v>96</v>
      </c>
      <c r="G18" s="7" t="s">
        <v>182</v>
      </c>
      <c r="H18" s="7" t="s">
        <v>1</v>
      </c>
      <c r="I18" s="7" t="s">
        <v>207</v>
      </c>
      <c r="J18" s="7" t="s">
        <v>1</v>
      </c>
      <c r="K18" s="7" t="s">
        <v>208</v>
      </c>
      <c r="L18" s="7" t="s">
        <v>209</v>
      </c>
      <c r="M18" s="3" t="s">
        <v>1</v>
      </c>
      <c r="N18" s="17" t="s">
        <v>22</v>
      </c>
      <c r="O18" s="3" t="s">
        <v>1</v>
      </c>
      <c r="P18" s="18" t="s">
        <v>1</v>
      </c>
      <c r="Q18" s="3" t="s">
        <v>1</v>
      </c>
    </row>
    <row r="19" ht="25.5" spans="1:17">
      <c r="A19" s="6" t="s">
        <v>210</v>
      </c>
      <c r="B19" s="7" t="s">
        <v>156</v>
      </c>
      <c r="C19" s="7" t="s">
        <v>32</v>
      </c>
      <c r="D19" s="7" t="s">
        <v>211</v>
      </c>
      <c r="E19" s="16" t="s">
        <v>78</v>
      </c>
      <c r="F19" s="16" t="s">
        <v>131</v>
      </c>
      <c r="G19" s="7" t="s">
        <v>182</v>
      </c>
      <c r="H19" s="7" t="s">
        <v>212</v>
      </c>
      <c r="I19" s="7" t="s">
        <v>213</v>
      </c>
      <c r="J19" s="7" t="s">
        <v>1</v>
      </c>
      <c r="K19" s="7" t="s">
        <v>214</v>
      </c>
      <c r="L19" s="7" t="s">
        <v>209</v>
      </c>
      <c r="M19" s="3" t="s">
        <v>1</v>
      </c>
      <c r="N19" s="17" t="s">
        <v>22</v>
      </c>
      <c r="O19" s="3" t="s">
        <v>1</v>
      </c>
      <c r="P19" s="18" t="s">
        <v>1</v>
      </c>
      <c r="Q19" s="3" t="s">
        <v>1</v>
      </c>
    </row>
    <row r="20" ht="25.5" spans="1:17">
      <c r="A20" s="6" t="s">
        <v>215</v>
      </c>
      <c r="B20" s="7" t="s">
        <v>156</v>
      </c>
      <c r="C20" s="7" t="s">
        <v>216</v>
      </c>
      <c r="D20" s="7" t="s">
        <v>217</v>
      </c>
      <c r="E20" s="16" t="s">
        <v>78</v>
      </c>
      <c r="F20" s="16" t="s">
        <v>131</v>
      </c>
      <c r="G20" s="7" t="s">
        <v>182</v>
      </c>
      <c r="H20" s="7" t="s">
        <v>1</v>
      </c>
      <c r="I20" s="7" t="s">
        <v>218</v>
      </c>
      <c r="J20" s="7" t="s">
        <v>1</v>
      </c>
      <c r="K20" s="7" t="s">
        <v>219</v>
      </c>
      <c r="L20" s="7" t="s">
        <v>220</v>
      </c>
      <c r="M20" s="3" t="s">
        <v>1</v>
      </c>
      <c r="N20" s="17" t="s">
        <v>22</v>
      </c>
      <c r="O20" s="3" t="s">
        <v>1</v>
      </c>
      <c r="P20" s="18" t="s">
        <v>1</v>
      </c>
      <c r="Q20" s="3" t="s">
        <v>1</v>
      </c>
    </row>
    <row r="21" ht="25.5" spans="1:17">
      <c r="A21" s="6" t="s">
        <v>221</v>
      </c>
      <c r="B21" s="7" t="s">
        <v>156</v>
      </c>
      <c r="C21" s="7" t="s">
        <v>222</v>
      </c>
      <c r="D21" s="7" t="s">
        <v>223</v>
      </c>
      <c r="E21" s="16" t="s">
        <v>222</v>
      </c>
      <c r="F21" s="16" t="s">
        <v>96</v>
      </c>
      <c r="G21" s="7" t="s">
        <v>138</v>
      </c>
      <c r="H21" s="7" t="s">
        <v>224</v>
      </c>
      <c r="I21" s="7" t="s">
        <v>225</v>
      </c>
      <c r="J21" s="7" t="s">
        <v>1</v>
      </c>
      <c r="K21" s="7" t="s">
        <v>226</v>
      </c>
      <c r="L21" s="7" t="s">
        <v>227</v>
      </c>
      <c r="M21" s="3" t="s">
        <v>1</v>
      </c>
      <c r="N21" s="17" t="s">
        <v>22</v>
      </c>
      <c r="O21" s="3" t="s">
        <v>1</v>
      </c>
      <c r="P21" s="18" t="s">
        <v>1</v>
      </c>
      <c r="Q21" s="3" t="s">
        <v>1</v>
      </c>
    </row>
    <row r="22" ht="25.5" spans="1:17">
      <c r="A22" s="6" t="s">
        <v>228</v>
      </c>
      <c r="B22" s="7" t="s">
        <v>156</v>
      </c>
      <c r="C22" s="7" t="s">
        <v>222</v>
      </c>
      <c r="D22" s="7" t="s">
        <v>229</v>
      </c>
      <c r="E22" s="16" t="s">
        <v>222</v>
      </c>
      <c r="F22" s="16" t="s">
        <v>96</v>
      </c>
      <c r="G22" s="7" t="s">
        <v>182</v>
      </c>
      <c r="H22" s="7" t="s">
        <v>1</v>
      </c>
      <c r="I22" s="7" t="s">
        <v>230</v>
      </c>
      <c r="J22" s="7" t="s">
        <v>1</v>
      </c>
      <c r="K22" s="7" t="s">
        <v>231</v>
      </c>
      <c r="L22" s="7" t="s">
        <v>227</v>
      </c>
      <c r="M22" s="3" t="s">
        <v>1</v>
      </c>
      <c r="N22" s="17" t="s">
        <v>22</v>
      </c>
      <c r="O22" s="3" t="s">
        <v>1</v>
      </c>
      <c r="P22" s="18" t="s">
        <v>1</v>
      </c>
      <c r="Q22" s="3" t="s">
        <v>1</v>
      </c>
    </row>
    <row r="23" ht="25.5" spans="1:17">
      <c r="A23" s="6" t="s">
        <v>232</v>
      </c>
      <c r="B23" s="7" t="s">
        <v>156</v>
      </c>
      <c r="C23" s="7" t="s">
        <v>222</v>
      </c>
      <c r="D23" s="7" t="s">
        <v>233</v>
      </c>
      <c r="E23" s="16" t="s">
        <v>222</v>
      </c>
      <c r="F23" s="16" t="s">
        <v>96</v>
      </c>
      <c r="G23" s="7" t="s">
        <v>234</v>
      </c>
      <c r="H23" s="7" t="s">
        <v>1</v>
      </c>
      <c r="I23" s="7" t="s">
        <v>230</v>
      </c>
      <c r="J23" s="7" t="s">
        <v>1</v>
      </c>
      <c r="K23" s="7" t="s">
        <v>235</v>
      </c>
      <c r="L23" s="7" t="s">
        <v>220</v>
      </c>
      <c r="M23" s="3" t="s">
        <v>1</v>
      </c>
      <c r="N23" s="17" t="s">
        <v>22</v>
      </c>
      <c r="O23" s="3" t="s">
        <v>1</v>
      </c>
      <c r="P23" s="18" t="s">
        <v>1</v>
      </c>
      <c r="Q23" s="3" t="s">
        <v>1</v>
      </c>
    </row>
    <row r="24" ht="25.5" spans="1:17">
      <c r="A24" s="6" t="s">
        <v>236</v>
      </c>
      <c r="B24" s="7" t="s">
        <v>156</v>
      </c>
      <c r="C24" s="7" t="s">
        <v>222</v>
      </c>
      <c r="D24" s="7" t="s">
        <v>237</v>
      </c>
      <c r="E24" s="16" t="s">
        <v>222</v>
      </c>
      <c r="F24" s="16" t="s">
        <v>96</v>
      </c>
      <c r="G24" s="7" t="s">
        <v>234</v>
      </c>
      <c r="H24" s="7" t="s">
        <v>1</v>
      </c>
      <c r="I24" s="7" t="s">
        <v>238</v>
      </c>
      <c r="J24" s="7" t="s">
        <v>1</v>
      </c>
      <c r="K24" s="7" t="s">
        <v>239</v>
      </c>
      <c r="L24" s="7" t="s">
        <v>240</v>
      </c>
      <c r="M24" s="3" t="s">
        <v>1</v>
      </c>
      <c r="N24" s="17" t="s">
        <v>22</v>
      </c>
      <c r="O24" s="3" t="s">
        <v>1</v>
      </c>
      <c r="P24" s="18" t="s">
        <v>1</v>
      </c>
      <c r="Q24" s="3" t="s">
        <v>1</v>
      </c>
    </row>
    <row r="25" ht="38.25" spans="1:17">
      <c r="A25" s="6" t="s">
        <v>241</v>
      </c>
      <c r="B25" s="7" t="s">
        <v>156</v>
      </c>
      <c r="C25" s="7" t="s">
        <v>242</v>
      </c>
      <c r="D25" s="7" t="s">
        <v>243</v>
      </c>
      <c r="E25" s="16" t="s">
        <v>78</v>
      </c>
      <c r="F25" s="16" t="s">
        <v>131</v>
      </c>
      <c r="G25" s="7" t="s">
        <v>244</v>
      </c>
      <c r="H25" s="7" t="s">
        <v>1</v>
      </c>
      <c r="I25" s="7" t="s">
        <v>245</v>
      </c>
      <c r="J25" s="7" t="s">
        <v>1</v>
      </c>
      <c r="K25" s="7" t="s">
        <v>246</v>
      </c>
      <c r="L25" s="7" t="s">
        <v>247</v>
      </c>
      <c r="M25" s="3" t="s">
        <v>1</v>
      </c>
      <c r="N25" s="17" t="s">
        <v>22</v>
      </c>
      <c r="O25" s="3" t="s">
        <v>1</v>
      </c>
      <c r="P25" s="18" t="s">
        <v>1</v>
      </c>
      <c r="Q25" s="3" t="s">
        <v>1</v>
      </c>
    </row>
    <row r="26" ht="25.5" spans="1:17">
      <c r="A26" s="6" t="s">
        <v>248</v>
      </c>
      <c r="B26" s="7" t="s">
        <v>156</v>
      </c>
      <c r="C26" s="7" t="s">
        <v>242</v>
      </c>
      <c r="D26" s="7" t="s">
        <v>249</v>
      </c>
      <c r="E26" s="16" t="s">
        <v>78</v>
      </c>
      <c r="F26" s="16" t="s">
        <v>131</v>
      </c>
      <c r="G26" s="7" t="s">
        <v>244</v>
      </c>
      <c r="H26" s="7" t="s">
        <v>1</v>
      </c>
      <c r="I26" s="7" t="s">
        <v>250</v>
      </c>
      <c r="J26" s="7" t="s">
        <v>1</v>
      </c>
      <c r="K26" s="7" t="s">
        <v>251</v>
      </c>
      <c r="L26" s="7" t="s">
        <v>252</v>
      </c>
      <c r="M26" s="3" t="s">
        <v>1</v>
      </c>
      <c r="N26" s="17" t="s">
        <v>22</v>
      </c>
      <c r="O26" s="3" t="s">
        <v>1</v>
      </c>
      <c r="P26" s="18" t="s">
        <v>1</v>
      </c>
      <c r="Q26" s="3" t="s">
        <v>1</v>
      </c>
    </row>
    <row r="27" ht="25.5" spans="1:17">
      <c r="A27" s="6" t="s">
        <v>253</v>
      </c>
      <c r="B27" s="7" t="s">
        <v>156</v>
      </c>
      <c r="C27" s="7" t="s">
        <v>242</v>
      </c>
      <c r="D27" s="7" t="s">
        <v>254</v>
      </c>
      <c r="E27" s="16" t="s">
        <v>78</v>
      </c>
      <c r="F27" s="16" t="s">
        <v>131</v>
      </c>
      <c r="G27" s="7" t="s">
        <v>244</v>
      </c>
      <c r="H27" s="7" t="s">
        <v>1</v>
      </c>
      <c r="I27" s="7" t="s">
        <v>255</v>
      </c>
      <c r="J27" s="7" t="s">
        <v>1</v>
      </c>
      <c r="K27" s="7" t="s">
        <v>256</v>
      </c>
      <c r="L27" s="7" t="s">
        <v>257</v>
      </c>
      <c r="M27" s="3" t="s">
        <v>1</v>
      </c>
      <c r="N27" s="17" t="s">
        <v>22</v>
      </c>
      <c r="O27" s="3" t="s">
        <v>1</v>
      </c>
      <c r="P27" s="18" t="s">
        <v>1</v>
      </c>
      <c r="Q27" s="3" t="s">
        <v>1</v>
      </c>
    </row>
    <row r="28" ht="25.5" spans="1:17">
      <c r="A28" s="6" t="s">
        <v>258</v>
      </c>
      <c r="B28" s="7" t="s">
        <v>156</v>
      </c>
      <c r="C28" s="7" t="s">
        <v>242</v>
      </c>
      <c r="D28" s="7" t="s">
        <v>259</v>
      </c>
      <c r="E28" s="16" t="s">
        <v>222</v>
      </c>
      <c r="F28" s="16" t="s">
        <v>131</v>
      </c>
      <c r="G28" s="7" t="s">
        <v>244</v>
      </c>
      <c r="H28" s="7" t="s">
        <v>1</v>
      </c>
      <c r="I28" s="7" t="s">
        <v>260</v>
      </c>
      <c r="J28" s="7" t="s">
        <v>1</v>
      </c>
      <c r="K28" s="7" t="s">
        <v>261</v>
      </c>
      <c r="L28" s="7" t="s">
        <v>220</v>
      </c>
      <c r="M28" s="3" t="s">
        <v>1</v>
      </c>
      <c r="N28" s="17" t="s">
        <v>22</v>
      </c>
      <c r="O28" s="3" t="s">
        <v>1</v>
      </c>
      <c r="P28" s="18" t="s">
        <v>1</v>
      </c>
      <c r="Q28" s="3" t="s">
        <v>1</v>
      </c>
    </row>
    <row r="29" ht="25.5" spans="1:17">
      <c r="A29" s="6" t="s">
        <v>262</v>
      </c>
      <c r="B29" s="7" t="s">
        <v>156</v>
      </c>
      <c r="C29" s="7" t="s">
        <v>263</v>
      </c>
      <c r="D29" s="7" t="s">
        <v>264</v>
      </c>
      <c r="E29" s="16" t="s">
        <v>166</v>
      </c>
      <c r="F29" s="16" t="s">
        <v>151</v>
      </c>
      <c r="G29" s="7" t="s">
        <v>182</v>
      </c>
      <c r="H29" s="7" t="s">
        <v>1</v>
      </c>
      <c r="I29" s="7" t="s">
        <v>265</v>
      </c>
      <c r="J29" s="7" t="s">
        <v>1</v>
      </c>
      <c r="K29" s="7" t="s">
        <v>266</v>
      </c>
      <c r="L29" s="7" t="s">
        <v>267</v>
      </c>
      <c r="M29" s="3" t="s">
        <v>1</v>
      </c>
      <c r="N29" s="17" t="s">
        <v>22</v>
      </c>
      <c r="O29" s="3" t="s">
        <v>1</v>
      </c>
      <c r="P29" s="18" t="s">
        <v>1</v>
      </c>
      <c r="Q29" s="3" t="s">
        <v>1</v>
      </c>
    </row>
    <row r="30" ht="25.5" spans="1:17">
      <c r="A30" s="6" t="s">
        <v>268</v>
      </c>
      <c r="B30" s="7" t="s">
        <v>269</v>
      </c>
      <c r="C30" s="7" t="s">
        <v>270</v>
      </c>
      <c r="D30" s="7" t="s">
        <v>271</v>
      </c>
      <c r="E30" s="16" t="s">
        <v>78</v>
      </c>
      <c r="F30" s="16" t="s">
        <v>96</v>
      </c>
      <c r="G30" s="7" t="s">
        <v>138</v>
      </c>
      <c r="H30" s="7" t="s">
        <v>145</v>
      </c>
      <c r="I30" s="7" t="s">
        <v>272</v>
      </c>
      <c r="J30" s="7" t="s">
        <v>1</v>
      </c>
      <c r="K30" s="7" t="s">
        <v>273</v>
      </c>
      <c r="L30" s="7" t="s">
        <v>220</v>
      </c>
      <c r="M30" s="3" t="s">
        <v>1</v>
      </c>
      <c r="N30" s="17" t="s">
        <v>22</v>
      </c>
      <c r="O30" s="3" t="s">
        <v>1</v>
      </c>
      <c r="P30" s="18" t="s">
        <v>1</v>
      </c>
      <c r="Q30" s="3" t="s">
        <v>1</v>
      </c>
    </row>
    <row r="31" ht="25.5" spans="1:17">
      <c r="A31" s="6" t="s">
        <v>274</v>
      </c>
      <c r="B31" s="7" t="s">
        <v>269</v>
      </c>
      <c r="C31" s="7" t="s">
        <v>275</v>
      </c>
      <c r="D31" s="7" t="s">
        <v>276</v>
      </c>
      <c r="E31" s="16" t="s">
        <v>78</v>
      </c>
      <c r="F31" s="16" t="s">
        <v>96</v>
      </c>
      <c r="G31" s="7" t="s">
        <v>138</v>
      </c>
      <c r="H31" s="7" t="s">
        <v>1</v>
      </c>
      <c r="I31" s="7" t="s">
        <v>277</v>
      </c>
      <c r="J31" s="7" t="s">
        <v>1</v>
      </c>
      <c r="K31" s="7" t="s">
        <v>278</v>
      </c>
      <c r="L31" s="7" t="s">
        <v>220</v>
      </c>
      <c r="M31" s="3" t="s">
        <v>1</v>
      </c>
      <c r="N31" s="17" t="s">
        <v>22</v>
      </c>
      <c r="O31" s="3" t="s">
        <v>1</v>
      </c>
      <c r="P31" s="18" t="s">
        <v>1</v>
      </c>
      <c r="Q31" s="3" t="s">
        <v>1</v>
      </c>
    </row>
    <row r="32" ht="25.5" spans="1:17">
      <c r="A32" s="6" t="s">
        <v>279</v>
      </c>
      <c r="B32" s="7" t="s">
        <v>269</v>
      </c>
      <c r="C32" s="7" t="s">
        <v>275</v>
      </c>
      <c r="D32" s="7" t="s">
        <v>280</v>
      </c>
      <c r="E32" s="16" t="s">
        <v>78</v>
      </c>
      <c r="F32" s="16" t="s">
        <v>131</v>
      </c>
      <c r="G32" s="7" t="s">
        <v>138</v>
      </c>
      <c r="H32" s="7" t="s">
        <v>1</v>
      </c>
      <c r="I32" s="7" t="s">
        <v>281</v>
      </c>
      <c r="J32" s="7" t="s">
        <v>282</v>
      </c>
      <c r="K32" s="7" t="s">
        <v>283</v>
      </c>
      <c r="L32" s="7" t="s">
        <v>220</v>
      </c>
      <c r="M32" s="3" t="s">
        <v>1</v>
      </c>
      <c r="N32" s="17" t="s">
        <v>22</v>
      </c>
      <c r="O32" s="3" t="s">
        <v>1</v>
      </c>
      <c r="P32" s="18" t="s">
        <v>1</v>
      </c>
      <c r="Q32" s="3" t="s">
        <v>1</v>
      </c>
    </row>
    <row r="33" ht="25.5" spans="1:17">
      <c r="A33" s="6" t="s">
        <v>284</v>
      </c>
      <c r="B33" s="7" t="s">
        <v>269</v>
      </c>
      <c r="C33" s="7" t="s">
        <v>275</v>
      </c>
      <c r="D33" s="7" t="s">
        <v>285</v>
      </c>
      <c r="E33" s="16" t="s">
        <v>78</v>
      </c>
      <c r="F33" s="16" t="s">
        <v>131</v>
      </c>
      <c r="G33" s="7" t="s">
        <v>138</v>
      </c>
      <c r="H33" s="7" t="s">
        <v>1</v>
      </c>
      <c r="I33" s="7" t="s">
        <v>286</v>
      </c>
      <c r="J33" s="7" t="s">
        <v>287</v>
      </c>
      <c r="K33" s="7" t="s">
        <v>288</v>
      </c>
      <c r="L33" s="7" t="s">
        <v>220</v>
      </c>
      <c r="M33" s="3" t="s">
        <v>1</v>
      </c>
      <c r="N33" s="17" t="s">
        <v>22</v>
      </c>
      <c r="O33" s="3" t="s">
        <v>1</v>
      </c>
      <c r="P33" s="18" t="s">
        <v>1</v>
      </c>
      <c r="Q33" s="3" t="s">
        <v>1</v>
      </c>
    </row>
    <row r="34" ht="25.5" spans="1:17">
      <c r="A34" s="6" t="s">
        <v>289</v>
      </c>
      <c r="B34" s="7" t="s">
        <v>269</v>
      </c>
      <c r="C34" s="7" t="s">
        <v>275</v>
      </c>
      <c r="D34" s="7" t="s">
        <v>290</v>
      </c>
      <c r="E34" s="16" t="s">
        <v>78</v>
      </c>
      <c r="F34" s="16" t="s">
        <v>131</v>
      </c>
      <c r="G34" s="7" t="s">
        <v>138</v>
      </c>
      <c r="H34" s="7" t="s">
        <v>1</v>
      </c>
      <c r="I34" s="7" t="s">
        <v>291</v>
      </c>
      <c r="J34" s="7" t="s">
        <v>1</v>
      </c>
      <c r="K34" s="7" t="s">
        <v>292</v>
      </c>
      <c r="L34" s="7" t="s">
        <v>220</v>
      </c>
      <c r="M34" s="3" t="s">
        <v>1</v>
      </c>
      <c r="N34" s="17" t="s">
        <v>22</v>
      </c>
      <c r="O34" s="3" t="s">
        <v>1</v>
      </c>
      <c r="P34" s="18" t="s">
        <v>1</v>
      </c>
      <c r="Q34" s="3" t="s">
        <v>1</v>
      </c>
    </row>
    <row r="35" ht="25.5" spans="1:17">
      <c r="A35" s="6" t="s">
        <v>293</v>
      </c>
      <c r="B35" s="7" t="s">
        <v>269</v>
      </c>
      <c r="C35" s="7" t="s">
        <v>275</v>
      </c>
      <c r="D35" s="7" t="s">
        <v>294</v>
      </c>
      <c r="E35" s="16" t="s">
        <v>78</v>
      </c>
      <c r="F35" s="16" t="s">
        <v>151</v>
      </c>
      <c r="G35" s="7" t="s">
        <v>138</v>
      </c>
      <c r="H35" s="7" t="s">
        <v>1</v>
      </c>
      <c r="I35" s="7" t="s">
        <v>295</v>
      </c>
      <c r="J35" s="7" t="s">
        <v>1</v>
      </c>
      <c r="K35" s="7" t="s">
        <v>296</v>
      </c>
      <c r="L35" s="7" t="s">
        <v>220</v>
      </c>
      <c r="M35" s="3" t="s">
        <v>1</v>
      </c>
      <c r="N35" s="17" t="s">
        <v>22</v>
      </c>
      <c r="O35" s="3" t="s">
        <v>1</v>
      </c>
      <c r="P35" s="18" t="s">
        <v>1</v>
      </c>
      <c r="Q35" s="3" t="s">
        <v>1</v>
      </c>
    </row>
    <row r="36" ht="25.5" spans="1:17">
      <c r="A36" s="6" t="s">
        <v>297</v>
      </c>
      <c r="B36" s="7" t="s">
        <v>269</v>
      </c>
      <c r="C36" s="7" t="s">
        <v>298</v>
      </c>
      <c r="D36" s="7" t="s">
        <v>299</v>
      </c>
      <c r="E36" s="16" t="s">
        <v>78</v>
      </c>
      <c r="F36" s="16" t="s">
        <v>96</v>
      </c>
      <c r="G36" s="7" t="s">
        <v>138</v>
      </c>
      <c r="H36" s="7" t="s">
        <v>1</v>
      </c>
      <c r="I36" s="7" t="s">
        <v>300</v>
      </c>
      <c r="J36" s="7" t="s">
        <v>1</v>
      </c>
      <c r="K36" s="7" t="s">
        <v>301</v>
      </c>
      <c r="L36" s="7" t="s">
        <v>220</v>
      </c>
      <c r="M36" s="3" t="s">
        <v>1</v>
      </c>
      <c r="N36" s="17" t="s">
        <v>22</v>
      </c>
      <c r="O36" s="3" t="s">
        <v>1</v>
      </c>
      <c r="P36" s="18" t="s">
        <v>1</v>
      </c>
      <c r="Q36" s="3" t="s">
        <v>1</v>
      </c>
    </row>
    <row r="37" ht="25.5" spans="1:17">
      <c r="A37" s="6" t="s">
        <v>302</v>
      </c>
      <c r="B37" s="7" t="s">
        <v>269</v>
      </c>
      <c r="C37" s="7" t="s">
        <v>298</v>
      </c>
      <c r="D37" s="7" t="s">
        <v>303</v>
      </c>
      <c r="E37" s="16" t="s">
        <v>78</v>
      </c>
      <c r="F37" s="16" t="s">
        <v>96</v>
      </c>
      <c r="G37" s="7" t="s">
        <v>138</v>
      </c>
      <c r="H37" s="7" t="s">
        <v>304</v>
      </c>
      <c r="I37" s="7" t="s">
        <v>305</v>
      </c>
      <c r="J37" s="7" t="s">
        <v>1</v>
      </c>
      <c r="K37" s="7" t="s">
        <v>306</v>
      </c>
      <c r="L37" s="7" t="s">
        <v>220</v>
      </c>
      <c r="M37" s="3" t="s">
        <v>1</v>
      </c>
      <c r="N37" s="17" t="s">
        <v>22</v>
      </c>
      <c r="O37" s="3" t="s">
        <v>1</v>
      </c>
      <c r="P37" s="18" t="s">
        <v>1</v>
      </c>
      <c r="Q37" s="3" t="s">
        <v>1</v>
      </c>
    </row>
    <row r="38" ht="25.5" spans="1:17">
      <c r="A38" s="6" t="s">
        <v>307</v>
      </c>
      <c r="B38" s="7" t="s">
        <v>269</v>
      </c>
      <c r="C38" s="7" t="s">
        <v>298</v>
      </c>
      <c r="D38" s="7" t="s">
        <v>308</v>
      </c>
      <c r="E38" s="16" t="s">
        <v>78</v>
      </c>
      <c r="F38" s="16" t="s">
        <v>151</v>
      </c>
      <c r="G38" s="7" t="s">
        <v>138</v>
      </c>
      <c r="H38" s="7" t="s">
        <v>1</v>
      </c>
      <c r="I38" s="7" t="s">
        <v>309</v>
      </c>
      <c r="J38" s="7" t="s">
        <v>1</v>
      </c>
      <c r="K38" s="7" t="s">
        <v>310</v>
      </c>
      <c r="L38" s="7" t="s">
        <v>220</v>
      </c>
      <c r="M38" s="3" t="s">
        <v>1</v>
      </c>
      <c r="N38" s="17" t="s">
        <v>22</v>
      </c>
      <c r="O38" s="3" t="s">
        <v>1</v>
      </c>
      <c r="P38" s="18" t="s">
        <v>1</v>
      </c>
      <c r="Q38" s="3" t="s">
        <v>1</v>
      </c>
    </row>
    <row r="39" ht="25.5" spans="1:17">
      <c r="A39" s="6" t="s">
        <v>311</v>
      </c>
      <c r="B39" s="7" t="s">
        <v>269</v>
      </c>
      <c r="C39" s="7" t="s">
        <v>298</v>
      </c>
      <c r="D39" s="7" t="s">
        <v>312</v>
      </c>
      <c r="E39" s="16" t="s">
        <v>222</v>
      </c>
      <c r="F39" s="16" t="s">
        <v>96</v>
      </c>
      <c r="G39" s="7" t="s">
        <v>138</v>
      </c>
      <c r="H39" s="7" t="s">
        <v>1</v>
      </c>
      <c r="I39" s="7" t="s">
        <v>313</v>
      </c>
      <c r="J39" s="7" t="s">
        <v>1</v>
      </c>
      <c r="K39" s="7" t="s">
        <v>314</v>
      </c>
      <c r="L39" s="7" t="s">
        <v>220</v>
      </c>
      <c r="M39" s="3" t="s">
        <v>1</v>
      </c>
      <c r="N39" s="17" t="s">
        <v>22</v>
      </c>
      <c r="O39" s="3" t="s">
        <v>1</v>
      </c>
      <c r="P39" s="18" t="s">
        <v>1</v>
      </c>
      <c r="Q39" s="3" t="s">
        <v>1</v>
      </c>
    </row>
    <row r="40" ht="25.5" spans="1:17">
      <c r="A40" s="6" t="s">
        <v>315</v>
      </c>
      <c r="B40" s="7" t="s">
        <v>269</v>
      </c>
      <c r="C40" s="7" t="s">
        <v>316</v>
      </c>
      <c r="D40" s="7" t="s">
        <v>317</v>
      </c>
      <c r="E40" s="16" t="s">
        <v>78</v>
      </c>
      <c r="F40" s="16" t="s">
        <v>96</v>
      </c>
      <c r="G40" s="7" t="s">
        <v>138</v>
      </c>
      <c r="H40" s="7" t="s">
        <v>1</v>
      </c>
      <c r="I40" s="7" t="s">
        <v>318</v>
      </c>
      <c r="J40" s="7" t="s">
        <v>319</v>
      </c>
      <c r="K40" s="7" t="s">
        <v>320</v>
      </c>
      <c r="L40" s="7" t="s">
        <v>220</v>
      </c>
      <c r="M40" s="3" t="s">
        <v>1</v>
      </c>
      <c r="N40" s="17" t="s">
        <v>22</v>
      </c>
      <c r="O40" s="3" t="s">
        <v>1</v>
      </c>
      <c r="P40" s="18" t="s">
        <v>1</v>
      </c>
      <c r="Q40" s="3" t="s">
        <v>1</v>
      </c>
    </row>
    <row r="41" ht="25.5" spans="1:17">
      <c r="A41" s="6" t="s">
        <v>321</v>
      </c>
      <c r="B41" s="7" t="s">
        <v>269</v>
      </c>
      <c r="C41" s="7" t="s">
        <v>316</v>
      </c>
      <c r="D41" s="7" t="s">
        <v>322</v>
      </c>
      <c r="E41" s="16" t="s">
        <v>78</v>
      </c>
      <c r="F41" s="16" t="s">
        <v>131</v>
      </c>
      <c r="G41" s="7" t="s">
        <v>138</v>
      </c>
      <c r="H41" s="7" t="s">
        <v>1</v>
      </c>
      <c r="I41" s="7" t="s">
        <v>323</v>
      </c>
      <c r="J41" s="7" t="s">
        <v>324</v>
      </c>
      <c r="K41" s="7" t="s">
        <v>325</v>
      </c>
      <c r="L41" s="7" t="s">
        <v>220</v>
      </c>
      <c r="M41" s="3" t="s">
        <v>1</v>
      </c>
      <c r="N41" s="17" t="s">
        <v>22</v>
      </c>
      <c r="O41" s="3" t="s">
        <v>1</v>
      </c>
      <c r="P41" s="18" t="s">
        <v>1</v>
      </c>
      <c r="Q41" s="3" t="s">
        <v>1</v>
      </c>
    </row>
    <row r="42" ht="25.5" spans="1:17">
      <c r="A42" s="6" t="s">
        <v>326</v>
      </c>
      <c r="B42" s="7" t="s">
        <v>269</v>
      </c>
      <c r="C42" s="7" t="s">
        <v>316</v>
      </c>
      <c r="D42" s="7" t="s">
        <v>327</v>
      </c>
      <c r="E42" s="16" t="s">
        <v>166</v>
      </c>
      <c r="F42" s="16" t="s">
        <v>131</v>
      </c>
      <c r="G42" s="7" t="s">
        <v>138</v>
      </c>
      <c r="H42" s="7" t="s">
        <v>1</v>
      </c>
      <c r="I42" s="7" t="s">
        <v>328</v>
      </c>
      <c r="J42" s="7" t="s">
        <v>329</v>
      </c>
      <c r="K42" s="7" t="s">
        <v>330</v>
      </c>
      <c r="L42" s="7" t="s">
        <v>220</v>
      </c>
      <c r="M42" s="3" t="s">
        <v>1</v>
      </c>
      <c r="N42" s="17" t="s">
        <v>22</v>
      </c>
      <c r="O42" s="3" t="s">
        <v>1</v>
      </c>
      <c r="P42" s="18" t="s">
        <v>1</v>
      </c>
      <c r="Q42" s="3" t="s">
        <v>1</v>
      </c>
    </row>
    <row r="43" ht="25.5" spans="1:17">
      <c r="A43" s="6" t="s">
        <v>331</v>
      </c>
      <c r="B43" s="7" t="s">
        <v>269</v>
      </c>
      <c r="C43" s="7" t="s">
        <v>332</v>
      </c>
      <c r="D43" s="7" t="s">
        <v>333</v>
      </c>
      <c r="E43" s="16" t="s">
        <v>78</v>
      </c>
      <c r="F43" s="16" t="s">
        <v>96</v>
      </c>
      <c r="G43" s="7" t="s">
        <v>138</v>
      </c>
      <c r="H43" s="7" t="s">
        <v>334</v>
      </c>
      <c r="I43" s="7" t="s">
        <v>335</v>
      </c>
      <c r="J43" s="7" t="s">
        <v>336</v>
      </c>
      <c r="K43" s="7" t="s">
        <v>337</v>
      </c>
      <c r="L43" s="7" t="s">
        <v>220</v>
      </c>
      <c r="M43" s="3" t="s">
        <v>1</v>
      </c>
      <c r="N43" s="17" t="s">
        <v>22</v>
      </c>
      <c r="O43" s="3" t="s">
        <v>1</v>
      </c>
      <c r="P43" s="18" t="s">
        <v>1</v>
      </c>
      <c r="Q43" s="3" t="s">
        <v>1</v>
      </c>
    </row>
    <row r="44" ht="25.5" spans="1:17">
      <c r="A44" s="6" t="s">
        <v>338</v>
      </c>
      <c r="B44" s="7" t="s">
        <v>269</v>
      </c>
      <c r="C44" s="7" t="s">
        <v>332</v>
      </c>
      <c r="D44" s="7" t="s">
        <v>339</v>
      </c>
      <c r="E44" s="16" t="s">
        <v>166</v>
      </c>
      <c r="F44" s="16" t="s">
        <v>131</v>
      </c>
      <c r="G44" s="7" t="s">
        <v>138</v>
      </c>
      <c r="H44" s="7" t="s">
        <v>1</v>
      </c>
      <c r="I44" s="7" t="s">
        <v>340</v>
      </c>
      <c r="J44" s="7" t="s">
        <v>341</v>
      </c>
      <c r="K44" s="7" t="s">
        <v>342</v>
      </c>
      <c r="L44" s="7" t="s">
        <v>240</v>
      </c>
      <c r="M44" s="3" t="s">
        <v>1</v>
      </c>
      <c r="N44" s="17" t="s">
        <v>22</v>
      </c>
      <c r="O44" s="3" t="s">
        <v>1</v>
      </c>
      <c r="P44" s="18" t="s">
        <v>1</v>
      </c>
      <c r="Q44" s="3" t="s">
        <v>1</v>
      </c>
    </row>
    <row r="45" ht="25.5" spans="1:17">
      <c r="A45" s="6" t="s">
        <v>343</v>
      </c>
      <c r="B45" s="7" t="s">
        <v>269</v>
      </c>
      <c r="C45" s="7" t="s">
        <v>344</v>
      </c>
      <c r="D45" s="7" t="s">
        <v>345</v>
      </c>
      <c r="E45" s="16" t="s">
        <v>78</v>
      </c>
      <c r="F45" s="16" t="s">
        <v>131</v>
      </c>
      <c r="G45" s="7" t="s">
        <v>97</v>
      </c>
      <c r="H45" s="7" t="s">
        <v>346</v>
      </c>
      <c r="I45" s="7" t="s">
        <v>347</v>
      </c>
      <c r="J45" s="7" t="s">
        <v>348</v>
      </c>
      <c r="K45" s="7" t="s">
        <v>349</v>
      </c>
      <c r="L45" s="7" t="s">
        <v>127</v>
      </c>
      <c r="M45" s="3" t="s">
        <v>1</v>
      </c>
      <c r="N45" s="17" t="s">
        <v>22</v>
      </c>
      <c r="O45" s="3" t="s">
        <v>1</v>
      </c>
      <c r="P45" s="18" t="s">
        <v>1</v>
      </c>
      <c r="Q45" s="3" t="s">
        <v>1</v>
      </c>
    </row>
    <row r="46" ht="25.5" spans="1:17">
      <c r="A46" s="6" t="s">
        <v>350</v>
      </c>
      <c r="B46" s="7" t="s">
        <v>269</v>
      </c>
      <c r="C46" s="7" t="s">
        <v>344</v>
      </c>
      <c r="D46" s="7" t="s">
        <v>351</v>
      </c>
      <c r="E46" s="16" t="s">
        <v>78</v>
      </c>
      <c r="F46" s="16" t="s">
        <v>151</v>
      </c>
      <c r="G46" s="7" t="s">
        <v>97</v>
      </c>
      <c r="H46" s="7" t="s">
        <v>1</v>
      </c>
      <c r="I46" s="7" t="s">
        <v>352</v>
      </c>
      <c r="J46" s="7" t="s">
        <v>353</v>
      </c>
      <c r="K46" s="7" t="s">
        <v>354</v>
      </c>
      <c r="L46" s="7" t="s">
        <v>127</v>
      </c>
      <c r="M46" s="3" t="s">
        <v>1</v>
      </c>
      <c r="N46" s="17" t="s">
        <v>22</v>
      </c>
      <c r="O46" s="3" t="s">
        <v>1</v>
      </c>
      <c r="P46" s="18" t="s">
        <v>1</v>
      </c>
      <c r="Q46" s="3" t="s">
        <v>1</v>
      </c>
    </row>
    <row r="47" ht="25.5" spans="1:17">
      <c r="A47" s="6" t="s">
        <v>355</v>
      </c>
      <c r="B47" s="7" t="s">
        <v>269</v>
      </c>
      <c r="C47" s="7" t="s">
        <v>344</v>
      </c>
      <c r="D47" s="7" t="s">
        <v>356</v>
      </c>
      <c r="E47" s="16" t="s">
        <v>78</v>
      </c>
      <c r="F47" s="16" t="s">
        <v>151</v>
      </c>
      <c r="G47" s="7" t="s">
        <v>97</v>
      </c>
      <c r="H47" s="7" t="s">
        <v>357</v>
      </c>
      <c r="I47" s="7" t="s">
        <v>358</v>
      </c>
      <c r="J47" s="7" t="s">
        <v>359</v>
      </c>
      <c r="K47" s="7" t="s">
        <v>360</v>
      </c>
      <c r="L47" s="7" t="s">
        <v>127</v>
      </c>
      <c r="M47" s="3" t="s">
        <v>1</v>
      </c>
      <c r="N47" s="17" t="s">
        <v>22</v>
      </c>
      <c r="O47" s="3" t="s">
        <v>1</v>
      </c>
      <c r="P47" s="18" t="s">
        <v>1</v>
      </c>
      <c r="Q47" s="3" t="s">
        <v>1</v>
      </c>
    </row>
    <row r="48" ht="38.25" spans="1:17">
      <c r="A48" s="6" t="s">
        <v>361</v>
      </c>
      <c r="B48" s="7" t="s">
        <v>269</v>
      </c>
      <c r="C48" s="7" t="s">
        <v>362</v>
      </c>
      <c r="D48" s="7" t="s">
        <v>363</v>
      </c>
      <c r="E48" s="16" t="s">
        <v>78</v>
      </c>
      <c r="F48" s="16" t="s">
        <v>131</v>
      </c>
      <c r="G48" s="7" t="s">
        <v>182</v>
      </c>
      <c r="H48" s="7" t="s">
        <v>1</v>
      </c>
      <c r="I48" s="7" t="s">
        <v>364</v>
      </c>
      <c r="J48" s="7" t="s">
        <v>1</v>
      </c>
      <c r="K48" s="7" t="s">
        <v>365</v>
      </c>
      <c r="L48" s="7" t="s">
        <v>220</v>
      </c>
      <c r="M48" s="3" t="s">
        <v>1</v>
      </c>
      <c r="N48" s="17" t="s">
        <v>22</v>
      </c>
      <c r="O48" s="3" t="s">
        <v>1</v>
      </c>
      <c r="P48" s="18" t="s">
        <v>1</v>
      </c>
      <c r="Q48" s="3" t="s">
        <v>1</v>
      </c>
    </row>
    <row r="49" ht="25.5" spans="1:17">
      <c r="A49" s="6" t="s">
        <v>366</v>
      </c>
      <c r="B49" s="7" t="s">
        <v>269</v>
      </c>
      <c r="C49" s="7" t="s">
        <v>367</v>
      </c>
      <c r="D49" s="7" t="s">
        <v>368</v>
      </c>
      <c r="E49" s="16" t="s">
        <v>78</v>
      </c>
      <c r="F49" s="16" t="s">
        <v>96</v>
      </c>
      <c r="G49" s="7" t="s">
        <v>182</v>
      </c>
      <c r="H49" s="7" t="s">
        <v>369</v>
      </c>
      <c r="I49" s="7" t="s">
        <v>370</v>
      </c>
      <c r="J49" s="7" t="s">
        <v>371</v>
      </c>
      <c r="K49" s="7" t="s">
        <v>372</v>
      </c>
      <c r="L49" s="7" t="s">
        <v>220</v>
      </c>
      <c r="M49" s="3" t="s">
        <v>1</v>
      </c>
      <c r="N49" s="17" t="s">
        <v>22</v>
      </c>
      <c r="O49" s="3" t="s">
        <v>1</v>
      </c>
      <c r="P49" s="18" t="s">
        <v>1</v>
      </c>
      <c r="Q49" s="3" t="s">
        <v>1</v>
      </c>
    </row>
    <row r="50" ht="25.5" spans="1:17">
      <c r="A50" s="6" t="s">
        <v>373</v>
      </c>
      <c r="B50" s="7" t="s">
        <v>269</v>
      </c>
      <c r="C50" s="7" t="s">
        <v>367</v>
      </c>
      <c r="D50" s="7" t="s">
        <v>374</v>
      </c>
      <c r="E50" s="16" t="s">
        <v>166</v>
      </c>
      <c r="F50" s="16" t="s">
        <v>96</v>
      </c>
      <c r="G50" s="7" t="s">
        <v>182</v>
      </c>
      <c r="H50" s="7" t="s">
        <v>375</v>
      </c>
      <c r="I50" s="7" t="s">
        <v>376</v>
      </c>
      <c r="J50" s="7" t="s">
        <v>1</v>
      </c>
      <c r="K50" s="7" t="s">
        <v>377</v>
      </c>
      <c r="L50" s="7" t="s">
        <v>378</v>
      </c>
      <c r="M50" s="3" t="s">
        <v>1</v>
      </c>
      <c r="N50" s="17" t="s">
        <v>22</v>
      </c>
      <c r="O50" s="3" t="s">
        <v>1</v>
      </c>
      <c r="P50" s="18" t="s">
        <v>1</v>
      </c>
      <c r="Q50" s="3" t="s">
        <v>1</v>
      </c>
    </row>
    <row r="51" ht="25.5" spans="1:17">
      <c r="A51" s="6" t="s">
        <v>379</v>
      </c>
      <c r="B51" s="7" t="s">
        <v>269</v>
      </c>
      <c r="C51" s="7" t="s">
        <v>367</v>
      </c>
      <c r="D51" s="7" t="s">
        <v>380</v>
      </c>
      <c r="E51" s="16" t="s">
        <v>166</v>
      </c>
      <c r="F51" s="16" t="s">
        <v>131</v>
      </c>
      <c r="G51" s="7" t="s">
        <v>182</v>
      </c>
      <c r="H51" s="7" t="s">
        <v>381</v>
      </c>
      <c r="I51" s="7" t="s">
        <v>382</v>
      </c>
      <c r="J51" s="7" t="s">
        <v>1</v>
      </c>
      <c r="K51" s="7" t="s">
        <v>383</v>
      </c>
      <c r="L51" s="7" t="s">
        <v>378</v>
      </c>
      <c r="M51" s="3" t="s">
        <v>1</v>
      </c>
      <c r="N51" s="17" t="s">
        <v>22</v>
      </c>
      <c r="O51" s="3" t="s">
        <v>1</v>
      </c>
      <c r="P51" s="18" t="s">
        <v>1</v>
      </c>
      <c r="Q51" s="3" t="s">
        <v>1</v>
      </c>
    </row>
    <row r="52" ht="25.5" spans="1:17">
      <c r="A52" s="6" t="s">
        <v>384</v>
      </c>
      <c r="B52" s="7" t="s">
        <v>269</v>
      </c>
      <c r="C52" s="7" t="s">
        <v>367</v>
      </c>
      <c r="D52" s="7" t="s">
        <v>385</v>
      </c>
      <c r="E52" s="16" t="s">
        <v>78</v>
      </c>
      <c r="F52" s="16" t="s">
        <v>151</v>
      </c>
      <c r="G52" s="7" t="s">
        <v>244</v>
      </c>
      <c r="H52" s="7" t="s">
        <v>386</v>
      </c>
      <c r="I52" s="7" t="s">
        <v>387</v>
      </c>
      <c r="J52" s="7" t="s">
        <v>1</v>
      </c>
      <c r="K52" s="7" t="s">
        <v>388</v>
      </c>
      <c r="L52" s="7" t="s">
        <v>389</v>
      </c>
      <c r="M52" s="3" t="s">
        <v>1</v>
      </c>
      <c r="N52" s="17" t="s">
        <v>22</v>
      </c>
      <c r="O52" s="3" t="s">
        <v>1</v>
      </c>
      <c r="P52" s="18" t="s">
        <v>1</v>
      </c>
      <c r="Q52" s="3" t="s">
        <v>1</v>
      </c>
    </row>
    <row r="53" ht="25.5" spans="1:17">
      <c r="A53" s="6" t="s">
        <v>390</v>
      </c>
      <c r="B53" s="7" t="s">
        <v>269</v>
      </c>
      <c r="C53" s="7" t="s">
        <v>391</v>
      </c>
      <c r="D53" s="7" t="s">
        <v>392</v>
      </c>
      <c r="E53" s="16" t="s">
        <v>78</v>
      </c>
      <c r="F53" s="16" t="s">
        <v>131</v>
      </c>
      <c r="G53" s="7" t="s">
        <v>244</v>
      </c>
      <c r="H53" s="7" t="s">
        <v>1</v>
      </c>
      <c r="I53" s="7" t="s">
        <v>393</v>
      </c>
      <c r="J53" s="7" t="s">
        <v>1</v>
      </c>
      <c r="K53" s="7" t="s">
        <v>394</v>
      </c>
      <c r="L53" s="7" t="s">
        <v>389</v>
      </c>
      <c r="M53" s="3" t="s">
        <v>1</v>
      </c>
      <c r="N53" s="17" t="s">
        <v>22</v>
      </c>
      <c r="O53" s="3" t="s">
        <v>1</v>
      </c>
      <c r="P53" s="18" t="s">
        <v>1</v>
      </c>
      <c r="Q53" s="3" t="s">
        <v>1</v>
      </c>
    </row>
    <row r="54" ht="25.5" spans="1:17">
      <c r="A54" s="6" t="s">
        <v>395</v>
      </c>
      <c r="B54" s="7" t="s">
        <v>269</v>
      </c>
      <c r="C54" s="7" t="s">
        <v>396</v>
      </c>
      <c r="D54" s="7" t="s">
        <v>397</v>
      </c>
      <c r="E54" s="16" t="s">
        <v>78</v>
      </c>
      <c r="F54" s="16" t="s">
        <v>151</v>
      </c>
      <c r="G54" s="7" t="s">
        <v>244</v>
      </c>
      <c r="H54" s="7" t="s">
        <v>1</v>
      </c>
      <c r="I54" s="7" t="s">
        <v>398</v>
      </c>
      <c r="J54" s="7" t="s">
        <v>1</v>
      </c>
      <c r="K54" s="7" t="s">
        <v>399</v>
      </c>
      <c r="L54" s="7" t="s">
        <v>220</v>
      </c>
      <c r="M54" s="3" t="s">
        <v>1</v>
      </c>
      <c r="N54" s="17" t="s">
        <v>22</v>
      </c>
      <c r="O54" s="3" t="s">
        <v>1</v>
      </c>
      <c r="P54" s="18" t="s">
        <v>1</v>
      </c>
      <c r="Q54" s="3" t="s">
        <v>1</v>
      </c>
    </row>
    <row r="55" ht="51" spans="1:17">
      <c r="A55" s="6" t="s">
        <v>400</v>
      </c>
      <c r="B55" s="7" t="s">
        <v>269</v>
      </c>
      <c r="C55" s="7" t="s">
        <v>401</v>
      </c>
      <c r="D55" s="7" t="s">
        <v>402</v>
      </c>
      <c r="E55" s="16" t="s">
        <v>78</v>
      </c>
      <c r="F55" s="16" t="s">
        <v>96</v>
      </c>
      <c r="G55" s="7" t="s">
        <v>244</v>
      </c>
      <c r="H55" s="7" t="s">
        <v>1</v>
      </c>
      <c r="I55" s="7" t="s">
        <v>403</v>
      </c>
      <c r="J55" s="7" t="s">
        <v>1</v>
      </c>
      <c r="K55" s="7" t="s">
        <v>404</v>
      </c>
      <c r="L55" s="7" t="s">
        <v>405</v>
      </c>
      <c r="M55" s="3" t="s">
        <v>1</v>
      </c>
      <c r="N55" s="17" t="s">
        <v>22</v>
      </c>
      <c r="O55" s="3" t="s">
        <v>1</v>
      </c>
      <c r="P55" s="18" t="s">
        <v>1</v>
      </c>
      <c r="Q55" s="3" t="s">
        <v>1</v>
      </c>
    </row>
    <row r="56" ht="25.5" spans="1:17">
      <c r="A56" s="6" t="s">
        <v>406</v>
      </c>
      <c r="B56" s="7" t="s">
        <v>269</v>
      </c>
      <c r="C56" s="7" t="s">
        <v>401</v>
      </c>
      <c r="D56" s="7" t="s">
        <v>407</v>
      </c>
      <c r="E56" s="16" t="s">
        <v>166</v>
      </c>
      <c r="F56" s="16" t="s">
        <v>131</v>
      </c>
      <c r="G56" s="7" t="s">
        <v>244</v>
      </c>
      <c r="H56" s="7" t="s">
        <v>1</v>
      </c>
      <c r="I56" s="7" t="s">
        <v>408</v>
      </c>
      <c r="J56" s="7" t="s">
        <v>1</v>
      </c>
      <c r="K56" s="7" t="s">
        <v>409</v>
      </c>
      <c r="L56" s="7" t="s">
        <v>410</v>
      </c>
      <c r="M56" s="3" t="s">
        <v>1</v>
      </c>
      <c r="N56" s="17" t="s">
        <v>22</v>
      </c>
      <c r="O56" s="3" t="s">
        <v>1</v>
      </c>
      <c r="P56" s="18" t="s">
        <v>1</v>
      </c>
      <c r="Q56" s="3" t="s">
        <v>1</v>
      </c>
    </row>
    <row r="57" ht="25.5" spans="1:17">
      <c r="A57" s="6" t="s">
        <v>411</v>
      </c>
      <c r="B57" s="7" t="s">
        <v>269</v>
      </c>
      <c r="C57" s="7" t="s">
        <v>401</v>
      </c>
      <c r="D57" s="7" t="s">
        <v>412</v>
      </c>
      <c r="E57" s="16" t="s">
        <v>166</v>
      </c>
      <c r="F57" s="16" t="s">
        <v>131</v>
      </c>
      <c r="G57" s="7" t="s">
        <v>244</v>
      </c>
      <c r="H57" s="7" t="s">
        <v>1</v>
      </c>
      <c r="I57" s="7" t="s">
        <v>413</v>
      </c>
      <c r="J57" s="7" t="s">
        <v>1</v>
      </c>
      <c r="K57" s="7" t="s">
        <v>414</v>
      </c>
      <c r="L57" s="7" t="s">
        <v>378</v>
      </c>
      <c r="M57" s="3" t="s">
        <v>1</v>
      </c>
      <c r="N57" s="17" t="s">
        <v>22</v>
      </c>
      <c r="O57" s="3" t="s">
        <v>1</v>
      </c>
      <c r="P57" s="18" t="s">
        <v>1</v>
      </c>
      <c r="Q57" s="3" t="s">
        <v>1</v>
      </c>
    </row>
    <row r="58" ht="25.5" spans="1:17">
      <c r="A58" s="6" t="s">
        <v>415</v>
      </c>
      <c r="B58" s="7" t="s">
        <v>269</v>
      </c>
      <c r="C58" s="7" t="s">
        <v>401</v>
      </c>
      <c r="D58" s="7" t="s">
        <v>416</v>
      </c>
      <c r="E58" s="16" t="s">
        <v>78</v>
      </c>
      <c r="F58" s="16" t="s">
        <v>96</v>
      </c>
      <c r="G58" s="7" t="s">
        <v>244</v>
      </c>
      <c r="H58" s="7" t="s">
        <v>1</v>
      </c>
      <c r="I58" s="7" t="s">
        <v>417</v>
      </c>
      <c r="J58" s="7" t="s">
        <v>1</v>
      </c>
      <c r="K58" s="7" t="s">
        <v>418</v>
      </c>
      <c r="L58" s="7" t="s">
        <v>389</v>
      </c>
      <c r="M58" s="3" t="s">
        <v>1</v>
      </c>
      <c r="N58" s="17" t="s">
        <v>22</v>
      </c>
      <c r="O58" s="3" t="s">
        <v>1</v>
      </c>
      <c r="P58" s="18" t="s">
        <v>1</v>
      </c>
      <c r="Q58" s="3" t="s">
        <v>1</v>
      </c>
    </row>
    <row r="59" ht="25.5" spans="1:17">
      <c r="A59" s="6" t="s">
        <v>419</v>
      </c>
      <c r="B59" s="7" t="s">
        <v>269</v>
      </c>
      <c r="C59" s="7" t="s">
        <v>401</v>
      </c>
      <c r="D59" s="7" t="s">
        <v>420</v>
      </c>
      <c r="E59" s="16" t="s">
        <v>222</v>
      </c>
      <c r="F59" s="16" t="s">
        <v>96</v>
      </c>
      <c r="G59" s="7" t="s">
        <v>234</v>
      </c>
      <c r="H59" s="7" t="s">
        <v>1</v>
      </c>
      <c r="I59" s="7" t="s">
        <v>421</v>
      </c>
      <c r="J59" s="7" t="s">
        <v>1</v>
      </c>
      <c r="K59" s="7" t="s">
        <v>422</v>
      </c>
      <c r="L59" s="7" t="s">
        <v>378</v>
      </c>
      <c r="M59" s="3" t="s">
        <v>1</v>
      </c>
      <c r="N59" s="17" t="s">
        <v>22</v>
      </c>
      <c r="O59" s="3" t="s">
        <v>1</v>
      </c>
      <c r="P59" s="18" t="s">
        <v>1</v>
      </c>
      <c r="Q59" s="3" t="s">
        <v>1</v>
      </c>
    </row>
    <row r="60" ht="25.5" spans="1:17">
      <c r="A60" s="6" t="s">
        <v>423</v>
      </c>
      <c r="B60" s="7" t="s">
        <v>269</v>
      </c>
      <c r="C60" s="7" t="s">
        <v>401</v>
      </c>
      <c r="D60" s="7" t="s">
        <v>424</v>
      </c>
      <c r="E60" s="16" t="s">
        <v>78</v>
      </c>
      <c r="F60" s="16" t="s">
        <v>131</v>
      </c>
      <c r="G60" s="7" t="s">
        <v>244</v>
      </c>
      <c r="H60" s="7" t="s">
        <v>425</v>
      </c>
      <c r="I60" s="7" t="s">
        <v>426</v>
      </c>
      <c r="J60" s="7" t="s">
        <v>1</v>
      </c>
      <c r="K60" s="7" t="s">
        <v>427</v>
      </c>
      <c r="L60" s="7" t="s">
        <v>389</v>
      </c>
      <c r="M60" s="3" t="s">
        <v>1</v>
      </c>
      <c r="N60" s="17" t="s">
        <v>22</v>
      </c>
      <c r="O60" s="3" t="s">
        <v>1</v>
      </c>
      <c r="P60" s="18" t="s">
        <v>1</v>
      </c>
      <c r="Q60" s="3" t="s">
        <v>1</v>
      </c>
    </row>
    <row r="61" ht="25.5" spans="1:17">
      <c r="A61" s="6" t="s">
        <v>428</v>
      </c>
      <c r="B61" s="7" t="s">
        <v>429</v>
      </c>
      <c r="C61" s="7" t="s">
        <v>430</v>
      </c>
      <c r="D61" s="7" t="s">
        <v>431</v>
      </c>
      <c r="E61" s="16" t="s">
        <v>78</v>
      </c>
      <c r="F61" s="16" t="s">
        <v>96</v>
      </c>
      <c r="G61" s="7" t="s">
        <v>182</v>
      </c>
      <c r="H61" s="7" t="s">
        <v>1</v>
      </c>
      <c r="I61" s="7" t="s">
        <v>432</v>
      </c>
      <c r="J61" s="7" t="s">
        <v>1</v>
      </c>
      <c r="K61" s="7" t="s">
        <v>433</v>
      </c>
      <c r="L61" s="7" t="s">
        <v>220</v>
      </c>
      <c r="M61" s="3" t="s">
        <v>1</v>
      </c>
      <c r="N61" s="17" t="s">
        <v>22</v>
      </c>
      <c r="O61" s="3" t="s">
        <v>1</v>
      </c>
      <c r="P61" s="18" t="s">
        <v>1</v>
      </c>
      <c r="Q61" s="3" t="s">
        <v>1</v>
      </c>
    </row>
    <row r="62" ht="25.5" spans="1:17">
      <c r="A62" s="6" t="s">
        <v>434</v>
      </c>
      <c r="B62" s="7" t="s">
        <v>429</v>
      </c>
      <c r="C62" s="7" t="s">
        <v>430</v>
      </c>
      <c r="D62" s="7" t="s">
        <v>435</v>
      </c>
      <c r="E62" s="16" t="s">
        <v>78</v>
      </c>
      <c r="F62" s="16" t="s">
        <v>96</v>
      </c>
      <c r="G62" s="7" t="s">
        <v>182</v>
      </c>
      <c r="H62" s="7" t="s">
        <v>436</v>
      </c>
      <c r="I62" s="7" t="s">
        <v>437</v>
      </c>
      <c r="J62" s="7" t="s">
        <v>1</v>
      </c>
      <c r="K62" s="7" t="s">
        <v>438</v>
      </c>
      <c r="L62" s="7" t="s">
        <v>220</v>
      </c>
      <c r="M62" s="3" t="s">
        <v>1</v>
      </c>
      <c r="N62" s="17" t="s">
        <v>22</v>
      </c>
      <c r="O62" s="3" t="s">
        <v>1</v>
      </c>
      <c r="P62" s="18" t="s">
        <v>1</v>
      </c>
      <c r="Q62" s="3" t="s">
        <v>1</v>
      </c>
    </row>
    <row r="63" ht="25.5" spans="1:17">
      <c r="A63" s="6" t="s">
        <v>439</v>
      </c>
      <c r="B63" s="7" t="s">
        <v>429</v>
      </c>
      <c r="C63" s="7" t="s">
        <v>430</v>
      </c>
      <c r="D63" s="7" t="s">
        <v>440</v>
      </c>
      <c r="E63" s="16" t="s">
        <v>78</v>
      </c>
      <c r="F63" s="16" t="s">
        <v>131</v>
      </c>
      <c r="G63" s="7" t="s">
        <v>182</v>
      </c>
      <c r="H63" s="7" t="s">
        <v>1</v>
      </c>
      <c r="I63" s="7" t="s">
        <v>441</v>
      </c>
      <c r="J63" s="7" t="s">
        <v>1</v>
      </c>
      <c r="K63" s="7" t="s">
        <v>442</v>
      </c>
      <c r="L63" s="7" t="s">
        <v>220</v>
      </c>
      <c r="M63" s="3" t="s">
        <v>1</v>
      </c>
      <c r="N63" s="17" t="s">
        <v>22</v>
      </c>
      <c r="O63" s="3" t="s">
        <v>1</v>
      </c>
      <c r="P63" s="18" t="s">
        <v>1</v>
      </c>
      <c r="Q63" s="3" t="s">
        <v>1</v>
      </c>
    </row>
    <row r="64" ht="25.5" spans="1:17">
      <c r="A64" s="6" t="s">
        <v>443</v>
      </c>
      <c r="B64" s="7" t="s">
        <v>429</v>
      </c>
      <c r="C64" s="7" t="s">
        <v>430</v>
      </c>
      <c r="D64" s="7" t="s">
        <v>444</v>
      </c>
      <c r="E64" s="16" t="s">
        <v>166</v>
      </c>
      <c r="F64" s="16" t="s">
        <v>96</v>
      </c>
      <c r="G64" s="7" t="s">
        <v>182</v>
      </c>
      <c r="H64" s="7" t="s">
        <v>445</v>
      </c>
      <c r="I64" s="7" t="s">
        <v>446</v>
      </c>
      <c r="J64" s="7" t="s">
        <v>447</v>
      </c>
      <c r="K64" s="7" t="s">
        <v>448</v>
      </c>
      <c r="L64" s="7" t="s">
        <v>220</v>
      </c>
      <c r="M64" s="3" t="s">
        <v>1</v>
      </c>
      <c r="N64" s="17" t="s">
        <v>22</v>
      </c>
      <c r="O64" s="3" t="s">
        <v>1</v>
      </c>
      <c r="P64" s="18" t="s">
        <v>1</v>
      </c>
      <c r="Q64" s="3" t="s">
        <v>1</v>
      </c>
    </row>
    <row r="65" ht="38.25" spans="1:17">
      <c r="A65" s="6" t="s">
        <v>449</v>
      </c>
      <c r="B65" s="7" t="s">
        <v>429</v>
      </c>
      <c r="C65" s="7" t="s">
        <v>450</v>
      </c>
      <c r="D65" s="7" t="s">
        <v>451</v>
      </c>
      <c r="E65" s="16" t="s">
        <v>78</v>
      </c>
      <c r="F65" s="16" t="s">
        <v>96</v>
      </c>
      <c r="G65" s="7" t="s">
        <v>182</v>
      </c>
      <c r="H65" s="7" t="s">
        <v>452</v>
      </c>
      <c r="I65" s="7" t="s">
        <v>453</v>
      </c>
      <c r="J65" s="7" t="s">
        <v>1</v>
      </c>
      <c r="K65" s="7" t="s">
        <v>454</v>
      </c>
      <c r="L65" s="7" t="s">
        <v>455</v>
      </c>
      <c r="M65" s="3" t="s">
        <v>1</v>
      </c>
      <c r="N65" s="17" t="s">
        <v>22</v>
      </c>
      <c r="O65" s="3" t="s">
        <v>1</v>
      </c>
      <c r="P65" s="18" t="s">
        <v>1</v>
      </c>
      <c r="Q65" s="3" t="s">
        <v>1</v>
      </c>
    </row>
    <row r="66" ht="38.25" spans="1:17">
      <c r="A66" s="6" t="s">
        <v>456</v>
      </c>
      <c r="B66" s="7" t="s">
        <v>429</v>
      </c>
      <c r="C66" s="7" t="s">
        <v>457</v>
      </c>
      <c r="D66" s="7" t="s">
        <v>458</v>
      </c>
      <c r="E66" s="16" t="s">
        <v>78</v>
      </c>
      <c r="F66" s="16" t="s">
        <v>96</v>
      </c>
      <c r="G66" s="7" t="s">
        <v>182</v>
      </c>
      <c r="H66" s="7" t="s">
        <v>459</v>
      </c>
      <c r="I66" s="7" t="s">
        <v>460</v>
      </c>
      <c r="J66" s="7" t="s">
        <v>1</v>
      </c>
      <c r="K66" s="7" t="s">
        <v>461</v>
      </c>
      <c r="L66" s="7" t="s">
        <v>462</v>
      </c>
      <c r="M66" s="3" t="s">
        <v>1</v>
      </c>
      <c r="N66" s="17" t="s">
        <v>22</v>
      </c>
      <c r="O66" s="3" t="s">
        <v>1</v>
      </c>
      <c r="P66" s="18" t="s">
        <v>1</v>
      </c>
      <c r="Q66" s="3" t="s">
        <v>1</v>
      </c>
    </row>
    <row r="67" ht="25.5" spans="1:17">
      <c r="A67" s="6" t="s">
        <v>463</v>
      </c>
      <c r="B67" s="7" t="s">
        <v>429</v>
      </c>
      <c r="C67" s="7" t="s">
        <v>457</v>
      </c>
      <c r="D67" s="7" t="s">
        <v>464</v>
      </c>
      <c r="E67" s="16" t="s">
        <v>111</v>
      </c>
      <c r="F67" s="16" t="s">
        <v>96</v>
      </c>
      <c r="G67" s="7" t="s">
        <v>244</v>
      </c>
      <c r="H67" s="7" t="s">
        <v>465</v>
      </c>
      <c r="I67" s="7" t="s">
        <v>466</v>
      </c>
      <c r="J67" s="7" t="s">
        <v>1</v>
      </c>
      <c r="K67" s="7" t="s">
        <v>467</v>
      </c>
      <c r="L67" s="7" t="s">
        <v>468</v>
      </c>
      <c r="M67" s="3" t="s">
        <v>1</v>
      </c>
      <c r="N67" s="17" t="s">
        <v>22</v>
      </c>
      <c r="O67" s="3" t="s">
        <v>1</v>
      </c>
      <c r="P67" s="18" t="s">
        <v>1</v>
      </c>
      <c r="Q67" s="3" t="s">
        <v>1</v>
      </c>
    </row>
    <row r="68" ht="25.5" spans="1:17">
      <c r="A68" s="6" t="s">
        <v>469</v>
      </c>
      <c r="B68" s="7" t="s">
        <v>429</v>
      </c>
      <c r="C68" s="7" t="s">
        <v>470</v>
      </c>
      <c r="D68" s="7" t="s">
        <v>471</v>
      </c>
      <c r="E68" s="16" t="s">
        <v>78</v>
      </c>
      <c r="F68" s="16" t="s">
        <v>96</v>
      </c>
      <c r="G68" s="7" t="s">
        <v>244</v>
      </c>
      <c r="H68" s="7" t="s">
        <v>472</v>
      </c>
      <c r="I68" s="7" t="s">
        <v>473</v>
      </c>
      <c r="J68" s="7" t="s">
        <v>1</v>
      </c>
      <c r="K68" s="7" t="s">
        <v>474</v>
      </c>
      <c r="L68" s="7" t="s">
        <v>220</v>
      </c>
      <c r="M68" s="3" t="s">
        <v>1</v>
      </c>
      <c r="N68" s="17" t="s">
        <v>22</v>
      </c>
      <c r="O68" s="3" t="s">
        <v>1</v>
      </c>
      <c r="P68" s="18" t="s">
        <v>1</v>
      </c>
      <c r="Q68" s="3" t="s">
        <v>1</v>
      </c>
    </row>
    <row r="69" ht="25.5" spans="1:17">
      <c r="A69" s="6" t="s">
        <v>475</v>
      </c>
      <c r="B69" s="7" t="s">
        <v>429</v>
      </c>
      <c r="C69" s="7" t="s">
        <v>470</v>
      </c>
      <c r="D69" s="7" t="s">
        <v>476</v>
      </c>
      <c r="E69" s="16" t="s">
        <v>78</v>
      </c>
      <c r="F69" s="16" t="s">
        <v>96</v>
      </c>
      <c r="G69" s="7" t="s">
        <v>244</v>
      </c>
      <c r="H69" s="7" t="s">
        <v>477</v>
      </c>
      <c r="I69" s="7" t="s">
        <v>478</v>
      </c>
      <c r="J69" s="7" t="s">
        <v>1</v>
      </c>
      <c r="K69" s="7" t="s">
        <v>479</v>
      </c>
      <c r="L69" s="7" t="s">
        <v>480</v>
      </c>
      <c r="M69" s="3" t="s">
        <v>1</v>
      </c>
      <c r="N69" s="17" t="s">
        <v>22</v>
      </c>
      <c r="O69" s="3" t="s">
        <v>1</v>
      </c>
      <c r="P69" s="18" t="s">
        <v>1</v>
      </c>
      <c r="Q69" s="3" t="s">
        <v>1</v>
      </c>
    </row>
    <row r="70" ht="25.5" spans="1:17">
      <c r="A70" s="6" t="s">
        <v>481</v>
      </c>
      <c r="B70" s="7" t="s">
        <v>429</v>
      </c>
      <c r="C70" s="7" t="s">
        <v>482</v>
      </c>
      <c r="D70" s="7" t="s">
        <v>483</v>
      </c>
      <c r="E70" s="16" t="s">
        <v>78</v>
      </c>
      <c r="F70" s="16" t="s">
        <v>131</v>
      </c>
      <c r="G70" s="7" t="s">
        <v>182</v>
      </c>
      <c r="H70" s="7" t="s">
        <v>1</v>
      </c>
      <c r="I70" s="7" t="s">
        <v>484</v>
      </c>
      <c r="J70" s="7" t="s">
        <v>1</v>
      </c>
      <c r="K70" s="7" t="s">
        <v>485</v>
      </c>
      <c r="L70" s="7" t="s">
        <v>220</v>
      </c>
      <c r="M70" s="3" t="s">
        <v>1</v>
      </c>
      <c r="N70" s="17" t="s">
        <v>22</v>
      </c>
      <c r="O70" s="3" t="s">
        <v>1</v>
      </c>
      <c r="P70" s="18" t="s">
        <v>1</v>
      </c>
      <c r="Q70" s="3" t="s">
        <v>1</v>
      </c>
    </row>
    <row r="71" ht="25.5" spans="1:17">
      <c r="A71" s="6" t="s">
        <v>486</v>
      </c>
      <c r="B71" s="7" t="s">
        <v>429</v>
      </c>
      <c r="C71" s="7" t="s">
        <v>487</v>
      </c>
      <c r="D71" s="7" t="s">
        <v>488</v>
      </c>
      <c r="E71" s="16" t="s">
        <v>78</v>
      </c>
      <c r="F71" s="16" t="s">
        <v>151</v>
      </c>
      <c r="G71" s="7" t="s">
        <v>182</v>
      </c>
      <c r="H71" s="7" t="s">
        <v>489</v>
      </c>
      <c r="I71" s="7" t="s">
        <v>490</v>
      </c>
      <c r="J71" s="7" t="s">
        <v>1</v>
      </c>
      <c r="K71" s="7" t="s">
        <v>491</v>
      </c>
      <c r="L71" s="7" t="s">
        <v>220</v>
      </c>
      <c r="M71" s="3" t="s">
        <v>1</v>
      </c>
      <c r="N71" s="17" t="s">
        <v>22</v>
      </c>
      <c r="O71" s="3" t="s">
        <v>1</v>
      </c>
      <c r="P71" s="18" t="s">
        <v>1</v>
      </c>
      <c r="Q71" s="3" t="s">
        <v>1</v>
      </c>
    </row>
    <row r="72" ht="25.5" spans="1:17">
      <c r="A72" s="6" t="s">
        <v>492</v>
      </c>
      <c r="B72" s="7" t="s">
        <v>429</v>
      </c>
      <c r="C72" s="7" t="s">
        <v>493</v>
      </c>
      <c r="D72" s="7" t="s">
        <v>494</v>
      </c>
      <c r="E72" s="16" t="s">
        <v>78</v>
      </c>
      <c r="F72" s="16" t="s">
        <v>96</v>
      </c>
      <c r="G72" s="7" t="s">
        <v>182</v>
      </c>
      <c r="H72" s="7" t="s">
        <v>495</v>
      </c>
      <c r="I72" s="7" t="s">
        <v>496</v>
      </c>
      <c r="J72" s="7" t="s">
        <v>1</v>
      </c>
      <c r="K72" s="7" t="s">
        <v>497</v>
      </c>
      <c r="L72" s="7" t="s">
        <v>498</v>
      </c>
      <c r="M72" s="3" t="s">
        <v>1</v>
      </c>
      <c r="N72" s="17" t="s">
        <v>22</v>
      </c>
      <c r="O72" s="3" t="s">
        <v>1</v>
      </c>
      <c r="P72" s="18" t="s">
        <v>1</v>
      </c>
      <c r="Q72" s="3" t="s">
        <v>1</v>
      </c>
    </row>
    <row r="73" ht="25.5" spans="1:17">
      <c r="A73" s="6" t="s">
        <v>499</v>
      </c>
      <c r="B73" s="7" t="s">
        <v>429</v>
      </c>
      <c r="C73" s="7" t="s">
        <v>493</v>
      </c>
      <c r="D73" s="7" t="s">
        <v>500</v>
      </c>
      <c r="E73" s="16" t="s">
        <v>78</v>
      </c>
      <c r="F73" s="16" t="s">
        <v>131</v>
      </c>
      <c r="G73" s="7" t="s">
        <v>182</v>
      </c>
      <c r="H73" s="7" t="s">
        <v>501</v>
      </c>
      <c r="I73" s="7" t="s">
        <v>502</v>
      </c>
      <c r="J73" s="7" t="s">
        <v>1</v>
      </c>
      <c r="K73" s="7" t="s">
        <v>497</v>
      </c>
      <c r="L73" s="7" t="s">
        <v>503</v>
      </c>
      <c r="M73" s="3" t="s">
        <v>1</v>
      </c>
      <c r="N73" s="17" t="s">
        <v>22</v>
      </c>
      <c r="O73" s="3" t="s">
        <v>1</v>
      </c>
      <c r="P73" s="18" t="s">
        <v>1</v>
      </c>
      <c r="Q73" s="3" t="s">
        <v>1</v>
      </c>
    </row>
    <row r="74" ht="25.5" spans="1:17">
      <c r="A74" s="6" t="s">
        <v>504</v>
      </c>
      <c r="B74" s="7" t="s">
        <v>429</v>
      </c>
      <c r="C74" s="7" t="s">
        <v>493</v>
      </c>
      <c r="D74" s="7" t="s">
        <v>505</v>
      </c>
      <c r="E74" s="16" t="s">
        <v>222</v>
      </c>
      <c r="F74" s="16" t="s">
        <v>96</v>
      </c>
      <c r="G74" s="7" t="s">
        <v>506</v>
      </c>
      <c r="H74" s="7" t="s">
        <v>477</v>
      </c>
      <c r="I74" s="7" t="s">
        <v>507</v>
      </c>
      <c r="J74" s="7" t="s">
        <v>1</v>
      </c>
      <c r="K74" s="7" t="s">
        <v>508</v>
      </c>
      <c r="L74" s="7" t="s">
        <v>247</v>
      </c>
      <c r="M74" s="3" t="s">
        <v>1</v>
      </c>
      <c r="N74" s="17" t="s">
        <v>22</v>
      </c>
      <c r="O74" s="3" t="s">
        <v>1</v>
      </c>
      <c r="P74" s="18" t="s">
        <v>1</v>
      </c>
      <c r="Q74" s="3" t="s">
        <v>1</v>
      </c>
    </row>
    <row r="75" ht="25.5" spans="1:17">
      <c r="A75" s="6" t="s">
        <v>509</v>
      </c>
      <c r="B75" s="7" t="s">
        <v>429</v>
      </c>
      <c r="C75" s="7" t="s">
        <v>493</v>
      </c>
      <c r="D75" s="7" t="s">
        <v>510</v>
      </c>
      <c r="E75" s="16" t="s">
        <v>166</v>
      </c>
      <c r="F75" s="16" t="s">
        <v>131</v>
      </c>
      <c r="G75" s="7" t="s">
        <v>244</v>
      </c>
      <c r="H75" s="7" t="s">
        <v>511</v>
      </c>
      <c r="I75" s="7" t="s">
        <v>512</v>
      </c>
      <c r="J75" s="7" t="s">
        <v>1</v>
      </c>
      <c r="K75" s="7" t="s">
        <v>513</v>
      </c>
      <c r="L75" s="7" t="s">
        <v>220</v>
      </c>
      <c r="M75" s="3" t="s">
        <v>1</v>
      </c>
      <c r="N75" s="17" t="s">
        <v>22</v>
      </c>
      <c r="O75" s="3" t="s">
        <v>1</v>
      </c>
      <c r="P75" s="18" t="s">
        <v>1</v>
      </c>
      <c r="Q75" s="3" t="s">
        <v>1</v>
      </c>
    </row>
    <row r="76" ht="25.5" spans="1:17">
      <c r="A76" s="6" t="s">
        <v>514</v>
      </c>
      <c r="B76" s="7" t="s">
        <v>429</v>
      </c>
      <c r="C76" s="7" t="s">
        <v>493</v>
      </c>
      <c r="D76" s="7" t="s">
        <v>515</v>
      </c>
      <c r="E76" s="16" t="s">
        <v>166</v>
      </c>
      <c r="F76" s="16" t="s">
        <v>151</v>
      </c>
      <c r="G76" s="7" t="s">
        <v>182</v>
      </c>
      <c r="H76" s="7" t="s">
        <v>516</v>
      </c>
      <c r="I76" s="7" t="s">
        <v>517</v>
      </c>
      <c r="J76" s="7" t="s">
        <v>1</v>
      </c>
      <c r="K76" s="7" t="s">
        <v>518</v>
      </c>
      <c r="L76" s="7" t="s">
        <v>519</v>
      </c>
      <c r="M76" s="3" t="s">
        <v>1</v>
      </c>
      <c r="N76" s="17" t="s">
        <v>22</v>
      </c>
      <c r="O76" s="3" t="s">
        <v>1</v>
      </c>
      <c r="P76" s="18" t="s">
        <v>1</v>
      </c>
      <c r="Q76" s="3" t="s">
        <v>1</v>
      </c>
    </row>
    <row r="77" ht="25.5" spans="1:17">
      <c r="A77" s="6" t="s">
        <v>520</v>
      </c>
      <c r="B77" s="7" t="s">
        <v>429</v>
      </c>
      <c r="C77" s="7" t="s">
        <v>457</v>
      </c>
      <c r="D77" s="7" t="s">
        <v>521</v>
      </c>
      <c r="E77" s="16" t="s">
        <v>166</v>
      </c>
      <c r="F77" s="16" t="s">
        <v>96</v>
      </c>
      <c r="G77" s="7" t="s">
        <v>182</v>
      </c>
      <c r="H77" s="7" t="s">
        <v>1</v>
      </c>
      <c r="I77" s="7" t="s">
        <v>522</v>
      </c>
      <c r="J77" s="7" t="s">
        <v>1</v>
      </c>
      <c r="K77" s="7" t="s">
        <v>523</v>
      </c>
      <c r="L77" s="7" t="s">
        <v>240</v>
      </c>
      <c r="M77" s="3" t="s">
        <v>1</v>
      </c>
      <c r="N77" s="17" t="s">
        <v>22</v>
      </c>
      <c r="O77" s="3" t="s">
        <v>1</v>
      </c>
      <c r="P77" s="18" t="s">
        <v>1</v>
      </c>
      <c r="Q77" s="3" t="s">
        <v>1</v>
      </c>
    </row>
    <row r="78" ht="25.5" spans="1:17">
      <c r="A78" s="6" t="s">
        <v>524</v>
      </c>
      <c r="B78" s="7" t="s">
        <v>429</v>
      </c>
      <c r="C78" s="7" t="s">
        <v>457</v>
      </c>
      <c r="D78" s="7" t="s">
        <v>525</v>
      </c>
      <c r="E78" s="16" t="s">
        <v>166</v>
      </c>
      <c r="F78" s="16" t="s">
        <v>96</v>
      </c>
      <c r="G78" s="7" t="s">
        <v>182</v>
      </c>
      <c r="H78" s="7" t="s">
        <v>1</v>
      </c>
      <c r="I78" s="7" t="s">
        <v>526</v>
      </c>
      <c r="J78" s="7" t="s">
        <v>1</v>
      </c>
      <c r="K78" s="7" t="s">
        <v>527</v>
      </c>
      <c r="L78" s="7" t="s">
        <v>528</v>
      </c>
      <c r="M78" s="3" t="s">
        <v>1</v>
      </c>
      <c r="N78" s="17" t="s">
        <v>22</v>
      </c>
      <c r="O78" s="3" t="s">
        <v>1</v>
      </c>
      <c r="P78" s="18" t="s">
        <v>1</v>
      </c>
      <c r="Q78" s="3" t="s">
        <v>1</v>
      </c>
    </row>
    <row r="79" ht="25.5" spans="1:17">
      <c r="A79" s="6" t="s">
        <v>529</v>
      </c>
      <c r="B79" s="7" t="s">
        <v>429</v>
      </c>
      <c r="C79" s="7" t="s">
        <v>530</v>
      </c>
      <c r="D79" s="7" t="s">
        <v>531</v>
      </c>
      <c r="E79" s="16" t="s">
        <v>78</v>
      </c>
      <c r="F79" s="16" t="s">
        <v>131</v>
      </c>
      <c r="G79" s="7" t="s">
        <v>182</v>
      </c>
      <c r="H79" s="7" t="s">
        <v>501</v>
      </c>
      <c r="I79" s="7" t="s">
        <v>532</v>
      </c>
      <c r="J79" s="7" t="s">
        <v>1</v>
      </c>
      <c r="K79" s="7" t="s">
        <v>533</v>
      </c>
      <c r="L79" s="7" t="s">
        <v>503</v>
      </c>
      <c r="M79" s="3" t="s">
        <v>1</v>
      </c>
      <c r="N79" s="17" t="s">
        <v>22</v>
      </c>
      <c r="O79" s="3" t="s">
        <v>1</v>
      </c>
      <c r="P79" s="18" t="s">
        <v>1</v>
      </c>
      <c r="Q79" s="3" t="s">
        <v>1</v>
      </c>
    </row>
    <row r="80" ht="25.5" spans="1:17">
      <c r="A80" s="6" t="s">
        <v>534</v>
      </c>
      <c r="B80" s="7" t="s">
        <v>429</v>
      </c>
      <c r="C80" s="7" t="s">
        <v>450</v>
      </c>
      <c r="D80" s="7" t="s">
        <v>535</v>
      </c>
      <c r="E80" s="16" t="s">
        <v>166</v>
      </c>
      <c r="F80" s="16" t="s">
        <v>131</v>
      </c>
      <c r="G80" s="7" t="s">
        <v>182</v>
      </c>
      <c r="H80" s="7" t="s">
        <v>536</v>
      </c>
      <c r="I80" s="7" t="s">
        <v>537</v>
      </c>
      <c r="J80" s="7" t="s">
        <v>1</v>
      </c>
      <c r="K80" s="7" t="s">
        <v>538</v>
      </c>
      <c r="L80" s="7" t="s">
        <v>220</v>
      </c>
      <c r="M80" s="3" t="s">
        <v>1</v>
      </c>
      <c r="N80" s="17" t="s">
        <v>22</v>
      </c>
      <c r="O80" s="3" t="s">
        <v>1</v>
      </c>
      <c r="P80" s="18" t="s">
        <v>1</v>
      </c>
      <c r="Q80" s="3" t="s">
        <v>1</v>
      </c>
    </row>
    <row r="81" ht="25.5" spans="1:17">
      <c r="A81" s="6" t="s">
        <v>539</v>
      </c>
      <c r="B81" s="7" t="s">
        <v>429</v>
      </c>
      <c r="C81" s="7" t="s">
        <v>450</v>
      </c>
      <c r="D81" s="7" t="s">
        <v>540</v>
      </c>
      <c r="E81" s="16" t="s">
        <v>166</v>
      </c>
      <c r="F81" s="16" t="s">
        <v>131</v>
      </c>
      <c r="G81" s="7" t="s">
        <v>182</v>
      </c>
      <c r="H81" s="7" t="s">
        <v>1</v>
      </c>
      <c r="I81" s="7" t="s">
        <v>541</v>
      </c>
      <c r="J81" s="7" t="s">
        <v>1</v>
      </c>
      <c r="K81" s="7" t="s">
        <v>542</v>
      </c>
      <c r="L81" s="7" t="s">
        <v>220</v>
      </c>
      <c r="M81" s="3" t="s">
        <v>1</v>
      </c>
      <c r="N81" s="17" t="s">
        <v>22</v>
      </c>
      <c r="O81" s="3" t="s">
        <v>1</v>
      </c>
      <c r="P81" s="18" t="s">
        <v>1</v>
      </c>
      <c r="Q81" s="3" t="s">
        <v>1</v>
      </c>
    </row>
    <row r="82" ht="25.5" spans="1:17">
      <c r="A82" s="6" t="s">
        <v>543</v>
      </c>
      <c r="B82" s="7" t="s">
        <v>429</v>
      </c>
      <c r="C82" s="7" t="s">
        <v>457</v>
      </c>
      <c r="D82" s="7" t="s">
        <v>544</v>
      </c>
      <c r="E82" s="16" t="s">
        <v>166</v>
      </c>
      <c r="F82" s="16" t="s">
        <v>151</v>
      </c>
      <c r="G82" s="7" t="s">
        <v>545</v>
      </c>
      <c r="H82" s="7" t="s">
        <v>546</v>
      </c>
      <c r="I82" s="7" t="s">
        <v>547</v>
      </c>
      <c r="J82" s="7" t="s">
        <v>1</v>
      </c>
      <c r="K82" s="7" t="s">
        <v>548</v>
      </c>
      <c r="L82" s="7" t="s">
        <v>549</v>
      </c>
      <c r="M82" s="3" t="s">
        <v>1</v>
      </c>
      <c r="N82" s="17" t="s">
        <v>22</v>
      </c>
      <c r="O82" s="3" t="s">
        <v>1</v>
      </c>
      <c r="P82" s="18" t="s">
        <v>1</v>
      </c>
      <c r="Q82" s="3" t="s">
        <v>1</v>
      </c>
    </row>
    <row r="83" spans="1:17">
      <c r="A83" s="6" t="s">
        <v>550</v>
      </c>
      <c r="B83" s="7" t="s">
        <v>551</v>
      </c>
      <c r="C83" s="7" t="s">
        <v>552</v>
      </c>
      <c r="D83" s="7" t="s">
        <v>553</v>
      </c>
      <c r="E83" s="16" t="s">
        <v>78</v>
      </c>
      <c r="F83" s="16" t="s">
        <v>131</v>
      </c>
      <c r="G83" s="7" t="s">
        <v>244</v>
      </c>
      <c r="H83" s="7" t="s">
        <v>1</v>
      </c>
      <c r="I83" s="7" t="s">
        <v>554</v>
      </c>
      <c r="J83" s="7" t="s">
        <v>1</v>
      </c>
      <c r="K83" s="7" t="s">
        <v>555</v>
      </c>
      <c r="L83" s="7" t="s">
        <v>220</v>
      </c>
      <c r="M83" s="3" t="s">
        <v>1</v>
      </c>
      <c r="N83" s="17" t="s">
        <v>22</v>
      </c>
      <c r="O83" s="3" t="s">
        <v>1</v>
      </c>
      <c r="P83" s="18" t="s">
        <v>1</v>
      </c>
      <c r="Q83" s="3" t="s">
        <v>1</v>
      </c>
    </row>
    <row r="84" ht="25.5" spans="1:17">
      <c r="A84" s="6" t="s">
        <v>556</v>
      </c>
      <c r="B84" s="7" t="s">
        <v>551</v>
      </c>
      <c r="C84" s="7" t="s">
        <v>557</v>
      </c>
      <c r="D84" s="7" t="s">
        <v>558</v>
      </c>
      <c r="E84" s="16" t="s">
        <v>78</v>
      </c>
      <c r="F84" s="16" t="s">
        <v>96</v>
      </c>
      <c r="G84" s="7" t="s">
        <v>244</v>
      </c>
      <c r="H84" s="7" t="s">
        <v>1</v>
      </c>
      <c r="I84" s="7" t="s">
        <v>559</v>
      </c>
      <c r="J84" s="7" t="s">
        <v>560</v>
      </c>
      <c r="K84" s="7" t="s">
        <v>561</v>
      </c>
      <c r="L84" s="7" t="s">
        <v>562</v>
      </c>
      <c r="M84" s="3" t="s">
        <v>1</v>
      </c>
      <c r="N84" s="17" t="s">
        <v>22</v>
      </c>
      <c r="O84" s="3" t="s">
        <v>1</v>
      </c>
      <c r="P84" s="18" t="s">
        <v>1</v>
      </c>
      <c r="Q84" s="3" t="s">
        <v>1</v>
      </c>
    </row>
    <row r="85" spans="1:17">
      <c r="A85" s="6" t="s">
        <v>563</v>
      </c>
      <c r="B85" s="7" t="s">
        <v>551</v>
      </c>
      <c r="C85" s="7" t="s">
        <v>557</v>
      </c>
      <c r="D85" s="7" t="s">
        <v>564</v>
      </c>
      <c r="E85" s="16" t="s">
        <v>166</v>
      </c>
      <c r="F85" s="16" t="s">
        <v>131</v>
      </c>
      <c r="G85" s="7" t="s">
        <v>244</v>
      </c>
      <c r="H85" s="7" t="s">
        <v>1</v>
      </c>
      <c r="I85" s="7" t="s">
        <v>565</v>
      </c>
      <c r="J85" s="7" t="s">
        <v>566</v>
      </c>
      <c r="K85" s="7" t="s">
        <v>567</v>
      </c>
      <c r="L85" s="7" t="s">
        <v>378</v>
      </c>
      <c r="M85" s="3" t="s">
        <v>1</v>
      </c>
      <c r="N85" s="17" t="s">
        <v>22</v>
      </c>
      <c r="O85" s="3" t="s">
        <v>1</v>
      </c>
      <c r="P85" s="18" t="s">
        <v>1</v>
      </c>
      <c r="Q85" s="3" t="s">
        <v>1</v>
      </c>
    </row>
    <row r="86" spans="1:17">
      <c r="A86" s="6" t="s">
        <v>568</v>
      </c>
      <c r="B86" s="7" t="s">
        <v>551</v>
      </c>
      <c r="C86" s="7" t="s">
        <v>557</v>
      </c>
      <c r="D86" s="7" t="s">
        <v>569</v>
      </c>
      <c r="E86" s="16" t="s">
        <v>222</v>
      </c>
      <c r="F86" s="16" t="s">
        <v>151</v>
      </c>
      <c r="G86" s="7" t="s">
        <v>234</v>
      </c>
      <c r="H86" s="7" t="s">
        <v>1</v>
      </c>
      <c r="I86" s="7" t="s">
        <v>570</v>
      </c>
      <c r="J86" s="7" t="s">
        <v>1</v>
      </c>
      <c r="K86" s="7" t="s">
        <v>571</v>
      </c>
      <c r="L86" s="7" t="s">
        <v>572</v>
      </c>
      <c r="M86" s="3" t="s">
        <v>1</v>
      </c>
      <c r="N86" s="17" t="s">
        <v>22</v>
      </c>
      <c r="O86" s="3" t="s">
        <v>1</v>
      </c>
      <c r="P86" s="18" t="s">
        <v>1</v>
      </c>
      <c r="Q86" s="3" t="s">
        <v>1</v>
      </c>
    </row>
    <row r="87" ht="25.5" spans="1:17">
      <c r="A87" s="6" t="s">
        <v>573</v>
      </c>
      <c r="B87" s="7" t="s">
        <v>551</v>
      </c>
      <c r="C87" s="7" t="s">
        <v>574</v>
      </c>
      <c r="D87" s="7" t="s">
        <v>575</v>
      </c>
      <c r="E87" s="16" t="s">
        <v>78</v>
      </c>
      <c r="F87" s="16" t="s">
        <v>131</v>
      </c>
      <c r="G87" s="7" t="s">
        <v>244</v>
      </c>
      <c r="H87" s="7" t="s">
        <v>576</v>
      </c>
      <c r="I87" s="7" t="s">
        <v>577</v>
      </c>
      <c r="J87" s="7" t="s">
        <v>1</v>
      </c>
      <c r="K87" s="7" t="s">
        <v>578</v>
      </c>
      <c r="L87" s="7" t="s">
        <v>220</v>
      </c>
      <c r="M87" s="3" t="s">
        <v>1</v>
      </c>
      <c r="N87" s="17" t="s">
        <v>22</v>
      </c>
      <c r="O87" s="3" t="s">
        <v>1</v>
      </c>
      <c r="P87" s="18" t="s">
        <v>1</v>
      </c>
      <c r="Q87" s="3" t="s">
        <v>1</v>
      </c>
    </row>
    <row r="88" ht="38.25" spans="1:17">
      <c r="A88" s="6" t="s">
        <v>579</v>
      </c>
      <c r="B88" s="7" t="s">
        <v>551</v>
      </c>
      <c r="C88" s="7" t="s">
        <v>580</v>
      </c>
      <c r="D88" s="7" t="s">
        <v>581</v>
      </c>
      <c r="E88" s="16" t="s">
        <v>111</v>
      </c>
      <c r="F88" s="16" t="s">
        <v>131</v>
      </c>
      <c r="G88" s="7" t="s">
        <v>244</v>
      </c>
      <c r="H88" s="7" t="s">
        <v>1</v>
      </c>
      <c r="I88" s="7" t="s">
        <v>582</v>
      </c>
      <c r="J88" s="7" t="s">
        <v>1</v>
      </c>
      <c r="K88" s="7" t="s">
        <v>583</v>
      </c>
      <c r="L88" s="7" t="s">
        <v>584</v>
      </c>
      <c r="M88" s="3" t="s">
        <v>1</v>
      </c>
      <c r="N88" s="17" t="s">
        <v>22</v>
      </c>
      <c r="O88" s="3" t="s">
        <v>1</v>
      </c>
      <c r="P88" s="18" t="s">
        <v>1</v>
      </c>
      <c r="Q88" s="3" t="s">
        <v>1</v>
      </c>
    </row>
    <row r="89" spans="1:17">
      <c r="A89" s="6" t="s">
        <v>585</v>
      </c>
      <c r="B89" s="7" t="s">
        <v>586</v>
      </c>
      <c r="C89" s="7" t="s">
        <v>587</v>
      </c>
      <c r="D89" s="7" t="s">
        <v>588</v>
      </c>
      <c r="E89" s="16" t="s">
        <v>111</v>
      </c>
      <c r="F89" s="16" t="s">
        <v>96</v>
      </c>
      <c r="G89" s="7" t="s">
        <v>182</v>
      </c>
      <c r="H89" s="7" t="s">
        <v>1</v>
      </c>
      <c r="I89" s="7" t="s">
        <v>589</v>
      </c>
      <c r="J89" s="7" t="s">
        <v>1</v>
      </c>
      <c r="K89" s="7" t="s">
        <v>590</v>
      </c>
      <c r="L89" s="7" t="s">
        <v>227</v>
      </c>
      <c r="M89" s="3" t="s">
        <v>1</v>
      </c>
      <c r="N89" s="17" t="s">
        <v>22</v>
      </c>
      <c r="O89" s="3" t="s">
        <v>1</v>
      </c>
      <c r="P89" s="18" t="s">
        <v>1</v>
      </c>
      <c r="Q89" s="3" t="s">
        <v>1</v>
      </c>
    </row>
    <row r="90" ht="51" spans="1:17">
      <c r="A90" s="6" t="s">
        <v>591</v>
      </c>
      <c r="B90" s="7" t="s">
        <v>586</v>
      </c>
      <c r="C90" s="7" t="s">
        <v>587</v>
      </c>
      <c r="D90" s="7" t="s">
        <v>592</v>
      </c>
      <c r="E90" s="16" t="s">
        <v>111</v>
      </c>
      <c r="F90" s="16" t="s">
        <v>96</v>
      </c>
      <c r="G90" s="7" t="s">
        <v>182</v>
      </c>
      <c r="H90" s="7" t="s">
        <v>593</v>
      </c>
      <c r="I90" s="7" t="s">
        <v>594</v>
      </c>
      <c r="J90" s="7" t="s">
        <v>595</v>
      </c>
      <c r="K90" s="7" t="s">
        <v>596</v>
      </c>
      <c r="L90" s="7" t="s">
        <v>597</v>
      </c>
      <c r="M90" s="3" t="s">
        <v>1</v>
      </c>
      <c r="N90" s="17" t="s">
        <v>22</v>
      </c>
      <c r="O90" s="3" t="s">
        <v>1</v>
      </c>
      <c r="P90" s="18" t="s">
        <v>1</v>
      </c>
      <c r="Q90" s="3" t="s">
        <v>1</v>
      </c>
    </row>
    <row r="91" ht="25.5" spans="1:17">
      <c r="A91" s="6" t="s">
        <v>598</v>
      </c>
      <c r="B91" s="7" t="s">
        <v>586</v>
      </c>
      <c r="C91" s="7" t="s">
        <v>587</v>
      </c>
      <c r="D91" s="7" t="s">
        <v>599</v>
      </c>
      <c r="E91" s="16" t="s">
        <v>166</v>
      </c>
      <c r="F91" s="16" t="s">
        <v>96</v>
      </c>
      <c r="G91" s="7" t="s">
        <v>182</v>
      </c>
      <c r="H91" s="7" t="s">
        <v>1</v>
      </c>
      <c r="I91" s="7" t="s">
        <v>600</v>
      </c>
      <c r="J91" s="7" t="s">
        <v>1</v>
      </c>
      <c r="K91" s="7" t="s">
        <v>601</v>
      </c>
      <c r="L91" s="7" t="s">
        <v>503</v>
      </c>
      <c r="M91" s="3" t="s">
        <v>1</v>
      </c>
      <c r="N91" s="17" t="s">
        <v>22</v>
      </c>
      <c r="O91" s="3" t="s">
        <v>1</v>
      </c>
      <c r="P91" s="18" t="s">
        <v>1</v>
      </c>
      <c r="Q91" s="3" t="s">
        <v>1</v>
      </c>
    </row>
    <row r="92" ht="25.5" spans="1:17">
      <c r="A92" s="6" t="s">
        <v>602</v>
      </c>
      <c r="B92" s="7" t="s">
        <v>586</v>
      </c>
      <c r="C92" s="7" t="s">
        <v>587</v>
      </c>
      <c r="D92" s="7" t="s">
        <v>603</v>
      </c>
      <c r="E92" s="16" t="s">
        <v>166</v>
      </c>
      <c r="F92" s="16" t="s">
        <v>131</v>
      </c>
      <c r="G92" s="7" t="s">
        <v>182</v>
      </c>
      <c r="H92" s="7" t="s">
        <v>1</v>
      </c>
      <c r="I92" s="7" t="s">
        <v>604</v>
      </c>
      <c r="J92" s="7" t="s">
        <v>1</v>
      </c>
      <c r="K92" s="7" t="s">
        <v>605</v>
      </c>
      <c r="L92" s="7" t="s">
        <v>606</v>
      </c>
      <c r="M92" s="3" t="s">
        <v>1</v>
      </c>
      <c r="N92" s="17" t="s">
        <v>22</v>
      </c>
      <c r="O92" s="3" t="s">
        <v>1</v>
      </c>
      <c r="P92" s="18" t="s">
        <v>1</v>
      </c>
      <c r="Q92" s="3" t="s">
        <v>1</v>
      </c>
    </row>
    <row r="93" ht="25.5" spans="1:17">
      <c r="A93" s="6" t="s">
        <v>607</v>
      </c>
      <c r="B93" s="7" t="s">
        <v>586</v>
      </c>
      <c r="C93" s="7" t="s">
        <v>587</v>
      </c>
      <c r="D93" s="7" t="s">
        <v>608</v>
      </c>
      <c r="E93" s="16" t="s">
        <v>609</v>
      </c>
      <c r="F93" s="16" t="s">
        <v>96</v>
      </c>
      <c r="G93" s="7" t="s">
        <v>182</v>
      </c>
      <c r="H93" s="7" t="s">
        <v>610</v>
      </c>
      <c r="I93" s="7" t="s">
        <v>611</v>
      </c>
      <c r="J93" s="7" t="s">
        <v>1</v>
      </c>
      <c r="K93" s="7" t="s">
        <v>612</v>
      </c>
      <c r="L93" s="7" t="s">
        <v>613</v>
      </c>
      <c r="M93" s="3" t="s">
        <v>1</v>
      </c>
      <c r="N93" s="17" t="s">
        <v>22</v>
      </c>
      <c r="O93" s="3" t="s">
        <v>1</v>
      </c>
      <c r="P93" s="18" t="s">
        <v>1</v>
      </c>
      <c r="Q93" s="3" t="s">
        <v>1</v>
      </c>
    </row>
    <row r="94" spans="1:17">
      <c r="A94" s="6" t="s">
        <v>614</v>
      </c>
      <c r="B94" s="7" t="s">
        <v>586</v>
      </c>
      <c r="C94" s="7" t="s">
        <v>615</v>
      </c>
      <c r="D94" s="7" t="s">
        <v>616</v>
      </c>
      <c r="E94" s="16" t="s">
        <v>78</v>
      </c>
      <c r="F94" s="16" t="s">
        <v>131</v>
      </c>
      <c r="G94" s="7" t="s">
        <v>244</v>
      </c>
      <c r="H94" s="7" t="s">
        <v>1</v>
      </c>
      <c r="I94" s="7" t="s">
        <v>617</v>
      </c>
      <c r="J94" s="7" t="s">
        <v>1</v>
      </c>
      <c r="K94" s="7" t="s">
        <v>618</v>
      </c>
      <c r="L94" s="7" t="s">
        <v>220</v>
      </c>
      <c r="M94" s="3" t="s">
        <v>1</v>
      </c>
      <c r="N94" s="17" t="s">
        <v>22</v>
      </c>
      <c r="O94" s="3" t="s">
        <v>1</v>
      </c>
      <c r="P94" s="18" t="s">
        <v>1</v>
      </c>
      <c r="Q94" s="3" t="s">
        <v>1</v>
      </c>
    </row>
    <row r="95" ht="38.25" spans="1:17">
      <c r="A95" s="6" t="s">
        <v>619</v>
      </c>
      <c r="B95" s="7" t="s">
        <v>586</v>
      </c>
      <c r="C95" s="7" t="s">
        <v>620</v>
      </c>
      <c r="D95" s="7" t="s">
        <v>621</v>
      </c>
      <c r="E95" s="16" t="s">
        <v>78</v>
      </c>
      <c r="F95" s="16" t="s">
        <v>96</v>
      </c>
      <c r="G95" s="7" t="s">
        <v>244</v>
      </c>
      <c r="H95" s="7" t="s">
        <v>622</v>
      </c>
      <c r="I95" s="7" t="s">
        <v>623</v>
      </c>
      <c r="J95" s="7" t="s">
        <v>1</v>
      </c>
      <c r="K95" s="7" t="s">
        <v>624</v>
      </c>
      <c r="L95" s="7" t="s">
        <v>625</v>
      </c>
      <c r="M95" s="3" t="s">
        <v>1</v>
      </c>
      <c r="N95" s="17" t="s">
        <v>22</v>
      </c>
      <c r="O95" s="3" t="s">
        <v>1</v>
      </c>
      <c r="P95" s="18" t="s">
        <v>1</v>
      </c>
      <c r="Q95" s="3" t="s">
        <v>1</v>
      </c>
    </row>
    <row r="96" spans="1:17">
      <c r="A96" s="6" t="s">
        <v>626</v>
      </c>
      <c r="B96" s="7" t="s">
        <v>586</v>
      </c>
      <c r="C96" s="7" t="s">
        <v>620</v>
      </c>
      <c r="D96" s="7" t="s">
        <v>627</v>
      </c>
      <c r="E96" s="16" t="s">
        <v>78</v>
      </c>
      <c r="F96" s="16" t="s">
        <v>131</v>
      </c>
      <c r="G96" s="7" t="s">
        <v>244</v>
      </c>
      <c r="H96" s="7" t="s">
        <v>622</v>
      </c>
      <c r="I96" s="7" t="s">
        <v>628</v>
      </c>
      <c r="J96" s="7" t="s">
        <v>629</v>
      </c>
      <c r="K96" s="7" t="s">
        <v>630</v>
      </c>
      <c r="L96" s="7" t="s">
        <v>480</v>
      </c>
      <c r="M96" s="3" t="s">
        <v>1</v>
      </c>
      <c r="N96" s="17" t="s">
        <v>22</v>
      </c>
      <c r="O96" s="3" t="s">
        <v>1</v>
      </c>
      <c r="P96" s="18" t="s">
        <v>1</v>
      </c>
      <c r="Q96" s="3" t="s">
        <v>1</v>
      </c>
    </row>
    <row r="97" spans="1:17">
      <c r="A97" s="6" t="s">
        <v>631</v>
      </c>
      <c r="B97" s="7" t="s">
        <v>586</v>
      </c>
      <c r="C97" s="7" t="s">
        <v>620</v>
      </c>
      <c r="D97" s="7" t="s">
        <v>632</v>
      </c>
      <c r="E97" s="16" t="s">
        <v>222</v>
      </c>
      <c r="F97" s="16" t="s">
        <v>96</v>
      </c>
      <c r="G97" s="7" t="s">
        <v>234</v>
      </c>
      <c r="H97" s="7" t="s">
        <v>1</v>
      </c>
      <c r="I97" s="7" t="s">
        <v>633</v>
      </c>
      <c r="J97" s="7" t="s">
        <v>1</v>
      </c>
      <c r="K97" s="7" t="s">
        <v>634</v>
      </c>
      <c r="L97" s="7" t="s">
        <v>240</v>
      </c>
      <c r="M97" s="3" t="s">
        <v>1</v>
      </c>
      <c r="N97" s="17" t="s">
        <v>22</v>
      </c>
      <c r="O97" s="3" t="s">
        <v>1</v>
      </c>
      <c r="P97" s="18" t="s">
        <v>1</v>
      </c>
      <c r="Q97" s="3" t="s">
        <v>1</v>
      </c>
    </row>
    <row r="98" ht="25.5" spans="1:17">
      <c r="A98" s="6" t="s">
        <v>635</v>
      </c>
      <c r="B98" s="7" t="s">
        <v>586</v>
      </c>
      <c r="C98" s="7" t="s">
        <v>620</v>
      </c>
      <c r="D98" s="7" t="s">
        <v>636</v>
      </c>
      <c r="E98" s="16" t="s">
        <v>111</v>
      </c>
      <c r="F98" s="16" t="s">
        <v>96</v>
      </c>
      <c r="G98" s="7" t="s">
        <v>182</v>
      </c>
      <c r="H98" s="7" t="s">
        <v>637</v>
      </c>
      <c r="I98" s="7" t="s">
        <v>638</v>
      </c>
      <c r="J98" s="7" t="s">
        <v>1</v>
      </c>
      <c r="K98" s="7" t="s">
        <v>639</v>
      </c>
      <c r="L98" s="7" t="s">
        <v>625</v>
      </c>
      <c r="M98" s="3" t="s">
        <v>1</v>
      </c>
      <c r="N98" s="17" t="s">
        <v>22</v>
      </c>
      <c r="O98" s="3" t="s">
        <v>1</v>
      </c>
      <c r="P98" s="18" t="s">
        <v>1</v>
      </c>
      <c r="Q98" s="3" t="s">
        <v>1</v>
      </c>
    </row>
    <row r="99" ht="25.5" spans="1:17">
      <c r="A99" s="6" t="s">
        <v>640</v>
      </c>
      <c r="B99" s="7" t="s">
        <v>586</v>
      </c>
      <c r="C99" s="7" t="s">
        <v>641</v>
      </c>
      <c r="D99" s="7" t="s">
        <v>642</v>
      </c>
      <c r="E99" s="16" t="s">
        <v>78</v>
      </c>
      <c r="F99" s="16" t="s">
        <v>131</v>
      </c>
      <c r="G99" s="7" t="s">
        <v>244</v>
      </c>
      <c r="H99" s="7" t="s">
        <v>643</v>
      </c>
      <c r="I99" s="7" t="s">
        <v>644</v>
      </c>
      <c r="J99" s="7" t="s">
        <v>1</v>
      </c>
      <c r="K99" s="7" t="s">
        <v>645</v>
      </c>
      <c r="L99" s="7" t="s">
        <v>480</v>
      </c>
      <c r="M99" s="3" t="s">
        <v>1</v>
      </c>
      <c r="N99" s="17" t="s">
        <v>22</v>
      </c>
      <c r="O99" s="3" t="s">
        <v>1</v>
      </c>
      <c r="P99" s="18" t="s">
        <v>1</v>
      </c>
      <c r="Q99" s="3" t="s">
        <v>1</v>
      </c>
    </row>
    <row r="100" ht="25.5" spans="1:17">
      <c r="A100" s="6" t="s">
        <v>646</v>
      </c>
      <c r="B100" s="7" t="s">
        <v>647</v>
      </c>
      <c r="C100" s="7" t="s">
        <v>648</v>
      </c>
      <c r="D100" s="7" t="s">
        <v>649</v>
      </c>
      <c r="E100" s="16" t="s">
        <v>78</v>
      </c>
      <c r="F100" s="16" t="s">
        <v>96</v>
      </c>
      <c r="G100" s="7" t="s">
        <v>244</v>
      </c>
      <c r="H100" s="7" t="s">
        <v>1</v>
      </c>
      <c r="I100" s="7" t="s">
        <v>650</v>
      </c>
      <c r="J100" s="7" t="s">
        <v>1</v>
      </c>
      <c r="K100" s="7" t="s">
        <v>651</v>
      </c>
      <c r="L100" s="7" t="s">
        <v>220</v>
      </c>
      <c r="M100" s="3" t="s">
        <v>1</v>
      </c>
      <c r="N100" s="17" t="s">
        <v>22</v>
      </c>
      <c r="O100" s="3" t="s">
        <v>1</v>
      </c>
      <c r="P100" s="18" t="s">
        <v>1</v>
      </c>
      <c r="Q100" s="3" t="s">
        <v>1</v>
      </c>
    </row>
    <row r="101" ht="76.5" spans="1:17">
      <c r="A101" s="6" t="s">
        <v>652</v>
      </c>
      <c r="B101" s="7" t="s">
        <v>647</v>
      </c>
      <c r="C101" s="7" t="s">
        <v>648</v>
      </c>
      <c r="D101" s="7" t="s">
        <v>653</v>
      </c>
      <c r="E101" s="16" t="s">
        <v>78</v>
      </c>
      <c r="F101" s="16" t="s">
        <v>96</v>
      </c>
      <c r="G101" s="7" t="s">
        <v>244</v>
      </c>
      <c r="H101" s="7" t="s">
        <v>1</v>
      </c>
      <c r="I101" s="7" t="s">
        <v>654</v>
      </c>
      <c r="J101" s="7" t="s">
        <v>1</v>
      </c>
      <c r="K101" s="7" t="s">
        <v>655</v>
      </c>
      <c r="L101" s="7" t="s">
        <v>220</v>
      </c>
      <c r="M101" s="3" t="s">
        <v>1</v>
      </c>
      <c r="N101" s="17" t="s">
        <v>22</v>
      </c>
      <c r="O101" s="3" t="s">
        <v>1</v>
      </c>
      <c r="P101" s="18" t="s">
        <v>1</v>
      </c>
      <c r="Q101" s="3" t="s">
        <v>1</v>
      </c>
    </row>
    <row r="102" ht="38.25" spans="1:17">
      <c r="A102" s="6" t="s">
        <v>656</v>
      </c>
      <c r="B102" s="7" t="s">
        <v>647</v>
      </c>
      <c r="C102" s="7" t="s">
        <v>648</v>
      </c>
      <c r="D102" s="7" t="s">
        <v>657</v>
      </c>
      <c r="E102" s="16" t="s">
        <v>166</v>
      </c>
      <c r="F102" s="16" t="s">
        <v>131</v>
      </c>
      <c r="G102" s="7" t="s">
        <v>244</v>
      </c>
      <c r="H102" s="7" t="s">
        <v>1</v>
      </c>
      <c r="I102" s="7" t="s">
        <v>658</v>
      </c>
      <c r="J102" s="7" t="s">
        <v>1</v>
      </c>
      <c r="K102" s="7" t="s">
        <v>659</v>
      </c>
      <c r="L102" s="7" t="s">
        <v>378</v>
      </c>
      <c r="M102" s="3" t="s">
        <v>1</v>
      </c>
      <c r="N102" s="17" t="s">
        <v>22</v>
      </c>
      <c r="O102" s="3" t="s">
        <v>1</v>
      </c>
      <c r="P102" s="18" t="s">
        <v>1</v>
      </c>
      <c r="Q102" s="3" t="s">
        <v>1</v>
      </c>
    </row>
    <row r="103" ht="25.5" spans="1:17">
      <c r="A103" s="6" t="s">
        <v>660</v>
      </c>
      <c r="B103" s="7" t="s">
        <v>647</v>
      </c>
      <c r="C103" s="7" t="s">
        <v>648</v>
      </c>
      <c r="D103" s="7" t="s">
        <v>661</v>
      </c>
      <c r="E103" s="16" t="s">
        <v>78</v>
      </c>
      <c r="F103" s="16" t="s">
        <v>96</v>
      </c>
      <c r="G103" s="7" t="s">
        <v>244</v>
      </c>
      <c r="H103" s="7" t="s">
        <v>662</v>
      </c>
      <c r="I103" s="7" t="s">
        <v>663</v>
      </c>
      <c r="J103" s="7" t="s">
        <v>1</v>
      </c>
      <c r="K103" s="7" t="s">
        <v>664</v>
      </c>
      <c r="L103" s="7" t="s">
        <v>665</v>
      </c>
      <c r="M103" s="3" t="s">
        <v>1</v>
      </c>
      <c r="N103" s="17" t="s">
        <v>22</v>
      </c>
      <c r="O103" s="3" t="s">
        <v>1</v>
      </c>
      <c r="P103" s="18" t="s">
        <v>1</v>
      </c>
      <c r="Q103" s="3" t="s">
        <v>1</v>
      </c>
    </row>
    <row r="104" ht="38.25" spans="1:17">
      <c r="A104" s="6" t="s">
        <v>666</v>
      </c>
      <c r="B104" s="7" t="s">
        <v>647</v>
      </c>
      <c r="C104" s="7" t="s">
        <v>667</v>
      </c>
      <c r="D104" s="7" t="s">
        <v>668</v>
      </c>
      <c r="E104" s="16" t="s">
        <v>111</v>
      </c>
      <c r="F104" s="16" t="s">
        <v>96</v>
      </c>
      <c r="G104" s="7" t="s">
        <v>182</v>
      </c>
      <c r="H104" s="7" t="s">
        <v>669</v>
      </c>
      <c r="I104" s="7" t="s">
        <v>670</v>
      </c>
      <c r="J104" s="7" t="s">
        <v>1</v>
      </c>
      <c r="K104" s="7" t="s">
        <v>671</v>
      </c>
      <c r="L104" s="7" t="s">
        <v>220</v>
      </c>
      <c r="M104" s="3" t="s">
        <v>1</v>
      </c>
      <c r="N104" s="17" t="s">
        <v>22</v>
      </c>
      <c r="O104" s="3" t="s">
        <v>1</v>
      </c>
      <c r="P104" s="18" t="s">
        <v>1</v>
      </c>
      <c r="Q104" s="3" t="s">
        <v>1</v>
      </c>
    </row>
    <row r="105" ht="25.5" spans="1:17">
      <c r="A105" s="6" t="s">
        <v>672</v>
      </c>
      <c r="B105" s="7" t="s">
        <v>647</v>
      </c>
      <c r="C105" s="7" t="s">
        <v>667</v>
      </c>
      <c r="D105" s="7" t="s">
        <v>673</v>
      </c>
      <c r="E105" s="16" t="s">
        <v>111</v>
      </c>
      <c r="F105" s="16" t="s">
        <v>96</v>
      </c>
      <c r="G105" s="7" t="s">
        <v>182</v>
      </c>
      <c r="H105" s="7" t="s">
        <v>674</v>
      </c>
      <c r="I105" s="7" t="s">
        <v>675</v>
      </c>
      <c r="J105" s="7" t="s">
        <v>1</v>
      </c>
      <c r="K105" s="7" t="s">
        <v>676</v>
      </c>
      <c r="L105" s="7" t="s">
        <v>220</v>
      </c>
      <c r="M105" s="3" t="s">
        <v>1</v>
      </c>
      <c r="N105" s="17" t="s">
        <v>22</v>
      </c>
      <c r="O105" s="3" t="s">
        <v>1</v>
      </c>
      <c r="P105" s="18" t="s">
        <v>1</v>
      </c>
      <c r="Q105" s="3" t="s">
        <v>1</v>
      </c>
    </row>
    <row r="106" ht="25.5" spans="1:17">
      <c r="A106" s="6" t="s">
        <v>677</v>
      </c>
      <c r="B106" s="7" t="s">
        <v>647</v>
      </c>
      <c r="C106" s="7" t="s">
        <v>667</v>
      </c>
      <c r="D106" s="7" t="s">
        <v>678</v>
      </c>
      <c r="E106" s="16" t="s">
        <v>166</v>
      </c>
      <c r="F106" s="16" t="s">
        <v>131</v>
      </c>
      <c r="G106" s="7" t="s">
        <v>182</v>
      </c>
      <c r="H106" s="7" t="s">
        <v>669</v>
      </c>
      <c r="I106" s="7" t="s">
        <v>679</v>
      </c>
      <c r="J106" s="7" t="s">
        <v>1</v>
      </c>
      <c r="K106" s="7" t="s">
        <v>680</v>
      </c>
      <c r="L106" s="7" t="s">
        <v>220</v>
      </c>
      <c r="M106" s="3" t="s">
        <v>1</v>
      </c>
      <c r="N106" s="17" t="s">
        <v>22</v>
      </c>
      <c r="O106" s="3" t="s">
        <v>1</v>
      </c>
      <c r="P106" s="18" t="s">
        <v>1</v>
      </c>
      <c r="Q106" s="3" t="s">
        <v>1</v>
      </c>
    </row>
    <row r="107" ht="25.5" spans="1:17">
      <c r="A107" s="6" t="s">
        <v>681</v>
      </c>
      <c r="B107" s="7" t="s">
        <v>647</v>
      </c>
      <c r="C107" s="7" t="s">
        <v>682</v>
      </c>
      <c r="D107" s="7" t="s">
        <v>683</v>
      </c>
      <c r="E107" s="16" t="s">
        <v>78</v>
      </c>
      <c r="F107" s="16" t="s">
        <v>96</v>
      </c>
      <c r="G107" s="7" t="s">
        <v>182</v>
      </c>
      <c r="H107" s="7" t="s">
        <v>684</v>
      </c>
      <c r="I107" s="7" t="s">
        <v>685</v>
      </c>
      <c r="J107" s="7" t="s">
        <v>1</v>
      </c>
      <c r="K107" s="7" t="s">
        <v>686</v>
      </c>
      <c r="L107" s="7" t="s">
        <v>687</v>
      </c>
      <c r="M107" s="3" t="s">
        <v>1</v>
      </c>
      <c r="N107" s="17" t="s">
        <v>22</v>
      </c>
      <c r="O107" s="3" t="s">
        <v>1</v>
      </c>
      <c r="P107" s="18" t="s">
        <v>1</v>
      </c>
      <c r="Q107" s="3" t="s">
        <v>1</v>
      </c>
    </row>
    <row r="108" ht="25.5" spans="1:17">
      <c r="A108" s="6" t="s">
        <v>688</v>
      </c>
      <c r="B108" s="7" t="s">
        <v>647</v>
      </c>
      <c r="C108" s="7" t="s">
        <v>682</v>
      </c>
      <c r="D108" s="7" t="s">
        <v>689</v>
      </c>
      <c r="E108" s="16" t="s">
        <v>111</v>
      </c>
      <c r="F108" s="16" t="s">
        <v>96</v>
      </c>
      <c r="G108" s="7" t="s">
        <v>182</v>
      </c>
      <c r="H108" s="7" t="s">
        <v>690</v>
      </c>
      <c r="I108" s="7" t="s">
        <v>691</v>
      </c>
      <c r="J108" s="7" t="s">
        <v>1</v>
      </c>
      <c r="K108" s="7" t="s">
        <v>692</v>
      </c>
      <c r="L108" s="7" t="s">
        <v>693</v>
      </c>
      <c r="M108" s="3" t="s">
        <v>1</v>
      </c>
      <c r="N108" s="17" t="s">
        <v>22</v>
      </c>
      <c r="O108" s="3" t="s">
        <v>1</v>
      </c>
      <c r="P108" s="18" t="s">
        <v>1</v>
      </c>
      <c r="Q108" s="3" t="s">
        <v>1</v>
      </c>
    </row>
    <row r="109" ht="25.5" spans="1:17">
      <c r="A109" s="6" t="s">
        <v>694</v>
      </c>
      <c r="B109" s="7" t="s">
        <v>647</v>
      </c>
      <c r="C109" s="7" t="s">
        <v>682</v>
      </c>
      <c r="D109" s="7" t="s">
        <v>695</v>
      </c>
      <c r="E109" s="16" t="s">
        <v>78</v>
      </c>
      <c r="F109" s="16" t="s">
        <v>131</v>
      </c>
      <c r="G109" s="7" t="s">
        <v>182</v>
      </c>
      <c r="H109" s="7" t="s">
        <v>690</v>
      </c>
      <c r="I109" s="7" t="s">
        <v>696</v>
      </c>
      <c r="J109" s="7" t="s">
        <v>1</v>
      </c>
      <c r="K109" s="7" t="s">
        <v>697</v>
      </c>
      <c r="L109" s="7" t="s">
        <v>693</v>
      </c>
      <c r="M109" s="3" t="s">
        <v>1</v>
      </c>
      <c r="N109" s="17" t="s">
        <v>22</v>
      </c>
      <c r="O109" s="3" t="s">
        <v>1</v>
      </c>
      <c r="P109" s="18" t="s">
        <v>1</v>
      </c>
      <c r="Q109" s="3" t="s">
        <v>1</v>
      </c>
    </row>
    <row r="110" ht="25.5" spans="1:17">
      <c r="A110" s="6" t="s">
        <v>698</v>
      </c>
      <c r="B110" s="7" t="s">
        <v>647</v>
      </c>
      <c r="C110" s="7" t="s">
        <v>682</v>
      </c>
      <c r="D110" s="7" t="s">
        <v>699</v>
      </c>
      <c r="E110" s="16" t="s">
        <v>166</v>
      </c>
      <c r="F110" s="16" t="s">
        <v>131</v>
      </c>
      <c r="G110" s="7" t="s">
        <v>182</v>
      </c>
      <c r="H110" s="7" t="s">
        <v>700</v>
      </c>
      <c r="I110" s="7" t="s">
        <v>701</v>
      </c>
      <c r="J110" s="7" t="s">
        <v>1</v>
      </c>
      <c r="K110" s="7" t="s">
        <v>702</v>
      </c>
      <c r="L110" s="7" t="s">
        <v>220</v>
      </c>
      <c r="M110" s="3" t="s">
        <v>1</v>
      </c>
      <c r="N110" s="17" t="s">
        <v>22</v>
      </c>
      <c r="O110" s="3" t="s">
        <v>1</v>
      </c>
      <c r="P110" s="18" t="s">
        <v>1</v>
      </c>
      <c r="Q110" s="3" t="s">
        <v>1</v>
      </c>
    </row>
    <row r="111" ht="25.5" spans="1:17">
      <c r="A111" s="6" t="s">
        <v>703</v>
      </c>
      <c r="B111" s="7" t="s">
        <v>647</v>
      </c>
      <c r="C111" s="7" t="s">
        <v>682</v>
      </c>
      <c r="D111" s="7" t="s">
        <v>704</v>
      </c>
      <c r="E111" s="16" t="s">
        <v>166</v>
      </c>
      <c r="F111" s="16" t="s">
        <v>131</v>
      </c>
      <c r="G111" s="7" t="s">
        <v>182</v>
      </c>
      <c r="H111" s="7" t="s">
        <v>705</v>
      </c>
      <c r="I111" s="7" t="s">
        <v>706</v>
      </c>
      <c r="J111" s="7" t="s">
        <v>1</v>
      </c>
      <c r="K111" s="7" t="s">
        <v>707</v>
      </c>
      <c r="L111" s="7" t="s">
        <v>220</v>
      </c>
      <c r="M111" s="3" t="s">
        <v>1</v>
      </c>
      <c r="N111" s="17" t="s">
        <v>22</v>
      </c>
      <c r="O111" s="3" t="s">
        <v>1</v>
      </c>
      <c r="P111" s="18" t="s">
        <v>1</v>
      </c>
      <c r="Q111" s="3" t="s">
        <v>1</v>
      </c>
    </row>
    <row r="112" ht="38.25" spans="1:17">
      <c r="A112" s="6" t="s">
        <v>708</v>
      </c>
      <c r="B112" s="7" t="s">
        <v>647</v>
      </c>
      <c r="C112" s="7" t="s">
        <v>709</v>
      </c>
      <c r="D112" s="7" t="s">
        <v>710</v>
      </c>
      <c r="E112" s="16" t="s">
        <v>78</v>
      </c>
      <c r="F112" s="16" t="s">
        <v>96</v>
      </c>
      <c r="G112" s="7" t="s">
        <v>182</v>
      </c>
      <c r="H112" s="7" t="s">
        <v>711</v>
      </c>
      <c r="I112" s="7" t="s">
        <v>712</v>
      </c>
      <c r="J112" s="7" t="s">
        <v>713</v>
      </c>
      <c r="K112" s="7" t="s">
        <v>714</v>
      </c>
      <c r="L112" s="7" t="s">
        <v>715</v>
      </c>
      <c r="M112" s="3" t="s">
        <v>1</v>
      </c>
      <c r="N112" s="17" t="s">
        <v>22</v>
      </c>
      <c r="O112" s="3" t="s">
        <v>1</v>
      </c>
      <c r="P112" s="18" t="s">
        <v>1</v>
      </c>
      <c r="Q112" s="3" t="s">
        <v>1</v>
      </c>
    </row>
    <row r="113" ht="25.5" spans="1:17">
      <c r="A113" s="6" t="s">
        <v>716</v>
      </c>
      <c r="B113" s="7" t="s">
        <v>647</v>
      </c>
      <c r="C113" s="7" t="s">
        <v>709</v>
      </c>
      <c r="D113" s="7" t="s">
        <v>717</v>
      </c>
      <c r="E113" s="16" t="s">
        <v>166</v>
      </c>
      <c r="F113" s="16" t="s">
        <v>131</v>
      </c>
      <c r="G113" s="7" t="s">
        <v>182</v>
      </c>
      <c r="H113" s="7" t="s">
        <v>1</v>
      </c>
      <c r="I113" s="7" t="s">
        <v>718</v>
      </c>
      <c r="J113" s="7" t="s">
        <v>1</v>
      </c>
      <c r="K113" s="7" t="s">
        <v>719</v>
      </c>
      <c r="L113" s="7" t="s">
        <v>220</v>
      </c>
      <c r="M113" s="3" t="s">
        <v>1</v>
      </c>
      <c r="N113" s="17" t="s">
        <v>22</v>
      </c>
      <c r="O113" s="3" t="s">
        <v>1</v>
      </c>
      <c r="P113" s="18" t="s">
        <v>1</v>
      </c>
      <c r="Q113" s="3" t="s">
        <v>1</v>
      </c>
    </row>
    <row r="114" ht="25.5" spans="1:17">
      <c r="A114" s="6" t="s">
        <v>720</v>
      </c>
      <c r="B114" s="7" t="s">
        <v>647</v>
      </c>
      <c r="C114" s="7" t="s">
        <v>721</v>
      </c>
      <c r="D114" s="7" t="s">
        <v>722</v>
      </c>
      <c r="E114" s="16" t="s">
        <v>78</v>
      </c>
      <c r="F114" s="16" t="s">
        <v>151</v>
      </c>
      <c r="G114" s="7" t="s">
        <v>244</v>
      </c>
      <c r="H114" s="7" t="s">
        <v>723</v>
      </c>
      <c r="I114" s="7" t="s">
        <v>724</v>
      </c>
      <c r="J114" s="7" t="s">
        <v>1</v>
      </c>
      <c r="K114" s="7" t="s">
        <v>725</v>
      </c>
      <c r="L114" s="7" t="s">
        <v>220</v>
      </c>
      <c r="M114" s="3" t="s">
        <v>1</v>
      </c>
      <c r="N114" s="17" t="s">
        <v>22</v>
      </c>
      <c r="O114" s="3" t="s">
        <v>1</v>
      </c>
      <c r="P114" s="18" t="s">
        <v>1</v>
      </c>
      <c r="Q114" s="3" t="s">
        <v>1</v>
      </c>
    </row>
    <row r="115" ht="25.5" spans="1:17">
      <c r="A115" s="6" t="s">
        <v>726</v>
      </c>
      <c r="B115" s="7" t="s">
        <v>647</v>
      </c>
      <c r="C115" s="7" t="s">
        <v>727</v>
      </c>
      <c r="D115" s="7" t="s">
        <v>728</v>
      </c>
      <c r="E115" s="16" t="s">
        <v>78</v>
      </c>
      <c r="F115" s="16" t="s">
        <v>131</v>
      </c>
      <c r="G115" s="7" t="s">
        <v>244</v>
      </c>
      <c r="H115" s="7" t="s">
        <v>1</v>
      </c>
      <c r="I115" s="7" t="s">
        <v>729</v>
      </c>
      <c r="J115" s="7" t="s">
        <v>1</v>
      </c>
      <c r="K115" s="7" t="s">
        <v>730</v>
      </c>
      <c r="L115" s="7" t="s">
        <v>389</v>
      </c>
      <c r="M115" s="3" t="s">
        <v>1</v>
      </c>
      <c r="N115" s="17" t="s">
        <v>22</v>
      </c>
      <c r="O115" s="3" t="s">
        <v>1</v>
      </c>
      <c r="P115" s="18" t="s">
        <v>1</v>
      </c>
      <c r="Q115" s="3" t="s">
        <v>1</v>
      </c>
    </row>
    <row r="116" ht="25.5" spans="1:17">
      <c r="A116" s="6" t="s">
        <v>731</v>
      </c>
      <c r="B116" s="7" t="s">
        <v>647</v>
      </c>
      <c r="C116" s="7" t="s">
        <v>727</v>
      </c>
      <c r="D116" s="7" t="s">
        <v>732</v>
      </c>
      <c r="E116" s="16" t="s">
        <v>166</v>
      </c>
      <c r="F116" s="16" t="s">
        <v>131</v>
      </c>
      <c r="G116" s="7" t="s">
        <v>244</v>
      </c>
      <c r="H116" s="7" t="s">
        <v>1</v>
      </c>
      <c r="I116" s="7" t="s">
        <v>733</v>
      </c>
      <c r="J116" s="7" t="s">
        <v>1</v>
      </c>
      <c r="K116" s="7" t="s">
        <v>734</v>
      </c>
      <c r="L116" s="7" t="s">
        <v>735</v>
      </c>
      <c r="M116" s="3" t="s">
        <v>1</v>
      </c>
      <c r="N116" s="17" t="s">
        <v>22</v>
      </c>
      <c r="O116" s="3" t="s">
        <v>1</v>
      </c>
      <c r="P116" s="18" t="s">
        <v>1</v>
      </c>
      <c r="Q116" s="3" t="s">
        <v>1</v>
      </c>
    </row>
    <row r="117" ht="25.5" spans="1:17">
      <c r="A117" s="6" t="s">
        <v>736</v>
      </c>
      <c r="B117" s="7" t="s">
        <v>647</v>
      </c>
      <c r="C117" s="7" t="s">
        <v>727</v>
      </c>
      <c r="D117" s="7" t="s">
        <v>737</v>
      </c>
      <c r="E117" s="16" t="s">
        <v>222</v>
      </c>
      <c r="F117" s="16" t="s">
        <v>131</v>
      </c>
      <c r="G117" s="7" t="s">
        <v>234</v>
      </c>
      <c r="H117" s="7" t="s">
        <v>1</v>
      </c>
      <c r="I117" s="7" t="s">
        <v>738</v>
      </c>
      <c r="J117" s="7" t="s">
        <v>1</v>
      </c>
      <c r="K117" s="7" t="s">
        <v>571</v>
      </c>
      <c r="L117" s="7" t="s">
        <v>739</v>
      </c>
      <c r="M117" s="3" t="s">
        <v>1</v>
      </c>
      <c r="N117" s="17" t="s">
        <v>22</v>
      </c>
      <c r="O117" s="3" t="s">
        <v>1</v>
      </c>
      <c r="P117" s="18" t="s">
        <v>1</v>
      </c>
      <c r="Q117" s="3" t="s">
        <v>1</v>
      </c>
    </row>
    <row r="118" ht="25.5" spans="1:17">
      <c r="A118" s="6" t="s">
        <v>740</v>
      </c>
      <c r="B118" s="7" t="s">
        <v>647</v>
      </c>
      <c r="C118" s="7" t="s">
        <v>727</v>
      </c>
      <c r="D118" s="7" t="s">
        <v>741</v>
      </c>
      <c r="E118" s="16" t="s">
        <v>222</v>
      </c>
      <c r="F118" s="16" t="s">
        <v>131</v>
      </c>
      <c r="G118" s="7" t="s">
        <v>742</v>
      </c>
      <c r="H118" s="7" t="s">
        <v>1</v>
      </c>
      <c r="I118" s="7" t="s">
        <v>743</v>
      </c>
      <c r="J118" s="7" t="s">
        <v>1</v>
      </c>
      <c r="K118" s="7" t="s">
        <v>744</v>
      </c>
      <c r="L118" s="7" t="s">
        <v>378</v>
      </c>
      <c r="M118" s="3" t="s">
        <v>1</v>
      </c>
      <c r="N118" s="17" t="s">
        <v>22</v>
      </c>
      <c r="O118" s="3" t="s">
        <v>1</v>
      </c>
      <c r="P118" s="18" t="s">
        <v>1</v>
      </c>
      <c r="Q118" s="3" t="s">
        <v>1</v>
      </c>
    </row>
    <row r="119" ht="25.5" spans="1:17">
      <c r="A119" s="6" t="s">
        <v>745</v>
      </c>
      <c r="B119" s="7" t="s">
        <v>647</v>
      </c>
      <c r="C119" s="7" t="s">
        <v>746</v>
      </c>
      <c r="D119" s="7" t="s">
        <v>747</v>
      </c>
      <c r="E119" s="16" t="s">
        <v>111</v>
      </c>
      <c r="F119" s="16" t="s">
        <v>151</v>
      </c>
      <c r="G119" s="7" t="s">
        <v>138</v>
      </c>
      <c r="H119" s="7" t="s">
        <v>748</v>
      </c>
      <c r="I119" s="7" t="s">
        <v>749</v>
      </c>
      <c r="J119" s="7" t="s">
        <v>1</v>
      </c>
      <c r="K119" s="7" t="s">
        <v>750</v>
      </c>
      <c r="L119" s="7" t="s">
        <v>220</v>
      </c>
      <c r="M119" s="3" t="s">
        <v>1</v>
      </c>
      <c r="N119" s="17" t="s">
        <v>22</v>
      </c>
      <c r="O119" s="3" t="s">
        <v>1</v>
      </c>
      <c r="P119" s="18" t="s">
        <v>1</v>
      </c>
      <c r="Q119" s="3" t="s">
        <v>1</v>
      </c>
    </row>
    <row r="120" ht="25.5" spans="1:17">
      <c r="A120" s="6" t="s">
        <v>751</v>
      </c>
      <c r="B120" s="7" t="s">
        <v>647</v>
      </c>
      <c r="C120" s="7" t="s">
        <v>746</v>
      </c>
      <c r="D120" s="7" t="s">
        <v>752</v>
      </c>
      <c r="E120" s="16" t="s">
        <v>111</v>
      </c>
      <c r="F120" s="16" t="s">
        <v>151</v>
      </c>
      <c r="G120" s="7" t="s">
        <v>182</v>
      </c>
      <c r="H120" s="7" t="s">
        <v>753</v>
      </c>
      <c r="I120" s="7" t="s">
        <v>754</v>
      </c>
      <c r="J120" s="7" t="s">
        <v>1</v>
      </c>
      <c r="K120" s="7" t="s">
        <v>755</v>
      </c>
      <c r="L120" s="7" t="s">
        <v>715</v>
      </c>
      <c r="M120" s="3" t="s">
        <v>1</v>
      </c>
      <c r="N120" s="17" t="s">
        <v>22</v>
      </c>
      <c r="O120" s="3" t="s">
        <v>1</v>
      </c>
      <c r="P120" s="18" t="s">
        <v>1</v>
      </c>
      <c r="Q120" s="3" t="s">
        <v>1</v>
      </c>
    </row>
    <row r="121" ht="38.25" spans="1:17">
      <c r="A121" s="6" t="s">
        <v>756</v>
      </c>
      <c r="B121" s="7" t="s">
        <v>647</v>
      </c>
      <c r="C121" s="7" t="s">
        <v>757</v>
      </c>
      <c r="D121" s="7" t="s">
        <v>758</v>
      </c>
      <c r="E121" s="16" t="s">
        <v>111</v>
      </c>
      <c r="F121" s="16" t="s">
        <v>151</v>
      </c>
      <c r="G121" s="7" t="s">
        <v>506</v>
      </c>
      <c r="H121" s="7" t="s">
        <v>759</v>
      </c>
      <c r="I121" s="7" t="s">
        <v>760</v>
      </c>
      <c r="J121" s="7" t="s">
        <v>1</v>
      </c>
      <c r="K121" s="7" t="s">
        <v>761</v>
      </c>
      <c r="L121" s="7" t="s">
        <v>220</v>
      </c>
      <c r="M121" s="3" t="s">
        <v>1</v>
      </c>
      <c r="N121" s="17" t="s">
        <v>22</v>
      </c>
      <c r="O121" s="3" t="s">
        <v>1</v>
      </c>
      <c r="P121" s="18" t="s">
        <v>1</v>
      </c>
      <c r="Q121" s="3" t="s">
        <v>1</v>
      </c>
    </row>
    <row r="122" ht="38.25" spans="1:17">
      <c r="A122" s="6" t="s">
        <v>762</v>
      </c>
      <c r="B122" s="7" t="s">
        <v>647</v>
      </c>
      <c r="C122" s="7" t="s">
        <v>763</v>
      </c>
      <c r="D122" s="7" t="s">
        <v>764</v>
      </c>
      <c r="E122" s="16" t="s">
        <v>111</v>
      </c>
      <c r="F122" s="16" t="s">
        <v>151</v>
      </c>
      <c r="G122" s="7" t="s">
        <v>182</v>
      </c>
      <c r="H122" s="7" t="s">
        <v>765</v>
      </c>
      <c r="I122" s="7" t="s">
        <v>766</v>
      </c>
      <c r="J122" s="7" t="s">
        <v>1</v>
      </c>
      <c r="K122" s="7" t="s">
        <v>767</v>
      </c>
      <c r="L122" s="7" t="s">
        <v>768</v>
      </c>
      <c r="M122" s="3" t="s">
        <v>1</v>
      </c>
      <c r="N122" s="17" t="s">
        <v>22</v>
      </c>
      <c r="O122" s="3" t="s">
        <v>1</v>
      </c>
      <c r="P122" s="18" t="s">
        <v>1</v>
      </c>
      <c r="Q122" s="3" t="s">
        <v>1</v>
      </c>
    </row>
    <row r="123" ht="38.25" spans="1:17">
      <c r="A123" s="6" t="s">
        <v>769</v>
      </c>
      <c r="B123" s="7" t="s">
        <v>647</v>
      </c>
      <c r="C123" s="7" t="s">
        <v>770</v>
      </c>
      <c r="D123" s="7" t="s">
        <v>771</v>
      </c>
      <c r="E123" s="16" t="s">
        <v>111</v>
      </c>
      <c r="F123" s="16" t="s">
        <v>151</v>
      </c>
      <c r="G123" s="7" t="s">
        <v>97</v>
      </c>
      <c r="H123" s="7" t="s">
        <v>772</v>
      </c>
      <c r="I123" s="7" t="s">
        <v>773</v>
      </c>
      <c r="J123" s="7" t="s">
        <v>1</v>
      </c>
      <c r="K123" s="7" t="s">
        <v>774</v>
      </c>
      <c r="L123" s="7" t="s">
        <v>775</v>
      </c>
      <c r="M123" s="3" t="s">
        <v>1</v>
      </c>
      <c r="N123" s="17" t="s">
        <v>22</v>
      </c>
      <c r="O123" s="3" t="s">
        <v>1</v>
      </c>
      <c r="P123" s="18" t="s">
        <v>1</v>
      </c>
      <c r="Q123" s="3" t="s">
        <v>1</v>
      </c>
    </row>
    <row r="124" ht="25.5" spans="1:17">
      <c r="A124" s="6" t="s">
        <v>776</v>
      </c>
      <c r="B124" s="7" t="s">
        <v>777</v>
      </c>
      <c r="C124" s="7" t="s">
        <v>778</v>
      </c>
      <c r="D124" s="7" t="s">
        <v>779</v>
      </c>
      <c r="E124" s="16" t="s">
        <v>111</v>
      </c>
      <c r="F124" s="16" t="s">
        <v>131</v>
      </c>
      <c r="G124" s="7" t="s">
        <v>182</v>
      </c>
      <c r="H124" s="7" t="s">
        <v>780</v>
      </c>
      <c r="I124" s="7" t="s">
        <v>781</v>
      </c>
      <c r="J124" s="7" t="s">
        <v>1</v>
      </c>
      <c r="K124" s="7" t="s">
        <v>782</v>
      </c>
      <c r="L124" s="7" t="s">
        <v>783</v>
      </c>
      <c r="M124" s="3" t="s">
        <v>1</v>
      </c>
      <c r="N124" s="17" t="s">
        <v>22</v>
      </c>
      <c r="O124" s="3" t="s">
        <v>1</v>
      </c>
      <c r="P124" s="18" t="s">
        <v>1</v>
      </c>
      <c r="Q124" s="3" t="s">
        <v>1</v>
      </c>
    </row>
    <row r="125" ht="25.5" spans="1:17">
      <c r="A125" s="6" t="s">
        <v>784</v>
      </c>
      <c r="B125" s="7" t="s">
        <v>777</v>
      </c>
      <c r="C125" s="7" t="s">
        <v>785</v>
      </c>
      <c r="D125" s="7" t="s">
        <v>786</v>
      </c>
      <c r="E125" s="16" t="s">
        <v>111</v>
      </c>
      <c r="F125" s="16" t="s">
        <v>151</v>
      </c>
      <c r="G125" s="7" t="s">
        <v>182</v>
      </c>
      <c r="H125" s="7" t="s">
        <v>1</v>
      </c>
      <c r="I125" s="7" t="s">
        <v>787</v>
      </c>
      <c r="J125" s="7" t="s">
        <v>1</v>
      </c>
      <c r="K125" s="7" t="s">
        <v>788</v>
      </c>
      <c r="L125" s="7" t="s">
        <v>789</v>
      </c>
      <c r="M125" s="3" t="s">
        <v>1</v>
      </c>
      <c r="N125" s="17" t="s">
        <v>22</v>
      </c>
      <c r="O125" s="3" t="s">
        <v>1</v>
      </c>
      <c r="P125" s="18" t="s">
        <v>1</v>
      </c>
      <c r="Q125" s="3" t="s">
        <v>1</v>
      </c>
    </row>
    <row r="126" spans="1:17">
      <c r="A126" s="6" t="s">
        <v>790</v>
      </c>
      <c r="B126" s="7" t="s">
        <v>777</v>
      </c>
      <c r="C126" s="7" t="s">
        <v>778</v>
      </c>
      <c r="D126" s="7" t="s">
        <v>791</v>
      </c>
      <c r="E126" s="16" t="s">
        <v>111</v>
      </c>
      <c r="F126" s="16" t="s">
        <v>151</v>
      </c>
      <c r="G126" s="7" t="s">
        <v>182</v>
      </c>
      <c r="H126" s="7" t="s">
        <v>1</v>
      </c>
      <c r="I126" s="7" t="s">
        <v>792</v>
      </c>
      <c r="J126" s="7" t="s">
        <v>1</v>
      </c>
      <c r="K126" s="7" t="s">
        <v>793</v>
      </c>
      <c r="L126" s="7" t="s">
        <v>789</v>
      </c>
      <c r="M126" s="3" t="s">
        <v>1</v>
      </c>
      <c r="N126" s="17" t="s">
        <v>22</v>
      </c>
      <c r="O126" s="3" t="s">
        <v>1</v>
      </c>
      <c r="P126" s="18" t="s">
        <v>1</v>
      </c>
      <c r="Q126" s="3" t="s">
        <v>1</v>
      </c>
    </row>
    <row r="127" spans="1:17">
      <c r="A127" s="6" t="s">
        <v>794</v>
      </c>
      <c r="B127" s="7" t="s">
        <v>777</v>
      </c>
      <c r="C127" s="7" t="s">
        <v>778</v>
      </c>
      <c r="D127" s="7" t="s">
        <v>795</v>
      </c>
      <c r="E127" s="16" t="s">
        <v>111</v>
      </c>
      <c r="F127" s="16" t="s">
        <v>151</v>
      </c>
      <c r="G127" s="7" t="s">
        <v>182</v>
      </c>
      <c r="H127" s="7" t="s">
        <v>1</v>
      </c>
      <c r="I127" s="7" t="s">
        <v>796</v>
      </c>
      <c r="J127" s="7" t="s">
        <v>1</v>
      </c>
      <c r="K127" s="7" t="s">
        <v>797</v>
      </c>
      <c r="L127" s="7" t="s">
        <v>789</v>
      </c>
      <c r="M127" s="3" t="s">
        <v>1</v>
      </c>
      <c r="N127" s="17" t="s">
        <v>22</v>
      </c>
      <c r="O127" s="3" t="s">
        <v>1</v>
      </c>
      <c r="P127" s="18" t="s">
        <v>1</v>
      </c>
      <c r="Q127" s="3" t="s">
        <v>1</v>
      </c>
    </row>
    <row r="128" spans="1:17">
      <c r="A128" s="6" t="s">
        <v>798</v>
      </c>
      <c r="B128" s="7" t="s">
        <v>777</v>
      </c>
      <c r="C128" s="7" t="s">
        <v>778</v>
      </c>
      <c r="D128" s="7" t="s">
        <v>799</v>
      </c>
      <c r="E128" s="16" t="s">
        <v>111</v>
      </c>
      <c r="F128" s="16" t="s">
        <v>151</v>
      </c>
      <c r="G128" s="7" t="s">
        <v>182</v>
      </c>
      <c r="H128" s="7" t="s">
        <v>1</v>
      </c>
      <c r="I128" s="7" t="s">
        <v>800</v>
      </c>
      <c r="J128" s="7" t="s">
        <v>1</v>
      </c>
      <c r="K128" s="7" t="s">
        <v>801</v>
      </c>
      <c r="L128" s="7" t="s">
        <v>789</v>
      </c>
      <c r="M128" s="3" t="s">
        <v>1</v>
      </c>
      <c r="N128" s="17" t="s">
        <v>22</v>
      </c>
      <c r="O128" s="3" t="s">
        <v>1</v>
      </c>
      <c r="P128" s="18" t="s">
        <v>1</v>
      </c>
      <c r="Q128" s="3" t="s">
        <v>1</v>
      </c>
    </row>
    <row r="129" ht="38.25" spans="1:17">
      <c r="A129" s="6" t="s">
        <v>802</v>
      </c>
      <c r="B129" s="7" t="s">
        <v>777</v>
      </c>
      <c r="C129" s="7" t="s">
        <v>803</v>
      </c>
      <c r="D129" s="7" t="s">
        <v>804</v>
      </c>
      <c r="E129" s="16" t="s">
        <v>166</v>
      </c>
      <c r="F129" s="16" t="s">
        <v>151</v>
      </c>
      <c r="G129" s="7" t="s">
        <v>97</v>
      </c>
      <c r="H129" s="7" t="s">
        <v>805</v>
      </c>
      <c r="I129" s="7" t="s">
        <v>806</v>
      </c>
      <c r="J129" s="7" t="s">
        <v>1</v>
      </c>
      <c r="K129" s="7" t="s">
        <v>807</v>
      </c>
      <c r="L129" s="7" t="s">
        <v>808</v>
      </c>
      <c r="M129" s="3" t="s">
        <v>1</v>
      </c>
      <c r="N129" s="17" t="s">
        <v>22</v>
      </c>
      <c r="O129" s="3" t="s">
        <v>1</v>
      </c>
      <c r="P129" s="18" t="s">
        <v>1</v>
      </c>
      <c r="Q129" s="3" t="s">
        <v>1</v>
      </c>
    </row>
    <row r="130" ht="51" spans="1:17">
      <c r="A130" s="6" t="s">
        <v>809</v>
      </c>
      <c r="B130" s="7" t="s">
        <v>810</v>
      </c>
      <c r="C130" s="7" t="s">
        <v>811</v>
      </c>
      <c r="D130" s="7" t="s">
        <v>812</v>
      </c>
      <c r="E130" s="16" t="s">
        <v>111</v>
      </c>
      <c r="F130" s="16" t="s">
        <v>131</v>
      </c>
      <c r="G130" s="7" t="s">
        <v>182</v>
      </c>
      <c r="H130" s="7" t="s">
        <v>813</v>
      </c>
      <c r="I130" s="7" t="s">
        <v>814</v>
      </c>
      <c r="J130" s="7" t="s">
        <v>1</v>
      </c>
      <c r="K130" s="7" t="s">
        <v>815</v>
      </c>
      <c r="L130" s="7" t="s">
        <v>816</v>
      </c>
      <c r="M130" s="3" t="s">
        <v>1</v>
      </c>
      <c r="N130" s="17" t="s">
        <v>22</v>
      </c>
      <c r="O130" s="3" t="s">
        <v>1</v>
      </c>
      <c r="P130" s="18" t="s">
        <v>1</v>
      </c>
      <c r="Q130" s="3" t="s">
        <v>1</v>
      </c>
    </row>
    <row r="131" ht="25.5" spans="1:17">
      <c r="A131" s="6" t="s">
        <v>817</v>
      </c>
      <c r="B131" s="7" t="s">
        <v>810</v>
      </c>
      <c r="C131" s="7" t="s">
        <v>811</v>
      </c>
      <c r="D131" s="7" t="s">
        <v>818</v>
      </c>
      <c r="E131" s="16" t="s">
        <v>111</v>
      </c>
      <c r="F131" s="16" t="s">
        <v>131</v>
      </c>
      <c r="G131" s="7" t="s">
        <v>182</v>
      </c>
      <c r="H131" s="7" t="s">
        <v>132</v>
      </c>
      <c r="I131" s="7" t="s">
        <v>819</v>
      </c>
      <c r="J131" s="7" t="s">
        <v>1</v>
      </c>
      <c r="K131" s="7" t="s">
        <v>820</v>
      </c>
      <c r="L131" s="7" t="s">
        <v>821</v>
      </c>
      <c r="M131" s="3" t="s">
        <v>1</v>
      </c>
      <c r="N131" s="17" t="s">
        <v>22</v>
      </c>
      <c r="O131" s="3" t="s">
        <v>1</v>
      </c>
      <c r="P131" s="18" t="s">
        <v>1</v>
      </c>
      <c r="Q131" s="3" t="s">
        <v>1</v>
      </c>
    </row>
    <row r="132" ht="25.5" spans="1:17">
      <c r="A132" s="6" t="s">
        <v>822</v>
      </c>
      <c r="B132" s="7" t="s">
        <v>810</v>
      </c>
      <c r="C132" s="7" t="s">
        <v>811</v>
      </c>
      <c r="D132" s="7" t="s">
        <v>823</v>
      </c>
      <c r="E132" s="16" t="s">
        <v>111</v>
      </c>
      <c r="F132" s="16" t="s">
        <v>151</v>
      </c>
      <c r="G132" s="7" t="s">
        <v>182</v>
      </c>
      <c r="H132" s="7" t="s">
        <v>132</v>
      </c>
      <c r="I132" s="7" t="s">
        <v>824</v>
      </c>
      <c r="J132" s="7" t="s">
        <v>1</v>
      </c>
      <c r="K132" s="7" t="s">
        <v>825</v>
      </c>
      <c r="L132" s="7" t="s">
        <v>821</v>
      </c>
      <c r="M132" s="3" t="s">
        <v>1</v>
      </c>
      <c r="N132" s="17" t="s">
        <v>22</v>
      </c>
      <c r="O132" s="3" t="s">
        <v>1</v>
      </c>
      <c r="P132" s="18" t="s">
        <v>1</v>
      </c>
      <c r="Q132" s="3" t="s">
        <v>1</v>
      </c>
    </row>
    <row r="133" ht="38.25" spans="1:17">
      <c r="A133" s="6" t="s">
        <v>826</v>
      </c>
      <c r="B133" s="7" t="s">
        <v>810</v>
      </c>
      <c r="C133" s="7" t="s">
        <v>811</v>
      </c>
      <c r="D133" s="7" t="s">
        <v>827</v>
      </c>
      <c r="E133" s="16" t="s">
        <v>111</v>
      </c>
      <c r="F133" s="16" t="s">
        <v>151</v>
      </c>
      <c r="G133" s="7" t="s">
        <v>182</v>
      </c>
      <c r="H133" s="7" t="s">
        <v>132</v>
      </c>
      <c r="I133" s="7" t="s">
        <v>828</v>
      </c>
      <c r="J133" s="7" t="s">
        <v>1</v>
      </c>
      <c r="K133" s="7" t="s">
        <v>829</v>
      </c>
      <c r="L133" s="7" t="s">
        <v>821</v>
      </c>
      <c r="M133" s="3" t="s">
        <v>1</v>
      </c>
      <c r="N133" s="17" t="s">
        <v>22</v>
      </c>
      <c r="O133" s="3" t="s">
        <v>1</v>
      </c>
      <c r="P133" s="18" t="s">
        <v>1</v>
      </c>
      <c r="Q133" s="3" t="s">
        <v>1</v>
      </c>
    </row>
    <row r="134" ht="25.5" spans="1:17">
      <c r="A134" s="6" t="s">
        <v>830</v>
      </c>
      <c r="B134" s="7" t="s">
        <v>810</v>
      </c>
      <c r="C134" s="7" t="s">
        <v>811</v>
      </c>
      <c r="D134" s="7" t="s">
        <v>831</v>
      </c>
      <c r="E134" s="16" t="s">
        <v>111</v>
      </c>
      <c r="F134" s="16" t="s">
        <v>131</v>
      </c>
      <c r="G134" s="7" t="s">
        <v>182</v>
      </c>
      <c r="H134" s="7" t="s">
        <v>132</v>
      </c>
      <c r="I134" s="7" t="s">
        <v>781</v>
      </c>
      <c r="J134" s="7" t="s">
        <v>1</v>
      </c>
      <c r="K134" s="7" t="s">
        <v>832</v>
      </c>
      <c r="L134" s="7" t="s">
        <v>821</v>
      </c>
      <c r="M134" s="3" t="s">
        <v>1</v>
      </c>
      <c r="N134" s="17" t="s">
        <v>22</v>
      </c>
      <c r="O134" s="3" t="s">
        <v>1</v>
      </c>
      <c r="P134" s="18" t="s">
        <v>1</v>
      </c>
      <c r="Q134" s="3" t="s">
        <v>1</v>
      </c>
    </row>
    <row r="135" ht="25.5" spans="1:17">
      <c r="A135" s="6" t="s">
        <v>833</v>
      </c>
      <c r="B135" s="7" t="s">
        <v>810</v>
      </c>
      <c r="C135" s="7" t="s">
        <v>811</v>
      </c>
      <c r="D135" s="7" t="s">
        <v>834</v>
      </c>
      <c r="E135" s="16" t="s">
        <v>111</v>
      </c>
      <c r="F135" s="16" t="s">
        <v>151</v>
      </c>
      <c r="G135" s="7" t="s">
        <v>182</v>
      </c>
      <c r="H135" s="7" t="s">
        <v>132</v>
      </c>
      <c r="I135" s="7" t="s">
        <v>835</v>
      </c>
      <c r="J135" s="7" t="s">
        <v>1</v>
      </c>
      <c r="K135" s="7" t="s">
        <v>836</v>
      </c>
      <c r="L135" s="7" t="s">
        <v>240</v>
      </c>
      <c r="M135" s="3" t="s">
        <v>1</v>
      </c>
      <c r="N135" s="17" t="s">
        <v>22</v>
      </c>
      <c r="O135" s="3" t="s">
        <v>1</v>
      </c>
      <c r="P135" s="18" t="s">
        <v>1</v>
      </c>
      <c r="Q135" s="3" t="s">
        <v>1</v>
      </c>
    </row>
    <row r="136" ht="25.5" spans="1:17">
      <c r="A136" s="6" t="s">
        <v>837</v>
      </c>
      <c r="B136" s="7" t="s">
        <v>810</v>
      </c>
      <c r="C136" s="7" t="s">
        <v>811</v>
      </c>
      <c r="D136" s="7" t="s">
        <v>838</v>
      </c>
      <c r="E136" s="16" t="s">
        <v>111</v>
      </c>
      <c r="F136" s="16" t="s">
        <v>151</v>
      </c>
      <c r="G136" s="7" t="s">
        <v>138</v>
      </c>
      <c r="H136" s="7" t="s">
        <v>132</v>
      </c>
      <c r="I136" s="7" t="s">
        <v>839</v>
      </c>
      <c r="J136" s="7" t="s">
        <v>1</v>
      </c>
      <c r="K136" s="7" t="s">
        <v>840</v>
      </c>
      <c r="L136" s="7" t="s">
        <v>841</v>
      </c>
      <c r="M136" s="3" t="s">
        <v>1</v>
      </c>
      <c r="N136" s="17" t="s">
        <v>22</v>
      </c>
      <c r="O136" s="3" t="s">
        <v>1</v>
      </c>
      <c r="P136" s="18" t="s">
        <v>1</v>
      </c>
      <c r="Q136" s="3" t="s">
        <v>1</v>
      </c>
    </row>
    <row r="137" ht="38.25" spans="1:17">
      <c r="A137" s="6" t="s">
        <v>842</v>
      </c>
      <c r="B137" s="7" t="s">
        <v>810</v>
      </c>
      <c r="C137" s="7" t="s">
        <v>843</v>
      </c>
      <c r="D137" s="7" t="s">
        <v>844</v>
      </c>
      <c r="E137" s="16" t="s">
        <v>78</v>
      </c>
      <c r="F137" s="16" t="s">
        <v>131</v>
      </c>
      <c r="G137" s="7" t="s">
        <v>845</v>
      </c>
      <c r="H137" s="7" t="s">
        <v>846</v>
      </c>
      <c r="I137" s="7" t="s">
        <v>847</v>
      </c>
      <c r="J137" s="7" t="s">
        <v>1</v>
      </c>
      <c r="K137" s="7" t="s">
        <v>848</v>
      </c>
      <c r="L137" s="7" t="s">
        <v>849</v>
      </c>
      <c r="M137" s="3" t="s">
        <v>1</v>
      </c>
      <c r="N137" s="17" t="s">
        <v>22</v>
      </c>
      <c r="O137" s="3" t="s">
        <v>1</v>
      </c>
      <c r="P137" s="18" t="s">
        <v>1</v>
      </c>
      <c r="Q137" s="3" t="s">
        <v>1</v>
      </c>
    </row>
    <row r="138" ht="25.5" spans="1:17">
      <c r="A138" s="6" t="s">
        <v>850</v>
      </c>
      <c r="B138" s="7" t="s">
        <v>810</v>
      </c>
      <c r="C138" s="7" t="s">
        <v>843</v>
      </c>
      <c r="D138" s="7" t="s">
        <v>851</v>
      </c>
      <c r="E138" s="16" t="s">
        <v>78</v>
      </c>
      <c r="F138" s="16" t="s">
        <v>131</v>
      </c>
      <c r="G138" s="7" t="s">
        <v>182</v>
      </c>
      <c r="H138" s="7" t="s">
        <v>132</v>
      </c>
      <c r="I138" s="7" t="s">
        <v>852</v>
      </c>
      <c r="J138" s="7" t="s">
        <v>1</v>
      </c>
      <c r="K138" s="7" t="s">
        <v>853</v>
      </c>
      <c r="L138" s="7" t="s">
        <v>220</v>
      </c>
      <c r="M138" s="3" t="s">
        <v>1</v>
      </c>
      <c r="N138" s="17" t="s">
        <v>22</v>
      </c>
      <c r="O138" s="3" t="s">
        <v>1</v>
      </c>
      <c r="P138" s="18" t="s">
        <v>1</v>
      </c>
      <c r="Q138" s="3" t="s">
        <v>1</v>
      </c>
    </row>
    <row r="139" ht="25.5" spans="1:17">
      <c r="A139" s="6" t="s">
        <v>854</v>
      </c>
      <c r="B139" s="7" t="s">
        <v>810</v>
      </c>
      <c r="C139" s="7" t="s">
        <v>843</v>
      </c>
      <c r="D139" s="7" t="s">
        <v>855</v>
      </c>
      <c r="E139" s="16" t="s">
        <v>78</v>
      </c>
      <c r="F139" s="16" t="s">
        <v>151</v>
      </c>
      <c r="G139" s="7" t="s">
        <v>138</v>
      </c>
      <c r="H139" s="7" t="s">
        <v>132</v>
      </c>
      <c r="I139" s="7" t="s">
        <v>856</v>
      </c>
      <c r="J139" s="7" t="s">
        <v>1</v>
      </c>
      <c r="K139" s="7" t="s">
        <v>857</v>
      </c>
      <c r="L139" s="7" t="s">
        <v>220</v>
      </c>
      <c r="M139" s="3" t="s">
        <v>1</v>
      </c>
      <c r="N139" s="17" t="s">
        <v>22</v>
      </c>
      <c r="O139" s="3" t="s">
        <v>1</v>
      </c>
      <c r="P139" s="18" t="s">
        <v>1</v>
      </c>
      <c r="Q139" s="3" t="s">
        <v>1</v>
      </c>
    </row>
    <row r="140" ht="25.5" spans="1:17">
      <c r="A140" s="6" t="s">
        <v>858</v>
      </c>
      <c r="B140" s="7" t="s">
        <v>810</v>
      </c>
      <c r="C140" s="7" t="s">
        <v>843</v>
      </c>
      <c r="D140" s="7" t="s">
        <v>859</v>
      </c>
      <c r="E140" s="16" t="s">
        <v>111</v>
      </c>
      <c r="F140" s="16" t="s">
        <v>151</v>
      </c>
      <c r="G140" s="7" t="s">
        <v>182</v>
      </c>
      <c r="H140" s="7" t="s">
        <v>132</v>
      </c>
      <c r="I140" s="7" t="s">
        <v>860</v>
      </c>
      <c r="J140" s="7" t="s">
        <v>1</v>
      </c>
      <c r="K140" s="7" t="s">
        <v>861</v>
      </c>
      <c r="L140" s="7" t="s">
        <v>240</v>
      </c>
      <c r="M140" s="3" t="s">
        <v>1</v>
      </c>
      <c r="N140" s="17" t="s">
        <v>22</v>
      </c>
      <c r="O140" s="3" t="s">
        <v>1</v>
      </c>
      <c r="P140" s="18" t="s">
        <v>1</v>
      </c>
      <c r="Q140" s="3" t="s">
        <v>1</v>
      </c>
    </row>
    <row r="141" ht="25.5" spans="1:17">
      <c r="A141" s="6" t="s">
        <v>862</v>
      </c>
      <c r="B141" s="7" t="s">
        <v>810</v>
      </c>
      <c r="C141" s="7" t="s">
        <v>843</v>
      </c>
      <c r="D141" s="7" t="s">
        <v>863</v>
      </c>
      <c r="E141" s="16" t="s">
        <v>78</v>
      </c>
      <c r="F141" s="16" t="s">
        <v>151</v>
      </c>
      <c r="G141" s="7" t="s">
        <v>97</v>
      </c>
      <c r="H141" s="7" t="s">
        <v>132</v>
      </c>
      <c r="I141" s="7" t="s">
        <v>864</v>
      </c>
      <c r="J141" s="7" t="s">
        <v>1</v>
      </c>
      <c r="K141" s="7" t="s">
        <v>865</v>
      </c>
      <c r="L141" s="7" t="s">
        <v>127</v>
      </c>
      <c r="M141" s="3" t="s">
        <v>1</v>
      </c>
      <c r="N141" s="17" t="s">
        <v>22</v>
      </c>
      <c r="O141" s="3" t="s">
        <v>1</v>
      </c>
      <c r="P141" s="18" t="s">
        <v>1</v>
      </c>
      <c r="Q141" s="3" t="s">
        <v>1</v>
      </c>
    </row>
    <row r="142" ht="25.5" spans="1:17">
      <c r="A142" s="6" t="s">
        <v>866</v>
      </c>
      <c r="B142" s="7" t="s">
        <v>810</v>
      </c>
      <c r="C142" s="7" t="s">
        <v>843</v>
      </c>
      <c r="D142" s="7" t="s">
        <v>867</v>
      </c>
      <c r="E142" s="16" t="s">
        <v>166</v>
      </c>
      <c r="F142" s="16" t="s">
        <v>131</v>
      </c>
      <c r="G142" s="7" t="s">
        <v>138</v>
      </c>
      <c r="H142" s="7" t="s">
        <v>868</v>
      </c>
      <c r="I142" s="7" t="s">
        <v>869</v>
      </c>
      <c r="J142" s="7" t="s">
        <v>1</v>
      </c>
      <c r="K142" s="7" t="s">
        <v>870</v>
      </c>
      <c r="L142" s="7" t="s">
        <v>871</v>
      </c>
      <c r="M142" s="3" t="s">
        <v>1</v>
      </c>
      <c r="N142" s="17" t="s">
        <v>22</v>
      </c>
      <c r="O142" s="3" t="s">
        <v>1</v>
      </c>
      <c r="P142" s="18" t="s">
        <v>1</v>
      </c>
      <c r="Q142" s="3" t="s">
        <v>1</v>
      </c>
    </row>
    <row r="143" ht="38.25" spans="1:17">
      <c r="A143" s="6" t="s">
        <v>872</v>
      </c>
      <c r="B143" s="7" t="s">
        <v>873</v>
      </c>
      <c r="C143" s="7" t="s">
        <v>874</v>
      </c>
      <c r="D143" s="7" t="s">
        <v>875</v>
      </c>
      <c r="E143" s="16" t="s">
        <v>78</v>
      </c>
      <c r="F143" s="16" t="s">
        <v>131</v>
      </c>
      <c r="G143" s="7" t="s">
        <v>97</v>
      </c>
      <c r="H143" s="7" t="s">
        <v>876</v>
      </c>
      <c r="I143" s="7" t="s">
        <v>877</v>
      </c>
      <c r="J143" s="7" t="s">
        <v>1</v>
      </c>
      <c r="K143" s="7" t="s">
        <v>878</v>
      </c>
      <c r="L143" s="7" t="s">
        <v>127</v>
      </c>
      <c r="M143" s="3" t="s">
        <v>1</v>
      </c>
      <c r="N143" s="17" t="s">
        <v>22</v>
      </c>
      <c r="O143" s="3" t="s">
        <v>1</v>
      </c>
      <c r="P143" s="18" t="s">
        <v>1</v>
      </c>
      <c r="Q143" s="3" t="s">
        <v>1</v>
      </c>
    </row>
    <row r="144" ht="25.5" spans="1:17">
      <c r="A144" s="6" t="s">
        <v>879</v>
      </c>
      <c r="B144" s="7" t="s">
        <v>873</v>
      </c>
      <c r="C144" s="7" t="s">
        <v>874</v>
      </c>
      <c r="D144" s="7" t="s">
        <v>880</v>
      </c>
      <c r="E144" s="16" t="s">
        <v>78</v>
      </c>
      <c r="F144" s="16" t="s">
        <v>151</v>
      </c>
      <c r="G144" s="7" t="s">
        <v>97</v>
      </c>
      <c r="H144" s="7" t="s">
        <v>881</v>
      </c>
      <c r="I144" s="7" t="s">
        <v>882</v>
      </c>
      <c r="J144" s="7" t="s">
        <v>1</v>
      </c>
      <c r="K144" s="7" t="s">
        <v>883</v>
      </c>
      <c r="L144" s="7" t="s">
        <v>127</v>
      </c>
      <c r="M144" s="3" t="s">
        <v>1</v>
      </c>
      <c r="N144" s="17" t="s">
        <v>22</v>
      </c>
      <c r="O144" s="3" t="s">
        <v>1</v>
      </c>
      <c r="P144" s="18" t="s">
        <v>1</v>
      </c>
      <c r="Q144" s="3" t="s">
        <v>1</v>
      </c>
    </row>
    <row r="145" ht="38.25" spans="1:17">
      <c r="A145" s="6" t="s">
        <v>884</v>
      </c>
      <c r="B145" s="7" t="s">
        <v>873</v>
      </c>
      <c r="C145" s="7" t="s">
        <v>885</v>
      </c>
      <c r="D145" s="7" t="s">
        <v>886</v>
      </c>
      <c r="E145" s="16" t="s">
        <v>78</v>
      </c>
      <c r="F145" s="16" t="s">
        <v>151</v>
      </c>
      <c r="G145" s="7" t="s">
        <v>97</v>
      </c>
      <c r="H145" s="7" t="s">
        <v>881</v>
      </c>
      <c r="I145" s="7" t="s">
        <v>887</v>
      </c>
      <c r="J145" s="7" t="s">
        <v>1</v>
      </c>
      <c r="K145" s="7" t="s">
        <v>888</v>
      </c>
      <c r="L145" s="7" t="s">
        <v>127</v>
      </c>
      <c r="M145" s="3" t="s">
        <v>1</v>
      </c>
      <c r="N145" s="17" t="s">
        <v>22</v>
      </c>
      <c r="O145" s="3" t="s">
        <v>1</v>
      </c>
      <c r="P145" s="18" t="s">
        <v>1</v>
      </c>
      <c r="Q145" s="3" t="s">
        <v>1</v>
      </c>
    </row>
    <row r="146" ht="25.5" spans="1:17">
      <c r="A146" s="6" t="s">
        <v>889</v>
      </c>
      <c r="B146" s="7" t="s">
        <v>873</v>
      </c>
      <c r="C146" s="7" t="s">
        <v>890</v>
      </c>
      <c r="D146" s="7" t="s">
        <v>891</v>
      </c>
      <c r="E146" s="16" t="s">
        <v>78</v>
      </c>
      <c r="F146" s="16" t="s">
        <v>131</v>
      </c>
      <c r="G146" s="7" t="s">
        <v>97</v>
      </c>
      <c r="H146" s="7" t="s">
        <v>881</v>
      </c>
      <c r="I146" s="7" t="s">
        <v>892</v>
      </c>
      <c r="J146" s="7" t="s">
        <v>1</v>
      </c>
      <c r="K146" s="7" t="s">
        <v>893</v>
      </c>
      <c r="L146" s="7" t="s">
        <v>127</v>
      </c>
      <c r="M146" s="3" t="s">
        <v>1</v>
      </c>
      <c r="N146" s="17" t="s">
        <v>22</v>
      </c>
      <c r="O146" s="3" t="s">
        <v>1</v>
      </c>
      <c r="P146" s="18" t="s">
        <v>1</v>
      </c>
      <c r="Q146" s="3" t="s">
        <v>1</v>
      </c>
    </row>
    <row r="147" ht="25.5" spans="1:17">
      <c r="A147" s="6" t="s">
        <v>894</v>
      </c>
      <c r="B147" s="7" t="s">
        <v>873</v>
      </c>
      <c r="C147" s="7" t="s">
        <v>895</v>
      </c>
      <c r="D147" s="7" t="s">
        <v>896</v>
      </c>
      <c r="E147" s="16" t="s">
        <v>78</v>
      </c>
      <c r="F147" s="16" t="s">
        <v>131</v>
      </c>
      <c r="G147" s="7" t="s">
        <v>97</v>
      </c>
      <c r="H147" s="7" t="s">
        <v>881</v>
      </c>
      <c r="I147" s="7" t="s">
        <v>897</v>
      </c>
      <c r="J147" s="7" t="s">
        <v>1</v>
      </c>
      <c r="K147" s="7" t="s">
        <v>898</v>
      </c>
      <c r="L147" s="7" t="s">
        <v>127</v>
      </c>
      <c r="M147" s="3" t="s">
        <v>1</v>
      </c>
      <c r="N147" s="17" t="s">
        <v>22</v>
      </c>
      <c r="O147" s="3" t="s">
        <v>1</v>
      </c>
      <c r="P147" s="18" t="s">
        <v>1</v>
      </c>
      <c r="Q147" s="3" t="s">
        <v>1</v>
      </c>
    </row>
    <row r="148" ht="38.25" spans="1:17">
      <c r="A148" s="6" t="s">
        <v>899</v>
      </c>
      <c r="B148" s="7" t="s">
        <v>873</v>
      </c>
      <c r="C148" s="7" t="s">
        <v>895</v>
      </c>
      <c r="D148" s="7" t="s">
        <v>900</v>
      </c>
      <c r="E148" s="16" t="s">
        <v>111</v>
      </c>
      <c r="F148" s="16" t="s">
        <v>151</v>
      </c>
      <c r="G148" s="7" t="s">
        <v>97</v>
      </c>
      <c r="H148" s="7" t="s">
        <v>901</v>
      </c>
      <c r="I148" s="7" t="s">
        <v>902</v>
      </c>
      <c r="J148" s="7" t="s">
        <v>1</v>
      </c>
      <c r="K148" s="7" t="s">
        <v>903</v>
      </c>
      <c r="L148" s="7" t="s">
        <v>904</v>
      </c>
      <c r="M148" s="3" t="s">
        <v>1</v>
      </c>
      <c r="N148" s="17" t="s">
        <v>22</v>
      </c>
      <c r="O148" s="3" t="s">
        <v>1</v>
      </c>
      <c r="P148" s="18" t="s">
        <v>1</v>
      </c>
      <c r="Q148" s="3" t="s">
        <v>1</v>
      </c>
    </row>
    <row r="149" ht="25.5" spans="1:17">
      <c r="A149" s="6" t="s">
        <v>905</v>
      </c>
      <c r="B149" s="7" t="s">
        <v>873</v>
      </c>
      <c r="C149" s="7" t="s">
        <v>906</v>
      </c>
      <c r="D149" s="7" t="s">
        <v>907</v>
      </c>
      <c r="E149" s="16" t="s">
        <v>908</v>
      </c>
      <c r="F149" s="16" t="s">
        <v>131</v>
      </c>
      <c r="G149" s="7" t="s">
        <v>244</v>
      </c>
      <c r="H149" s="7" t="s">
        <v>909</v>
      </c>
      <c r="I149" s="7" t="s">
        <v>910</v>
      </c>
      <c r="J149" s="7" t="s">
        <v>1</v>
      </c>
      <c r="K149" s="7" t="s">
        <v>911</v>
      </c>
      <c r="L149" s="7" t="s">
        <v>912</v>
      </c>
      <c r="M149" s="3" t="s">
        <v>1</v>
      </c>
      <c r="N149" s="17" t="s">
        <v>22</v>
      </c>
      <c r="O149" s="3" t="s">
        <v>1</v>
      </c>
      <c r="P149" s="18" t="s">
        <v>1</v>
      </c>
      <c r="Q149" s="3" t="s">
        <v>1</v>
      </c>
    </row>
    <row r="150" ht="25.5" spans="1:17">
      <c r="A150" s="6" t="s">
        <v>913</v>
      </c>
      <c r="B150" s="7" t="s">
        <v>873</v>
      </c>
      <c r="C150" s="7" t="s">
        <v>914</v>
      </c>
      <c r="D150" s="7" t="s">
        <v>915</v>
      </c>
      <c r="E150" s="16" t="s">
        <v>78</v>
      </c>
      <c r="F150" s="16" t="s">
        <v>131</v>
      </c>
      <c r="G150" s="7" t="s">
        <v>244</v>
      </c>
      <c r="H150" s="7" t="s">
        <v>132</v>
      </c>
      <c r="I150" s="7" t="s">
        <v>916</v>
      </c>
      <c r="J150" s="7" t="s">
        <v>1</v>
      </c>
      <c r="K150" s="7" t="s">
        <v>917</v>
      </c>
      <c r="L150" s="7" t="s">
        <v>220</v>
      </c>
      <c r="M150" s="3" t="s">
        <v>1</v>
      </c>
      <c r="N150" s="17" t="s">
        <v>22</v>
      </c>
      <c r="O150" s="3" t="s">
        <v>1</v>
      </c>
      <c r="P150" s="18" t="s">
        <v>1</v>
      </c>
      <c r="Q150" s="3" t="s">
        <v>1</v>
      </c>
    </row>
    <row r="151" ht="25.5" spans="1:17">
      <c r="A151" s="6" t="s">
        <v>918</v>
      </c>
      <c r="B151" s="7" t="s">
        <v>873</v>
      </c>
      <c r="C151" s="7" t="s">
        <v>914</v>
      </c>
      <c r="D151" s="7" t="s">
        <v>919</v>
      </c>
      <c r="E151" s="16" t="s">
        <v>78</v>
      </c>
      <c r="F151" s="16" t="s">
        <v>131</v>
      </c>
      <c r="G151" s="7" t="s">
        <v>244</v>
      </c>
      <c r="H151" s="7" t="s">
        <v>1</v>
      </c>
      <c r="I151" s="7" t="s">
        <v>920</v>
      </c>
      <c r="J151" s="7" t="s">
        <v>1</v>
      </c>
      <c r="K151" s="7" t="s">
        <v>921</v>
      </c>
      <c r="L151" s="7" t="s">
        <v>922</v>
      </c>
      <c r="M151" s="3" t="s">
        <v>1</v>
      </c>
      <c r="N151" s="17" t="s">
        <v>22</v>
      </c>
      <c r="O151" s="3" t="s">
        <v>1</v>
      </c>
      <c r="P151" s="18" t="s">
        <v>1</v>
      </c>
      <c r="Q151" s="3" t="s">
        <v>1</v>
      </c>
    </row>
    <row r="152" ht="38.25" spans="1:17">
      <c r="A152" s="6" t="s">
        <v>923</v>
      </c>
      <c r="B152" s="7" t="s">
        <v>924</v>
      </c>
      <c r="C152" s="7" t="s">
        <v>925</v>
      </c>
      <c r="D152" s="7" t="s">
        <v>926</v>
      </c>
      <c r="E152" s="16" t="s">
        <v>78</v>
      </c>
      <c r="F152" s="16" t="s">
        <v>96</v>
      </c>
      <c r="G152" s="7" t="s">
        <v>138</v>
      </c>
      <c r="H152" s="7" t="s">
        <v>927</v>
      </c>
      <c r="I152" s="7" t="s">
        <v>928</v>
      </c>
      <c r="J152" s="7" t="s">
        <v>1</v>
      </c>
      <c r="K152" s="7" t="s">
        <v>929</v>
      </c>
      <c r="L152" s="7" t="s">
        <v>930</v>
      </c>
      <c r="M152" s="3" t="s">
        <v>1</v>
      </c>
      <c r="N152" s="17" t="s">
        <v>22</v>
      </c>
      <c r="O152" s="3" t="s">
        <v>1</v>
      </c>
      <c r="P152" s="18" t="s">
        <v>1</v>
      </c>
      <c r="Q152" s="3" t="s">
        <v>1</v>
      </c>
    </row>
    <row r="153" ht="25.5" spans="1:17">
      <c r="A153" s="6" t="s">
        <v>931</v>
      </c>
      <c r="B153" s="7" t="s">
        <v>924</v>
      </c>
      <c r="C153" s="7" t="s">
        <v>925</v>
      </c>
      <c r="D153" s="7" t="s">
        <v>932</v>
      </c>
      <c r="E153" s="16" t="s">
        <v>78</v>
      </c>
      <c r="F153" s="16" t="s">
        <v>131</v>
      </c>
      <c r="G153" s="7" t="s">
        <v>138</v>
      </c>
      <c r="H153" s="7" t="s">
        <v>132</v>
      </c>
      <c r="I153" s="7" t="s">
        <v>933</v>
      </c>
      <c r="J153" s="7" t="s">
        <v>1</v>
      </c>
      <c r="K153" s="7" t="s">
        <v>934</v>
      </c>
      <c r="L153" s="7" t="s">
        <v>935</v>
      </c>
      <c r="M153" s="3" t="s">
        <v>1</v>
      </c>
      <c r="N153" s="17" t="s">
        <v>22</v>
      </c>
      <c r="O153" s="3" t="s">
        <v>1</v>
      </c>
      <c r="P153" s="18" t="s">
        <v>1</v>
      </c>
      <c r="Q153" s="3" t="s">
        <v>1</v>
      </c>
    </row>
    <row r="154" ht="25.5" spans="1:17">
      <c r="A154" s="6" t="s">
        <v>936</v>
      </c>
      <c r="B154" s="7" t="s">
        <v>924</v>
      </c>
      <c r="C154" s="7" t="s">
        <v>925</v>
      </c>
      <c r="D154" s="7" t="s">
        <v>937</v>
      </c>
      <c r="E154" s="16" t="s">
        <v>78</v>
      </c>
      <c r="F154" s="16" t="s">
        <v>96</v>
      </c>
      <c r="G154" s="7" t="s">
        <v>138</v>
      </c>
      <c r="H154" s="7" t="s">
        <v>132</v>
      </c>
      <c r="I154" s="7" t="s">
        <v>938</v>
      </c>
      <c r="J154" s="7" t="s">
        <v>1</v>
      </c>
      <c r="K154" s="7" t="s">
        <v>939</v>
      </c>
      <c r="L154" s="7" t="s">
        <v>220</v>
      </c>
      <c r="M154" s="3" t="s">
        <v>1</v>
      </c>
      <c r="N154" s="17" t="s">
        <v>22</v>
      </c>
      <c r="O154" s="3" t="s">
        <v>1</v>
      </c>
      <c r="P154" s="18" t="s">
        <v>1</v>
      </c>
      <c r="Q154" s="3" t="s">
        <v>1</v>
      </c>
    </row>
    <row r="155" ht="25.5" spans="1:17">
      <c r="A155" s="6" t="s">
        <v>940</v>
      </c>
      <c r="B155" s="7" t="s">
        <v>924</v>
      </c>
      <c r="C155" s="7" t="s">
        <v>925</v>
      </c>
      <c r="D155" s="7" t="s">
        <v>941</v>
      </c>
      <c r="E155" s="16" t="s">
        <v>222</v>
      </c>
      <c r="F155" s="16" t="s">
        <v>96</v>
      </c>
      <c r="G155" s="7" t="s">
        <v>138</v>
      </c>
      <c r="H155" s="7" t="s">
        <v>132</v>
      </c>
      <c r="I155" s="7" t="s">
        <v>942</v>
      </c>
      <c r="J155" s="7" t="s">
        <v>1</v>
      </c>
      <c r="K155" s="7" t="s">
        <v>314</v>
      </c>
      <c r="L155" s="7" t="s">
        <v>220</v>
      </c>
      <c r="M155" s="3" t="s">
        <v>1</v>
      </c>
      <c r="N155" s="17" t="s">
        <v>22</v>
      </c>
      <c r="O155" s="3" t="s">
        <v>1</v>
      </c>
      <c r="P155" s="18" t="s">
        <v>1</v>
      </c>
      <c r="Q155" s="3" t="s">
        <v>1</v>
      </c>
    </row>
    <row r="156" ht="38.25" spans="1:17">
      <c r="A156" s="6" t="s">
        <v>943</v>
      </c>
      <c r="B156" s="7" t="s">
        <v>924</v>
      </c>
      <c r="C156" s="7" t="s">
        <v>925</v>
      </c>
      <c r="D156" s="7" t="s">
        <v>944</v>
      </c>
      <c r="E156" s="16" t="s">
        <v>78</v>
      </c>
      <c r="F156" s="16" t="s">
        <v>96</v>
      </c>
      <c r="G156" s="7" t="s">
        <v>182</v>
      </c>
      <c r="H156" s="7" t="s">
        <v>132</v>
      </c>
      <c r="I156" s="7" t="s">
        <v>945</v>
      </c>
      <c r="J156" s="7" t="s">
        <v>1</v>
      </c>
      <c r="K156" s="7" t="s">
        <v>946</v>
      </c>
      <c r="L156" s="7" t="s">
        <v>947</v>
      </c>
      <c r="M156" s="3" t="s">
        <v>1</v>
      </c>
      <c r="N156" s="17" t="s">
        <v>22</v>
      </c>
      <c r="O156" s="3" t="s">
        <v>1</v>
      </c>
      <c r="P156" s="18" t="s">
        <v>1</v>
      </c>
      <c r="Q156" s="3" t="s">
        <v>1</v>
      </c>
    </row>
    <row r="157" ht="25.5" spans="1:17">
      <c r="A157" s="6" t="s">
        <v>948</v>
      </c>
      <c r="B157" s="7" t="s">
        <v>924</v>
      </c>
      <c r="C157" s="7" t="s">
        <v>925</v>
      </c>
      <c r="D157" s="7" t="s">
        <v>949</v>
      </c>
      <c r="E157" s="16" t="s">
        <v>166</v>
      </c>
      <c r="F157" s="16" t="s">
        <v>131</v>
      </c>
      <c r="G157" s="7" t="s">
        <v>138</v>
      </c>
      <c r="H157" s="7" t="s">
        <v>132</v>
      </c>
      <c r="I157" s="7" t="s">
        <v>950</v>
      </c>
      <c r="J157" s="7" t="s">
        <v>1</v>
      </c>
      <c r="K157" s="7" t="s">
        <v>951</v>
      </c>
      <c r="L157" s="7" t="s">
        <v>220</v>
      </c>
      <c r="M157" s="3" t="s">
        <v>1</v>
      </c>
      <c r="N157" s="17" t="s">
        <v>22</v>
      </c>
      <c r="O157" s="3" t="s">
        <v>1</v>
      </c>
      <c r="P157" s="18" t="s">
        <v>1</v>
      </c>
      <c r="Q157" s="3" t="s">
        <v>1</v>
      </c>
    </row>
    <row r="158" ht="25.5" spans="1:17">
      <c r="A158" s="6" t="s">
        <v>952</v>
      </c>
      <c r="B158" s="7" t="s">
        <v>924</v>
      </c>
      <c r="C158" s="7" t="s">
        <v>925</v>
      </c>
      <c r="D158" s="7" t="s">
        <v>953</v>
      </c>
      <c r="E158" s="16" t="s">
        <v>78</v>
      </c>
      <c r="F158" s="16" t="s">
        <v>151</v>
      </c>
      <c r="G158" s="7" t="s">
        <v>182</v>
      </c>
      <c r="H158" s="7" t="s">
        <v>132</v>
      </c>
      <c r="I158" s="7" t="s">
        <v>954</v>
      </c>
      <c r="J158" s="7" t="s">
        <v>1</v>
      </c>
      <c r="K158" s="7" t="s">
        <v>955</v>
      </c>
      <c r="L158" s="7" t="s">
        <v>220</v>
      </c>
      <c r="M158" s="3" t="s">
        <v>1</v>
      </c>
      <c r="N158" s="17" t="s">
        <v>22</v>
      </c>
      <c r="O158" s="3" t="s">
        <v>1</v>
      </c>
      <c r="P158" s="18" t="s">
        <v>1</v>
      </c>
      <c r="Q158" s="3" t="s">
        <v>1</v>
      </c>
    </row>
    <row r="159" ht="38.25" spans="1:17">
      <c r="A159" s="6" t="s">
        <v>956</v>
      </c>
      <c r="B159" s="7" t="s">
        <v>924</v>
      </c>
      <c r="C159" s="7" t="s">
        <v>925</v>
      </c>
      <c r="D159" s="7" t="s">
        <v>957</v>
      </c>
      <c r="E159" s="16" t="s">
        <v>78</v>
      </c>
      <c r="F159" s="16" t="s">
        <v>131</v>
      </c>
      <c r="G159" s="7" t="s">
        <v>182</v>
      </c>
      <c r="H159" s="7" t="s">
        <v>958</v>
      </c>
      <c r="I159" s="7" t="s">
        <v>959</v>
      </c>
      <c r="J159" s="7" t="s">
        <v>960</v>
      </c>
      <c r="K159" s="7" t="s">
        <v>961</v>
      </c>
      <c r="L159" s="7" t="s">
        <v>247</v>
      </c>
      <c r="M159" s="3" t="s">
        <v>1</v>
      </c>
      <c r="N159" s="17" t="s">
        <v>22</v>
      </c>
      <c r="O159" s="3" t="s">
        <v>1</v>
      </c>
      <c r="P159" s="18" t="s">
        <v>1</v>
      </c>
      <c r="Q159" s="3" t="s">
        <v>1</v>
      </c>
    </row>
    <row r="160" ht="25.5" spans="1:17">
      <c r="A160" s="6" t="s">
        <v>962</v>
      </c>
      <c r="B160" s="7" t="s">
        <v>924</v>
      </c>
      <c r="C160" s="7" t="s">
        <v>925</v>
      </c>
      <c r="D160" s="7" t="s">
        <v>963</v>
      </c>
      <c r="E160" s="16" t="s">
        <v>166</v>
      </c>
      <c r="F160" s="16" t="s">
        <v>151</v>
      </c>
      <c r="G160" s="7" t="s">
        <v>138</v>
      </c>
      <c r="H160" s="7" t="s">
        <v>964</v>
      </c>
      <c r="I160" s="7" t="s">
        <v>965</v>
      </c>
      <c r="J160" s="7" t="s">
        <v>1</v>
      </c>
      <c r="K160" s="7" t="s">
        <v>966</v>
      </c>
      <c r="L160" s="7" t="s">
        <v>871</v>
      </c>
      <c r="M160" s="3" t="s">
        <v>1</v>
      </c>
      <c r="N160" s="17" t="s">
        <v>22</v>
      </c>
      <c r="O160" s="3" t="s">
        <v>1</v>
      </c>
      <c r="P160" s="18" t="s">
        <v>1</v>
      </c>
      <c r="Q160" s="3" t="s">
        <v>1</v>
      </c>
    </row>
    <row r="161" ht="25.5" spans="1:17">
      <c r="A161" s="6" t="s">
        <v>967</v>
      </c>
      <c r="B161" s="7" t="s">
        <v>924</v>
      </c>
      <c r="C161" s="7" t="s">
        <v>968</v>
      </c>
      <c r="D161" s="7" t="s">
        <v>969</v>
      </c>
      <c r="E161" s="16" t="s">
        <v>111</v>
      </c>
      <c r="F161" s="16" t="s">
        <v>96</v>
      </c>
      <c r="G161" s="7" t="s">
        <v>970</v>
      </c>
      <c r="H161" s="7" t="s">
        <v>971</v>
      </c>
      <c r="I161" s="7" t="s">
        <v>972</v>
      </c>
      <c r="J161" s="7" t="s">
        <v>1</v>
      </c>
      <c r="K161" s="7" t="s">
        <v>973</v>
      </c>
      <c r="L161" s="7" t="s">
        <v>974</v>
      </c>
      <c r="M161" s="3" t="s">
        <v>1</v>
      </c>
      <c r="N161" s="17" t="s">
        <v>22</v>
      </c>
      <c r="O161" s="3" t="s">
        <v>1</v>
      </c>
      <c r="P161" s="18" t="s">
        <v>1</v>
      </c>
      <c r="Q161" s="3" t="s">
        <v>1</v>
      </c>
    </row>
    <row r="162" spans="1:17">
      <c r="A162" s="6" t="s">
        <v>975</v>
      </c>
      <c r="B162" s="7" t="s">
        <v>924</v>
      </c>
      <c r="C162" s="7" t="s">
        <v>968</v>
      </c>
      <c r="D162" s="7" t="s">
        <v>976</v>
      </c>
      <c r="E162" s="16" t="s">
        <v>111</v>
      </c>
      <c r="F162" s="16" t="s">
        <v>96</v>
      </c>
      <c r="G162" s="7" t="s">
        <v>977</v>
      </c>
      <c r="H162" s="7" t="s">
        <v>978</v>
      </c>
      <c r="I162" s="7" t="s">
        <v>979</v>
      </c>
      <c r="J162" s="7" t="s">
        <v>1</v>
      </c>
      <c r="K162" s="7" t="s">
        <v>980</v>
      </c>
      <c r="L162" s="7" t="s">
        <v>247</v>
      </c>
      <c r="M162" s="3" t="s">
        <v>1</v>
      </c>
      <c r="N162" s="17" t="s">
        <v>22</v>
      </c>
      <c r="O162" s="3" t="s">
        <v>1</v>
      </c>
      <c r="P162" s="18" t="s">
        <v>1</v>
      </c>
      <c r="Q162" s="3" t="s">
        <v>1</v>
      </c>
    </row>
    <row r="163" spans="1:17">
      <c r="A163" s="6" t="s">
        <v>981</v>
      </c>
      <c r="B163" s="7" t="s">
        <v>924</v>
      </c>
      <c r="C163" s="7" t="s">
        <v>968</v>
      </c>
      <c r="D163" s="7" t="s">
        <v>982</v>
      </c>
      <c r="E163" s="16" t="s">
        <v>78</v>
      </c>
      <c r="F163" s="16" t="s">
        <v>131</v>
      </c>
      <c r="G163" s="7" t="s">
        <v>977</v>
      </c>
      <c r="H163" s="7" t="s">
        <v>978</v>
      </c>
      <c r="I163" s="7" t="s">
        <v>983</v>
      </c>
      <c r="J163" s="7" t="s">
        <v>984</v>
      </c>
      <c r="K163" s="7" t="s">
        <v>985</v>
      </c>
      <c r="L163" s="7" t="s">
        <v>986</v>
      </c>
      <c r="M163" s="3" t="s">
        <v>1</v>
      </c>
      <c r="N163" s="17" t="s">
        <v>22</v>
      </c>
      <c r="O163" s="3" t="s">
        <v>1</v>
      </c>
      <c r="P163" s="18" t="s">
        <v>1</v>
      </c>
      <c r="Q163" s="3" t="s">
        <v>1</v>
      </c>
    </row>
    <row r="164" spans="1:17">
      <c r="A164" s="6" t="s">
        <v>987</v>
      </c>
      <c r="B164" s="7" t="s">
        <v>924</v>
      </c>
      <c r="C164" s="7" t="s">
        <v>968</v>
      </c>
      <c r="D164" s="7" t="s">
        <v>988</v>
      </c>
      <c r="E164" s="16" t="s">
        <v>78</v>
      </c>
      <c r="F164" s="16" t="s">
        <v>131</v>
      </c>
      <c r="G164" s="7" t="s">
        <v>234</v>
      </c>
      <c r="H164" s="7" t="s">
        <v>978</v>
      </c>
      <c r="I164" s="7" t="s">
        <v>989</v>
      </c>
      <c r="J164" s="7" t="s">
        <v>1</v>
      </c>
      <c r="K164" s="7" t="s">
        <v>990</v>
      </c>
      <c r="L164" s="7" t="s">
        <v>991</v>
      </c>
      <c r="M164" s="3" t="s">
        <v>1</v>
      </c>
      <c r="N164" s="17" t="s">
        <v>22</v>
      </c>
      <c r="O164" s="3" t="s">
        <v>1</v>
      </c>
      <c r="P164" s="18" t="s">
        <v>1</v>
      </c>
      <c r="Q164" s="3" t="s">
        <v>1</v>
      </c>
    </row>
    <row r="165" ht="25.5" spans="1:17">
      <c r="A165" s="6" t="s">
        <v>992</v>
      </c>
      <c r="B165" s="7" t="s">
        <v>924</v>
      </c>
      <c r="C165" s="7" t="s">
        <v>968</v>
      </c>
      <c r="D165" s="7" t="s">
        <v>993</v>
      </c>
      <c r="E165" s="16" t="s">
        <v>166</v>
      </c>
      <c r="F165" s="16" t="s">
        <v>131</v>
      </c>
      <c r="G165" s="7" t="s">
        <v>182</v>
      </c>
      <c r="H165" s="7" t="s">
        <v>994</v>
      </c>
      <c r="I165" s="7" t="s">
        <v>995</v>
      </c>
      <c r="J165" s="7" t="s">
        <v>1</v>
      </c>
      <c r="K165" s="7" t="s">
        <v>996</v>
      </c>
      <c r="L165" s="7" t="s">
        <v>991</v>
      </c>
      <c r="M165" s="3" t="s">
        <v>1</v>
      </c>
      <c r="N165" s="17" t="s">
        <v>22</v>
      </c>
      <c r="O165" s="3" t="s">
        <v>1</v>
      </c>
      <c r="P165" s="18" t="s">
        <v>1</v>
      </c>
      <c r="Q165" s="3" t="s">
        <v>1</v>
      </c>
    </row>
    <row r="166" ht="25.5" spans="1:17">
      <c r="A166" s="6" t="s">
        <v>997</v>
      </c>
      <c r="B166" s="7" t="s">
        <v>924</v>
      </c>
      <c r="C166" s="7" t="s">
        <v>925</v>
      </c>
      <c r="D166" s="7" t="s">
        <v>998</v>
      </c>
      <c r="E166" s="16" t="s">
        <v>78</v>
      </c>
      <c r="F166" s="16" t="s">
        <v>151</v>
      </c>
      <c r="G166" s="7" t="s">
        <v>138</v>
      </c>
      <c r="H166" s="7" t="s">
        <v>132</v>
      </c>
      <c r="I166" s="7" t="s">
        <v>999</v>
      </c>
      <c r="J166" s="7" t="s">
        <v>1</v>
      </c>
      <c r="K166" s="7" t="s">
        <v>1000</v>
      </c>
      <c r="L166" s="7" t="s">
        <v>220</v>
      </c>
      <c r="M166" s="3" t="s">
        <v>1</v>
      </c>
      <c r="N166" s="17" t="s">
        <v>22</v>
      </c>
      <c r="O166" s="3" t="s">
        <v>1</v>
      </c>
      <c r="P166" s="18" t="s">
        <v>1</v>
      </c>
      <c r="Q166" s="3" t="s">
        <v>1</v>
      </c>
    </row>
    <row r="167" ht="38.25" spans="1:17">
      <c r="A167" s="6" t="s">
        <v>1001</v>
      </c>
      <c r="B167" s="7" t="s">
        <v>1002</v>
      </c>
      <c r="C167" s="7" t="s">
        <v>1003</v>
      </c>
      <c r="D167" s="7" t="s">
        <v>1004</v>
      </c>
      <c r="E167" s="16" t="s">
        <v>609</v>
      </c>
      <c r="F167" s="16" t="s">
        <v>96</v>
      </c>
      <c r="G167" s="7" t="s">
        <v>97</v>
      </c>
      <c r="H167" s="7" t="s">
        <v>1</v>
      </c>
      <c r="I167" s="7" t="s">
        <v>1005</v>
      </c>
      <c r="J167" s="7" t="s">
        <v>1</v>
      </c>
      <c r="K167" s="7" t="s">
        <v>1006</v>
      </c>
      <c r="L167" s="7" t="s">
        <v>1007</v>
      </c>
      <c r="M167" s="3" t="s">
        <v>1</v>
      </c>
      <c r="N167" s="17" t="s">
        <v>22</v>
      </c>
      <c r="O167" s="3" t="s">
        <v>1</v>
      </c>
      <c r="P167" s="18" t="s">
        <v>1</v>
      </c>
      <c r="Q167" s="3" t="s">
        <v>1</v>
      </c>
    </row>
    <row r="168" spans="1:17">
      <c r="A168" s="6" t="s">
        <v>1008</v>
      </c>
      <c r="B168" s="7" t="s">
        <v>1002</v>
      </c>
      <c r="C168" s="7" t="s">
        <v>222</v>
      </c>
      <c r="D168" s="7" t="s">
        <v>1009</v>
      </c>
      <c r="E168" s="16" t="s">
        <v>609</v>
      </c>
      <c r="F168" s="16" t="s">
        <v>96</v>
      </c>
      <c r="G168" s="7" t="s">
        <v>182</v>
      </c>
      <c r="H168" s="7" t="s">
        <v>1010</v>
      </c>
      <c r="I168" s="7" t="s">
        <v>1011</v>
      </c>
      <c r="J168" s="7" t="s">
        <v>1</v>
      </c>
      <c r="K168" s="7" t="s">
        <v>1012</v>
      </c>
      <c r="L168" s="7" t="s">
        <v>1007</v>
      </c>
      <c r="M168" s="3" t="s">
        <v>1</v>
      </c>
      <c r="N168" s="17" t="s">
        <v>22</v>
      </c>
      <c r="O168" s="3" t="s">
        <v>1</v>
      </c>
      <c r="P168" s="18" t="s">
        <v>1</v>
      </c>
      <c r="Q168" s="3" t="s">
        <v>1</v>
      </c>
    </row>
    <row r="169" ht="25.5" spans="1:17">
      <c r="A169" s="6" t="s">
        <v>1013</v>
      </c>
      <c r="B169" s="7" t="s">
        <v>1002</v>
      </c>
      <c r="C169" s="7" t="s">
        <v>1003</v>
      </c>
      <c r="D169" s="7" t="s">
        <v>1014</v>
      </c>
      <c r="E169" s="16" t="s">
        <v>609</v>
      </c>
      <c r="F169" s="16" t="s">
        <v>96</v>
      </c>
      <c r="G169" s="7" t="s">
        <v>97</v>
      </c>
      <c r="H169" s="7" t="s">
        <v>1</v>
      </c>
      <c r="I169" s="7" t="s">
        <v>1015</v>
      </c>
      <c r="J169" s="7" t="s">
        <v>1</v>
      </c>
      <c r="K169" s="7" t="s">
        <v>1006</v>
      </c>
      <c r="L169" s="7" t="s">
        <v>1007</v>
      </c>
      <c r="M169" s="3" t="s">
        <v>1</v>
      </c>
      <c r="N169" s="17" t="s">
        <v>22</v>
      </c>
      <c r="O169" s="3" t="s">
        <v>1</v>
      </c>
      <c r="P169" s="18" t="s">
        <v>1</v>
      </c>
      <c r="Q169" s="3" t="s">
        <v>1</v>
      </c>
    </row>
    <row r="170" ht="25.5" spans="1:17">
      <c r="A170" s="6" t="s">
        <v>1016</v>
      </c>
      <c r="B170" s="7" t="s">
        <v>1002</v>
      </c>
      <c r="C170" s="7" t="s">
        <v>1017</v>
      </c>
      <c r="D170" s="7" t="s">
        <v>1018</v>
      </c>
      <c r="E170" s="16" t="s">
        <v>609</v>
      </c>
      <c r="F170" s="16" t="s">
        <v>96</v>
      </c>
      <c r="G170" s="7" t="s">
        <v>182</v>
      </c>
      <c r="H170" s="7" t="s">
        <v>1010</v>
      </c>
      <c r="I170" s="7" t="s">
        <v>1019</v>
      </c>
      <c r="J170" s="7" t="s">
        <v>1</v>
      </c>
      <c r="K170" s="7" t="s">
        <v>1020</v>
      </c>
      <c r="L170" s="7" t="s">
        <v>1007</v>
      </c>
      <c r="M170" s="3" t="s">
        <v>1</v>
      </c>
      <c r="N170" s="17" t="s">
        <v>22</v>
      </c>
      <c r="O170" s="3" t="s">
        <v>1</v>
      </c>
      <c r="P170" s="18" t="s">
        <v>1</v>
      </c>
      <c r="Q170" s="3" t="s">
        <v>1</v>
      </c>
    </row>
    <row r="171" ht="25.5" spans="1:17">
      <c r="A171" s="6" t="s">
        <v>1021</v>
      </c>
      <c r="B171" s="7" t="s">
        <v>1002</v>
      </c>
      <c r="C171" s="7" t="s">
        <v>1022</v>
      </c>
      <c r="D171" s="7" t="s">
        <v>1023</v>
      </c>
      <c r="E171" s="16" t="s">
        <v>609</v>
      </c>
      <c r="F171" s="16" t="s">
        <v>96</v>
      </c>
      <c r="G171" s="7" t="s">
        <v>545</v>
      </c>
      <c r="H171" s="7" t="s">
        <v>1024</v>
      </c>
      <c r="I171" s="7" t="s">
        <v>1025</v>
      </c>
      <c r="J171" s="7" t="s">
        <v>1</v>
      </c>
      <c r="K171" s="7" t="s">
        <v>1026</v>
      </c>
      <c r="L171" s="7" t="s">
        <v>378</v>
      </c>
      <c r="M171" s="3" t="s">
        <v>1</v>
      </c>
      <c r="N171" s="17" t="s">
        <v>22</v>
      </c>
      <c r="O171" s="3" t="s">
        <v>1</v>
      </c>
      <c r="P171" s="18" t="s">
        <v>1</v>
      </c>
      <c r="Q171" s="3" t="s">
        <v>1</v>
      </c>
    </row>
    <row r="172" ht="25.5" spans="1:17">
      <c r="A172" s="6" t="s">
        <v>1027</v>
      </c>
      <c r="B172" s="7" t="s">
        <v>1002</v>
      </c>
      <c r="C172" s="7" t="s">
        <v>1022</v>
      </c>
      <c r="D172" s="7" t="s">
        <v>1028</v>
      </c>
      <c r="E172" s="16" t="s">
        <v>609</v>
      </c>
      <c r="F172" s="16" t="s">
        <v>96</v>
      </c>
      <c r="G172" s="7" t="s">
        <v>545</v>
      </c>
      <c r="H172" s="7" t="s">
        <v>1024</v>
      </c>
      <c r="I172" s="7" t="s">
        <v>1029</v>
      </c>
      <c r="J172" s="7" t="s">
        <v>1</v>
      </c>
      <c r="K172" s="7" t="s">
        <v>1030</v>
      </c>
      <c r="L172" s="7" t="s">
        <v>1031</v>
      </c>
      <c r="M172" s="3" t="s">
        <v>1</v>
      </c>
      <c r="N172" s="17" t="s">
        <v>22</v>
      </c>
      <c r="O172" s="3" t="s">
        <v>1</v>
      </c>
      <c r="P172" s="18" t="s">
        <v>1</v>
      </c>
      <c r="Q172" s="3" t="s">
        <v>1</v>
      </c>
    </row>
    <row r="173" ht="38.25" spans="1:17">
      <c r="A173" s="6" t="s">
        <v>1032</v>
      </c>
      <c r="B173" s="7" t="s">
        <v>1002</v>
      </c>
      <c r="C173" s="7" t="s">
        <v>1033</v>
      </c>
      <c r="D173" s="7" t="s">
        <v>1034</v>
      </c>
      <c r="E173" s="16" t="s">
        <v>609</v>
      </c>
      <c r="F173" s="16" t="s">
        <v>96</v>
      </c>
      <c r="G173" s="7" t="s">
        <v>182</v>
      </c>
      <c r="H173" s="7" t="s">
        <v>1</v>
      </c>
      <c r="I173" s="7" t="s">
        <v>1035</v>
      </c>
      <c r="J173" s="7" t="s">
        <v>1</v>
      </c>
      <c r="K173" s="7" t="s">
        <v>1036</v>
      </c>
      <c r="L173" s="7" t="s">
        <v>1037</v>
      </c>
      <c r="M173" s="3" t="s">
        <v>1</v>
      </c>
      <c r="N173" s="17" t="s">
        <v>22</v>
      </c>
      <c r="O173" s="3" t="s">
        <v>1</v>
      </c>
      <c r="P173" s="18" t="s">
        <v>1</v>
      </c>
      <c r="Q173" s="3" t="s">
        <v>1</v>
      </c>
    </row>
    <row r="174" ht="25.5" spans="1:17">
      <c r="A174" s="6" t="s">
        <v>1038</v>
      </c>
      <c r="B174" s="7" t="s">
        <v>1002</v>
      </c>
      <c r="C174" s="7" t="s">
        <v>1039</v>
      </c>
      <c r="D174" s="7" t="s">
        <v>1040</v>
      </c>
      <c r="E174" s="16" t="s">
        <v>609</v>
      </c>
      <c r="F174" s="16" t="s">
        <v>131</v>
      </c>
      <c r="G174" s="7" t="s">
        <v>97</v>
      </c>
      <c r="H174" s="7" t="s">
        <v>1</v>
      </c>
      <c r="I174" s="7" t="s">
        <v>1041</v>
      </c>
      <c r="J174" s="7" t="s">
        <v>1</v>
      </c>
      <c r="K174" s="7" t="s">
        <v>1042</v>
      </c>
      <c r="L174" s="7" t="s">
        <v>1007</v>
      </c>
      <c r="M174" s="3" t="s">
        <v>1</v>
      </c>
      <c r="N174" s="17" t="s">
        <v>22</v>
      </c>
      <c r="O174" s="3" t="s">
        <v>1</v>
      </c>
      <c r="P174" s="18" t="s">
        <v>1</v>
      </c>
      <c r="Q174" s="3" t="s">
        <v>1</v>
      </c>
    </row>
    <row r="175" ht="25.5" spans="1:17">
      <c r="A175" s="6" t="s">
        <v>1043</v>
      </c>
      <c r="B175" s="7" t="s">
        <v>1002</v>
      </c>
      <c r="C175" s="7" t="s">
        <v>1044</v>
      </c>
      <c r="D175" s="7" t="s">
        <v>1045</v>
      </c>
      <c r="E175" s="16" t="s">
        <v>609</v>
      </c>
      <c r="F175" s="16" t="s">
        <v>131</v>
      </c>
      <c r="G175" s="7" t="s">
        <v>97</v>
      </c>
      <c r="H175" s="7" t="s">
        <v>1</v>
      </c>
      <c r="I175" s="7" t="s">
        <v>1046</v>
      </c>
      <c r="J175" s="7" t="s">
        <v>1</v>
      </c>
      <c r="K175" s="7" t="s">
        <v>1047</v>
      </c>
      <c r="L175" s="7" t="s">
        <v>1048</v>
      </c>
      <c r="M175" s="3" t="s">
        <v>1</v>
      </c>
      <c r="N175" s="17" t="s">
        <v>22</v>
      </c>
      <c r="O175" s="3" t="s">
        <v>1</v>
      </c>
      <c r="P175" s="18" t="s">
        <v>1</v>
      </c>
      <c r="Q175" s="3" t="s">
        <v>1</v>
      </c>
    </row>
    <row r="176" ht="25.5" spans="1:17">
      <c r="A176" s="6" t="s">
        <v>1049</v>
      </c>
      <c r="B176" s="7" t="s">
        <v>1002</v>
      </c>
      <c r="C176" s="7" t="s">
        <v>1050</v>
      </c>
      <c r="D176" s="7" t="s">
        <v>1051</v>
      </c>
      <c r="E176" s="16" t="s">
        <v>609</v>
      </c>
      <c r="F176" s="16" t="s">
        <v>131</v>
      </c>
      <c r="G176" s="7" t="s">
        <v>182</v>
      </c>
      <c r="H176" s="7" t="s">
        <v>1052</v>
      </c>
      <c r="I176" s="7" t="s">
        <v>1053</v>
      </c>
      <c r="J176" s="7" t="s">
        <v>1054</v>
      </c>
      <c r="K176" s="7" t="s">
        <v>1055</v>
      </c>
      <c r="L176" s="7" t="s">
        <v>220</v>
      </c>
      <c r="M176" s="3" t="s">
        <v>1</v>
      </c>
      <c r="N176" s="17" t="s">
        <v>22</v>
      </c>
      <c r="O176" s="3" t="s">
        <v>1</v>
      </c>
      <c r="P176" s="18" t="s">
        <v>1</v>
      </c>
      <c r="Q176" s="3" t="s">
        <v>1</v>
      </c>
    </row>
    <row r="177" ht="25.5" spans="1:17">
      <c r="A177" s="6" t="s">
        <v>1056</v>
      </c>
      <c r="B177" s="7" t="s">
        <v>1002</v>
      </c>
      <c r="C177" s="7" t="s">
        <v>1057</v>
      </c>
      <c r="D177" s="7" t="s">
        <v>1058</v>
      </c>
      <c r="E177" s="16" t="s">
        <v>609</v>
      </c>
      <c r="F177" s="16" t="s">
        <v>131</v>
      </c>
      <c r="G177" s="7" t="s">
        <v>138</v>
      </c>
      <c r="H177" s="7" t="s">
        <v>1</v>
      </c>
      <c r="I177" s="7" t="s">
        <v>1059</v>
      </c>
      <c r="J177" s="7" t="s">
        <v>1060</v>
      </c>
      <c r="K177" s="7" t="s">
        <v>1061</v>
      </c>
      <c r="L177" s="7" t="s">
        <v>378</v>
      </c>
      <c r="M177" s="3" t="s">
        <v>1</v>
      </c>
      <c r="N177" s="17" t="s">
        <v>22</v>
      </c>
      <c r="O177" s="3" t="s">
        <v>1</v>
      </c>
      <c r="P177" s="18" t="s">
        <v>1</v>
      </c>
      <c r="Q177" s="3" t="s">
        <v>1</v>
      </c>
    </row>
    <row r="178" ht="25.5" spans="1:17">
      <c r="A178" s="6" t="s">
        <v>1062</v>
      </c>
      <c r="B178" s="7" t="s">
        <v>1002</v>
      </c>
      <c r="C178" s="7" t="s">
        <v>1063</v>
      </c>
      <c r="D178" s="7" t="s">
        <v>1064</v>
      </c>
      <c r="E178" s="16" t="s">
        <v>609</v>
      </c>
      <c r="F178" s="16" t="s">
        <v>131</v>
      </c>
      <c r="G178" s="7" t="s">
        <v>182</v>
      </c>
      <c r="H178" s="7" t="s">
        <v>1</v>
      </c>
      <c r="I178" s="7" t="s">
        <v>1065</v>
      </c>
      <c r="J178" s="7" t="s">
        <v>1</v>
      </c>
      <c r="K178" s="7" t="s">
        <v>1066</v>
      </c>
      <c r="L178" s="7" t="s">
        <v>378</v>
      </c>
      <c r="M178" s="3" t="s">
        <v>1</v>
      </c>
      <c r="N178" s="17" t="s">
        <v>22</v>
      </c>
      <c r="O178" s="3" t="s">
        <v>1</v>
      </c>
      <c r="P178" s="18" t="s">
        <v>1</v>
      </c>
      <c r="Q178" s="3" t="s">
        <v>1</v>
      </c>
    </row>
    <row r="179" ht="25.5" spans="1:17">
      <c r="A179" s="6" t="s">
        <v>1067</v>
      </c>
      <c r="B179" s="7" t="s">
        <v>1068</v>
      </c>
      <c r="C179" s="7" t="s">
        <v>1069</v>
      </c>
      <c r="D179" s="7" t="s">
        <v>1070</v>
      </c>
      <c r="E179" s="16" t="s">
        <v>1071</v>
      </c>
      <c r="F179" s="16" t="s">
        <v>131</v>
      </c>
      <c r="G179" s="7" t="s">
        <v>138</v>
      </c>
      <c r="H179" s="7" t="s">
        <v>1</v>
      </c>
      <c r="I179" s="7" t="s">
        <v>1072</v>
      </c>
      <c r="J179" s="7" t="s">
        <v>1</v>
      </c>
      <c r="K179" s="7" t="s">
        <v>1073</v>
      </c>
      <c r="L179" s="7" t="s">
        <v>1074</v>
      </c>
      <c r="M179" s="3" t="s">
        <v>1</v>
      </c>
      <c r="N179" s="17" t="s">
        <v>22</v>
      </c>
      <c r="O179" s="3" t="s">
        <v>1</v>
      </c>
      <c r="P179" s="18" t="s">
        <v>1</v>
      </c>
      <c r="Q179" s="3" t="s">
        <v>1</v>
      </c>
    </row>
    <row r="180" ht="25.5" spans="1:17">
      <c r="A180" s="6" t="s">
        <v>1075</v>
      </c>
      <c r="B180" s="7" t="s">
        <v>1068</v>
      </c>
      <c r="C180" s="7" t="s">
        <v>1069</v>
      </c>
      <c r="D180" s="7" t="s">
        <v>1076</v>
      </c>
      <c r="E180" s="16" t="s">
        <v>1071</v>
      </c>
      <c r="F180" s="16" t="s">
        <v>151</v>
      </c>
      <c r="G180" s="7" t="s">
        <v>138</v>
      </c>
      <c r="H180" s="7" t="s">
        <v>1077</v>
      </c>
      <c r="I180" s="7" t="s">
        <v>1078</v>
      </c>
      <c r="J180" s="7" t="s">
        <v>1</v>
      </c>
      <c r="K180" s="7" t="s">
        <v>1079</v>
      </c>
      <c r="L180" s="7" t="s">
        <v>1074</v>
      </c>
      <c r="M180" s="3" t="s">
        <v>1</v>
      </c>
      <c r="N180" s="17" t="s">
        <v>22</v>
      </c>
      <c r="O180" s="3" t="s">
        <v>1</v>
      </c>
      <c r="P180" s="18" t="s">
        <v>1</v>
      </c>
      <c r="Q180" s="3" t="s">
        <v>1</v>
      </c>
    </row>
    <row r="181" ht="25.5" spans="1:17">
      <c r="A181" s="6" t="s">
        <v>1080</v>
      </c>
      <c r="B181" s="7" t="s">
        <v>1068</v>
      </c>
      <c r="C181" s="7" t="s">
        <v>1081</v>
      </c>
      <c r="D181" s="7" t="s">
        <v>1082</v>
      </c>
      <c r="E181" s="16" t="s">
        <v>1071</v>
      </c>
      <c r="F181" s="16" t="s">
        <v>131</v>
      </c>
      <c r="G181" s="7" t="s">
        <v>182</v>
      </c>
      <c r="H181" s="7" t="s">
        <v>1</v>
      </c>
      <c r="I181" s="7" t="s">
        <v>1083</v>
      </c>
      <c r="J181" s="7" t="s">
        <v>1</v>
      </c>
      <c r="K181" s="7" t="s">
        <v>1084</v>
      </c>
      <c r="L181" s="7" t="s">
        <v>220</v>
      </c>
      <c r="M181" s="3" t="s">
        <v>1</v>
      </c>
      <c r="N181" s="17" t="s">
        <v>22</v>
      </c>
      <c r="O181" s="3" t="s">
        <v>1</v>
      </c>
      <c r="P181" s="18" t="s">
        <v>1</v>
      </c>
      <c r="Q181" s="3" t="s">
        <v>1</v>
      </c>
    </row>
    <row r="182" ht="25.5" spans="1:17">
      <c r="A182" s="6" t="s">
        <v>1085</v>
      </c>
      <c r="B182" s="7" t="s">
        <v>1068</v>
      </c>
      <c r="C182" s="7" t="s">
        <v>1086</v>
      </c>
      <c r="D182" s="7" t="s">
        <v>1087</v>
      </c>
      <c r="E182" s="16" t="s">
        <v>1071</v>
      </c>
      <c r="F182" s="16" t="s">
        <v>151</v>
      </c>
      <c r="G182" s="7" t="s">
        <v>182</v>
      </c>
      <c r="H182" s="7" t="s">
        <v>1</v>
      </c>
      <c r="I182" s="7" t="s">
        <v>1088</v>
      </c>
      <c r="J182" s="7" t="s">
        <v>1</v>
      </c>
      <c r="K182" s="7" t="s">
        <v>1089</v>
      </c>
      <c r="L182" s="7" t="s">
        <v>220</v>
      </c>
      <c r="M182" s="3" t="s">
        <v>1</v>
      </c>
      <c r="N182" s="17" t="s">
        <v>22</v>
      </c>
      <c r="O182" s="3" t="s">
        <v>1</v>
      </c>
      <c r="P182" s="18" t="s">
        <v>1</v>
      </c>
      <c r="Q182" s="3" t="s">
        <v>1</v>
      </c>
    </row>
    <row r="183" ht="38.25" spans="1:17">
      <c r="A183" s="6" t="s">
        <v>1090</v>
      </c>
      <c r="B183" s="7" t="s">
        <v>1068</v>
      </c>
      <c r="C183" s="7" t="s">
        <v>1091</v>
      </c>
      <c r="D183" s="7" t="s">
        <v>1092</v>
      </c>
      <c r="E183" s="16" t="s">
        <v>1071</v>
      </c>
      <c r="F183" s="16" t="s">
        <v>151</v>
      </c>
      <c r="G183" s="7" t="s">
        <v>138</v>
      </c>
      <c r="H183" s="7" t="s">
        <v>1</v>
      </c>
      <c r="I183" s="7" t="s">
        <v>1093</v>
      </c>
      <c r="J183" s="7" t="s">
        <v>1</v>
      </c>
      <c r="K183" s="7" t="s">
        <v>1094</v>
      </c>
      <c r="L183" s="7" t="s">
        <v>1095</v>
      </c>
      <c r="M183" s="3" t="s">
        <v>1</v>
      </c>
      <c r="N183" s="17" t="s">
        <v>22</v>
      </c>
      <c r="O183" s="3" t="s">
        <v>1</v>
      </c>
      <c r="P183" s="18" t="s">
        <v>1</v>
      </c>
      <c r="Q183" s="3" t="s">
        <v>1</v>
      </c>
    </row>
    <row r="184" ht="38.25" spans="1:17">
      <c r="A184" s="6" t="s">
        <v>1096</v>
      </c>
      <c r="B184" s="7" t="s">
        <v>1068</v>
      </c>
      <c r="C184" s="7" t="s">
        <v>1091</v>
      </c>
      <c r="D184" s="7" t="s">
        <v>1097</v>
      </c>
      <c r="E184" s="16" t="s">
        <v>1071</v>
      </c>
      <c r="F184" s="16" t="s">
        <v>151</v>
      </c>
      <c r="G184" s="7" t="s">
        <v>182</v>
      </c>
      <c r="H184" s="7" t="s">
        <v>1</v>
      </c>
      <c r="I184" s="7" t="s">
        <v>1098</v>
      </c>
      <c r="J184" s="7" t="s">
        <v>1</v>
      </c>
      <c r="K184" s="7" t="s">
        <v>1099</v>
      </c>
      <c r="L184" s="7" t="s">
        <v>1037</v>
      </c>
      <c r="M184" s="3" t="s">
        <v>1</v>
      </c>
      <c r="N184" s="17" t="s">
        <v>22</v>
      </c>
      <c r="O184" s="3" t="s">
        <v>1</v>
      </c>
      <c r="P184" s="18" t="s">
        <v>1</v>
      </c>
      <c r="Q184" s="3" t="s">
        <v>1</v>
      </c>
    </row>
    <row r="185" ht="63.75" spans="1:17">
      <c r="A185" s="6" t="s">
        <v>1100</v>
      </c>
      <c r="B185" s="7" t="s">
        <v>1101</v>
      </c>
      <c r="C185" s="7" t="s">
        <v>1102</v>
      </c>
      <c r="D185" s="7" t="s">
        <v>1103</v>
      </c>
      <c r="E185" s="16" t="s">
        <v>908</v>
      </c>
      <c r="F185" s="16" t="s">
        <v>96</v>
      </c>
      <c r="G185" s="7" t="s">
        <v>1104</v>
      </c>
      <c r="H185" s="7" t="s">
        <v>1105</v>
      </c>
      <c r="I185" s="7" t="s">
        <v>1106</v>
      </c>
      <c r="J185" s="7" t="s">
        <v>1</v>
      </c>
      <c r="K185" s="7" t="s">
        <v>1107</v>
      </c>
      <c r="L185" s="7" t="s">
        <v>1108</v>
      </c>
      <c r="M185" s="3" t="s">
        <v>1</v>
      </c>
      <c r="N185" s="17" t="s">
        <v>22</v>
      </c>
      <c r="O185" s="3" t="s">
        <v>1</v>
      </c>
      <c r="P185" s="18" t="s">
        <v>1</v>
      </c>
      <c r="Q185" s="3" t="s">
        <v>1</v>
      </c>
    </row>
    <row r="186" ht="38.25" spans="1:17">
      <c r="A186" s="6" t="s">
        <v>1109</v>
      </c>
      <c r="B186" s="7" t="s">
        <v>1101</v>
      </c>
      <c r="C186" s="7" t="s">
        <v>1110</v>
      </c>
      <c r="D186" s="7" t="s">
        <v>1111</v>
      </c>
      <c r="E186" s="16" t="s">
        <v>908</v>
      </c>
      <c r="F186" s="16" t="s">
        <v>96</v>
      </c>
      <c r="G186" s="7" t="s">
        <v>182</v>
      </c>
      <c r="H186" s="7" t="s">
        <v>684</v>
      </c>
      <c r="I186" s="7" t="s">
        <v>1112</v>
      </c>
      <c r="J186" s="7" t="s">
        <v>1</v>
      </c>
      <c r="K186" s="7" t="s">
        <v>1113</v>
      </c>
      <c r="L186" s="7" t="s">
        <v>1114</v>
      </c>
      <c r="M186" s="3" t="s">
        <v>1</v>
      </c>
      <c r="N186" s="17" t="s">
        <v>22</v>
      </c>
      <c r="O186" s="3" t="s">
        <v>1</v>
      </c>
      <c r="P186" s="18" t="s">
        <v>1</v>
      </c>
      <c r="Q186" s="3" t="s">
        <v>1</v>
      </c>
    </row>
    <row r="187" ht="38.25" spans="1:17">
      <c r="A187" s="6" t="s">
        <v>1115</v>
      </c>
      <c r="B187" s="7" t="s">
        <v>1101</v>
      </c>
      <c r="C187" s="7" t="s">
        <v>129</v>
      </c>
      <c r="D187" s="7" t="s">
        <v>1116</v>
      </c>
      <c r="E187" s="16" t="s">
        <v>908</v>
      </c>
      <c r="F187" s="16" t="s">
        <v>131</v>
      </c>
      <c r="G187" s="7" t="s">
        <v>244</v>
      </c>
      <c r="H187" s="7" t="s">
        <v>1117</v>
      </c>
      <c r="I187" s="7" t="s">
        <v>1118</v>
      </c>
      <c r="J187" s="7" t="s">
        <v>1</v>
      </c>
      <c r="K187" s="7" t="s">
        <v>1119</v>
      </c>
      <c r="L187" s="7" t="s">
        <v>1120</v>
      </c>
      <c r="M187" s="3" t="s">
        <v>1</v>
      </c>
      <c r="N187" s="17" t="s">
        <v>22</v>
      </c>
      <c r="O187" s="3" t="s">
        <v>1</v>
      </c>
      <c r="P187" s="18" t="s">
        <v>1</v>
      </c>
      <c r="Q187" s="3" t="s">
        <v>1</v>
      </c>
    </row>
  </sheetData>
  <autoFilter xmlns:etc="http://www.wps.cn/officeDocument/2017/etCustomData" ref="A1:Q187" etc:filterBottomFollowUsedRange="0">
    <extLst/>
  </autoFilter>
  <conditionalFormatting sqref="F2:F187">
    <cfRule type="expression" dxfId="0" priority="5">
      <formula>$F2="Cao"</formula>
    </cfRule>
  </conditionalFormatting>
  <conditionalFormatting sqref="N2:N187">
    <cfRule type="expression" dxfId="1" priority="1">
      <formula>$N2="Đạt"</formula>
    </cfRule>
    <cfRule type="expression" dxfId="2" priority="2">
      <formula>$N2="Không đạt"</formula>
    </cfRule>
    <cfRule type="expression" dxfId="3" priority="3">
      <formula>$N2="Bị chặn"</formula>
    </cfRule>
    <cfRule type="expression" dxfId="4" priority="4">
      <formula>$N2="Bỏ qua"</formula>
    </cfRule>
  </conditionalFormatting>
  <dataValidations count="4">
    <dataValidation type="list" allowBlank="1" sqref="E2:E187">
      <formula1>"Chức năng,Ngoại lệ,Phân quyền,Tích hợp,Bảo mật,Phi chức năng,Luồng E2E"</formula1>
    </dataValidation>
    <dataValidation type="list" allowBlank="1" sqref="F2:F187">
      <formula1>"Cao,Trung bình,Thấp"</formula1>
    </dataValidation>
    <dataValidation type="list" allowBlank="1" sqref="N2:N187">
      <formula1>"Chưa test,Đạt,Không đạt,Bị chặn,Bỏ qua"</formula1>
    </dataValidation>
    <dataValidation type="date" operator="greaterThan" allowBlank="1" error="Nhập ngày dạng dd/mm/yyyy" sqref="P2:P187">
      <formula1>DATE(2020,1,1)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34" customWidth="1"/>
    <col min="2" max="9" width="12" customWidth="1"/>
  </cols>
  <sheetData>
    <row r="1" ht="20.25" spans="1:9">
      <c r="A1" s="4" t="s">
        <v>1121</v>
      </c>
    </row>
    <row r="2" spans="1:9">
      <c r="A2" s="5" t="s">
        <v>1122</v>
      </c>
    </row>
    <row r="4" spans="1:9">
      <c r="A4" s="1" t="s">
        <v>77</v>
      </c>
      <c r="B4" s="1" t="s">
        <v>1123</v>
      </c>
      <c r="C4" s="1" t="s">
        <v>24</v>
      </c>
      <c r="D4" s="1" t="s">
        <v>26</v>
      </c>
      <c r="E4" s="1" t="s">
        <v>28</v>
      </c>
      <c r="F4" s="1" t="s">
        <v>30</v>
      </c>
      <c r="G4" s="1" t="s">
        <v>22</v>
      </c>
      <c r="H4" s="1" t="s">
        <v>1124</v>
      </c>
      <c r="I4" s="1" t="s">
        <v>1125</v>
      </c>
    </row>
    <row r="5" spans="1:9">
      <c r="A5" s="8" t="s">
        <v>94</v>
      </c>
      <c r="B5" s="9">
        <f>COUNTIFS('Test case'!$B$2:$B$187,$A5)</f>
        <v>9</v>
      </c>
      <c r="C5" s="9">
        <f>COUNTIFS('Test case'!$B$2:$B$187,$A5,'Test case'!$N$2:$N$187,"Đạt")</f>
        <v>0</v>
      </c>
      <c r="D5" s="9">
        <f>COUNTIFS('Test case'!$B$2:$B$187,$A5,'Test case'!$N$2:$N$187,"Không đạt")</f>
        <v>0</v>
      </c>
      <c r="E5" s="9">
        <f>COUNTIFS('Test case'!$B$2:$B$187,$A5,'Test case'!$N$2:$N$187,"Bị chặn")</f>
        <v>0</v>
      </c>
      <c r="F5" s="9">
        <f>COUNTIFS('Test case'!$B$2:$B$187,$A5,'Test case'!$N$2:$N$187,"Bỏ qua")</f>
        <v>0</v>
      </c>
      <c r="G5" s="9">
        <f>COUNTIFS('Test case'!$B$2:$B$187,$A5,'Test case'!$N$2:$N$187,"Chưa test")</f>
        <v>9</v>
      </c>
      <c r="H5" s="10">
        <f t="shared" ref="H5:H19" si="0">IFERROR((B5-G5)/B5,0)</f>
        <v>0</v>
      </c>
      <c r="I5" s="10">
        <f t="shared" ref="I5:I19" si="1">IFERROR(C5/(C5+D5+E5),0)</f>
        <v>0</v>
      </c>
    </row>
    <row r="6" spans="1:9">
      <c r="A6" s="8" t="s">
        <v>156</v>
      </c>
      <c r="B6" s="9">
        <f>COUNTIFS('Test case'!$B$2:$B$187,$A6)</f>
        <v>19</v>
      </c>
      <c r="C6" s="9">
        <f>COUNTIFS('Test case'!$B$2:$B$187,$A6,'Test case'!$N$2:$N$187,"Đạt")</f>
        <v>0</v>
      </c>
      <c r="D6" s="9">
        <f>COUNTIFS('Test case'!$B$2:$B$187,$A6,'Test case'!$N$2:$N$187,"Không đạt")</f>
        <v>0</v>
      </c>
      <c r="E6" s="9">
        <f>COUNTIFS('Test case'!$B$2:$B$187,$A6,'Test case'!$N$2:$N$187,"Bị chặn")</f>
        <v>0</v>
      </c>
      <c r="F6" s="9">
        <f>COUNTIFS('Test case'!$B$2:$B$187,$A6,'Test case'!$N$2:$N$187,"Bỏ qua")</f>
        <v>0</v>
      </c>
      <c r="G6" s="9">
        <f>COUNTIFS('Test case'!$B$2:$B$187,$A6,'Test case'!$N$2:$N$187,"Chưa test")</f>
        <v>19</v>
      </c>
      <c r="H6" s="10">
        <f t="shared" si="0"/>
        <v>0</v>
      </c>
      <c r="I6" s="10">
        <f t="shared" si="1"/>
        <v>0</v>
      </c>
    </row>
    <row r="7" spans="1:9">
      <c r="A7" s="8" t="s">
        <v>269</v>
      </c>
      <c r="B7" s="9">
        <f>COUNTIFS('Test case'!$B$2:$B$187,$A7)</f>
        <v>31</v>
      </c>
      <c r="C7" s="9">
        <f>COUNTIFS('Test case'!$B$2:$B$187,$A7,'Test case'!$N$2:$N$187,"Đạt")</f>
        <v>0</v>
      </c>
      <c r="D7" s="9">
        <f>COUNTIFS('Test case'!$B$2:$B$187,$A7,'Test case'!$N$2:$N$187,"Không đạt")</f>
        <v>0</v>
      </c>
      <c r="E7" s="9">
        <f>COUNTIFS('Test case'!$B$2:$B$187,$A7,'Test case'!$N$2:$N$187,"Bị chặn")</f>
        <v>0</v>
      </c>
      <c r="F7" s="9">
        <f>COUNTIFS('Test case'!$B$2:$B$187,$A7,'Test case'!$N$2:$N$187,"Bỏ qua")</f>
        <v>0</v>
      </c>
      <c r="G7" s="9">
        <f>COUNTIFS('Test case'!$B$2:$B$187,$A7,'Test case'!$N$2:$N$187,"Chưa test")</f>
        <v>31</v>
      </c>
      <c r="H7" s="10">
        <f t="shared" si="0"/>
        <v>0</v>
      </c>
      <c r="I7" s="10">
        <f t="shared" si="1"/>
        <v>0</v>
      </c>
    </row>
    <row r="8" spans="1:9">
      <c r="A8" s="8" t="s">
        <v>429</v>
      </c>
      <c r="B8" s="9">
        <f>COUNTIFS('Test case'!$B$2:$B$187,$A8)</f>
        <v>22</v>
      </c>
      <c r="C8" s="9">
        <f>COUNTIFS('Test case'!$B$2:$B$187,$A8,'Test case'!$N$2:$N$187,"Đạt")</f>
        <v>0</v>
      </c>
      <c r="D8" s="9">
        <f>COUNTIFS('Test case'!$B$2:$B$187,$A8,'Test case'!$N$2:$N$187,"Không đạt")</f>
        <v>0</v>
      </c>
      <c r="E8" s="9">
        <f>COUNTIFS('Test case'!$B$2:$B$187,$A8,'Test case'!$N$2:$N$187,"Bị chặn")</f>
        <v>0</v>
      </c>
      <c r="F8" s="9">
        <f>COUNTIFS('Test case'!$B$2:$B$187,$A8,'Test case'!$N$2:$N$187,"Bỏ qua")</f>
        <v>0</v>
      </c>
      <c r="G8" s="9">
        <f>COUNTIFS('Test case'!$B$2:$B$187,$A8,'Test case'!$N$2:$N$187,"Chưa test")</f>
        <v>22</v>
      </c>
      <c r="H8" s="10">
        <f t="shared" si="0"/>
        <v>0</v>
      </c>
      <c r="I8" s="10">
        <f t="shared" si="1"/>
        <v>0</v>
      </c>
    </row>
    <row r="9" spans="1:9">
      <c r="A9" s="8" t="s">
        <v>551</v>
      </c>
      <c r="B9" s="9">
        <f>COUNTIFS('Test case'!$B$2:$B$187,$A9)</f>
        <v>6</v>
      </c>
      <c r="C9" s="9">
        <f>COUNTIFS('Test case'!$B$2:$B$187,$A9,'Test case'!$N$2:$N$187,"Đạt")</f>
        <v>0</v>
      </c>
      <c r="D9" s="9">
        <f>COUNTIFS('Test case'!$B$2:$B$187,$A9,'Test case'!$N$2:$N$187,"Không đạt")</f>
        <v>0</v>
      </c>
      <c r="E9" s="9">
        <f>COUNTIFS('Test case'!$B$2:$B$187,$A9,'Test case'!$N$2:$N$187,"Bị chặn")</f>
        <v>0</v>
      </c>
      <c r="F9" s="9">
        <f>COUNTIFS('Test case'!$B$2:$B$187,$A9,'Test case'!$N$2:$N$187,"Bỏ qua")</f>
        <v>0</v>
      </c>
      <c r="G9" s="9">
        <f>COUNTIFS('Test case'!$B$2:$B$187,$A9,'Test case'!$N$2:$N$187,"Chưa test")</f>
        <v>6</v>
      </c>
      <c r="H9" s="10">
        <f t="shared" si="0"/>
        <v>0</v>
      </c>
      <c r="I9" s="10">
        <f t="shared" si="1"/>
        <v>0</v>
      </c>
    </row>
    <row r="10" spans="1:9">
      <c r="A10" s="8" t="s">
        <v>586</v>
      </c>
      <c r="B10" s="9">
        <f>COUNTIFS('Test case'!$B$2:$B$187,$A10)</f>
        <v>11</v>
      </c>
      <c r="C10" s="9">
        <f>COUNTIFS('Test case'!$B$2:$B$187,$A10,'Test case'!$N$2:$N$187,"Đạt")</f>
        <v>0</v>
      </c>
      <c r="D10" s="9">
        <f>COUNTIFS('Test case'!$B$2:$B$187,$A10,'Test case'!$N$2:$N$187,"Không đạt")</f>
        <v>0</v>
      </c>
      <c r="E10" s="9">
        <f>COUNTIFS('Test case'!$B$2:$B$187,$A10,'Test case'!$N$2:$N$187,"Bị chặn")</f>
        <v>0</v>
      </c>
      <c r="F10" s="9">
        <f>COUNTIFS('Test case'!$B$2:$B$187,$A10,'Test case'!$N$2:$N$187,"Bỏ qua")</f>
        <v>0</v>
      </c>
      <c r="G10" s="9">
        <f>COUNTIFS('Test case'!$B$2:$B$187,$A10,'Test case'!$N$2:$N$187,"Chưa test")</f>
        <v>11</v>
      </c>
      <c r="H10" s="10">
        <f t="shared" si="0"/>
        <v>0</v>
      </c>
      <c r="I10" s="10">
        <f t="shared" si="1"/>
        <v>0</v>
      </c>
    </row>
    <row r="11" spans="1:9">
      <c r="A11" s="8" t="s">
        <v>647</v>
      </c>
      <c r="B11" s="9">
        <f>COUNTIFS('Test case'!$B$2:$B$187,$A11)</f>
        <v>24</v>
      </c>
      <c r="C11" s="9">
        <f>COUNTIFS('Test case'!$B$2:$B$187,$A11,'Test case'!$N$2:$N$187,"Đạt")</f>
        <v>0</v>
      </c>
      <c r="D11" s="9">
        <f>COUNTIFS('Test case'!$B$2:$B$187,$A11,'Test case'!$N$2:$N$187,"Không đạt")</f>
        <v>0</v>
      </c>
      <c r="E11" s="9">
        <f>COUNTIFS('Test case'!$B$2:$B$187,$A11,'Test case'!$N$2:$N$187,"Bị chặn")</f>
        <v>0</v>
      </c>
      <c r="F11" s="9">
        <f>COUNTIFS('Test case'!$B$2:$B$187,$A11,'Test case'!$N$2:$N$187,"Bỏ qua")</f>
        <v>0</v>
      </c>
      <c r="G11" s="9">
        <f>COUNTIFS('Test case'!$B$2:$B$187,$A11,'Test case'!$N$2:$N$187,"Chưa test")</f>
        <v>24</v>
      </c>
      <c r="H11" s="10">
        <f t="shared" si="0"/>
        <v>0</v>
      </c>
      <c r="I11" s="10">
        <f t="shared" si="1"/>
        <v>0</v>
      </c>
    </row>
    <row r="12" spans="1:9">
      <c r="A12" s="8" t="s">
        <v>777</v>
      </c>
      <c r="B12" s="9">
        <f>COUNTIFS('Test case'!$B$2:$B$187,$A12)</f>
        <v>6</v>
      </c>
      <c r="C12" s="9">
        <f>COUNTIFS('Test case'!$B$2:$B$187,$A12,'Test case'!$N$2:$N$187,"Đạt")</f>
        <v>0</v>
      </c>
      <c r="D12" s="9">
        <f>COUNTIFS('Test case'!$B$2:$B$187,$A12,'Test case'!$N$2:$N$187,"Không đạt")</f>
        <v>0</v>
      </c>
      <c r="E12" s="9">
        <f>COUNTIFS('Test case'!$B$2:$B$187,$A12,'Test case'!$N$2:$N$187,"Bị chặn")</f>
        <v>0</v>
      </c>
      <c r="F12" s="9">
        <f>COUNTIFS('Test case'!$B$2:$B$187,$A12,'Test case'!$N$2:$N$187,"Bỏ qua")</f>
        <v>0</v>
      </c>
      <c r="G12" s="9">
        <f>COUNTIFS('Test case'!$B$2:$B$187,$A12,'Test case'!$N$2:$N$187,"Chưa test")</f>
        <v>6</v>
      </c>
      <c r="H12" s="10">
        <f t="shared" si="0"/>
        <v>0</v>
      </c>
      <c r="I12" s="10">
        <f t="shared" si="1"/>
        <v>0</v>
      </c>
    </row>
    <row r="13" spans="1:9">
      <c r="A13" s="8" t="s">
        <v>810</v>
      </c>
      <c r="B13" s="9">
        <f>COUNTIFS('Test case'!$B$2:$B$187,$A13)</f>
        <v>13</v>
      </c>
      <c r="C13" s="9">
        <f>COUNTIFS('Test case'!$B$2:$B$187,$A13,'Test case'!$N$2:$N$187,"Đạt")</f>
        <v>0</v>
      </c>
      <c r="D13" s="9">
        <f>COUNTIFS('Test case'!$B$2:$B$187,$A13,'Test case'!$N$2:$N$187,"Không đạt")</f>
        <v>0</v>
      </c>
      <c r="E13" s="9">
        <f>COUNTIFS('Test case'!$B$2:$B$187,$A13,'Test case'!$N$2:$N$187,"Bị chặn")</f>
        <v>0</v>
      </c>
      <c r="F13" s="9">
        <f>COUNTIFS('Test case'!$B$2:$B$187,$A13,'Test case'!$N$2:$N$187,"Bỏ qua")</f>
        <v>0</v>
      </c>
      <c r="G13" s="9">
        <f>COUNTIFS('Test case'!$B$2:$B$187,$A13,'Test case'!$N$2:$N$187,"Chưa test")</f>
        <v>13</v>
      </c>
      <c r="H13" s="10">
        <f t="shared" si="0"/>
        <v>0</v>
      </c>
      <c r="I13" s="10">
        <f t="shared" si="1"/>
        <v>0</v>
      </c>
    </row>
    <row r="14" spans="1:9">
      <c r="A14" s="8" t="s">
        <v>873</v>
      </c>
      <c r="B14" s="9">
        <f>COUNTIFS('Test case'!$B$2:$B$187,$A14)</f>
        <v>9</v>
      </c>
      <c r="C14" s="9">
        <f>COUNTIFS('Test case'!$B$2:$B$187,$A14,'Test case'!$N$2:$N$187,"Đạt")</f>
        <v>0</v>
      </c>
      <c r="D14" s="9">
        <f>COUNTIFS('Test case'!$B$2:$B$187,$A14,'Test case'!$N$2:$N$187,"Không đạt")</f>
        <v>0</v>
      </c>
      <c r="E14" s="9">
        <f>COUNTIFS('Test case'!$B$2:$B$187,$A14,'Test case'!$N$2:$N$187,"Bị chặn")</f>
        <v>0</v>
      </c>
      <c r="F14" s="9">
        <f>COUNTIFS('Test case'!$B$2:$B$187,$A14,'Test case'!$N$2:$N$187,"Bỏ qua")</f>
        <v>0</v>
      </c>
      <c r="G14" s="9">
        <f>COUNTIFS('Test case'!$B$2:$B$187,$A14,'Test case'!$N$2:$N$187,"Chưa test")</f>
        <v>9</v>
      </c>
      <c r="H14" s="10">
        <f t="shared" si="0"/>
        <v>0</v>
      </c>
      <c r="I14" s="10">
        <f t="shared" si="1"/>
        <v>0</v>
      </c>
    </row>
    <row r="15" spans="1:9">
      <c r="A15" s="8" t="s">
        <v>924</v>
      </c>
      <c r="B15" s="9">
        <f>COUNTIFS('Test case'!$B$2:$B$187,$A15)</f>
        <v>15</v>
      </c>
      <c r="C15" s="9">
        <f>COUNTIFS('Test case'!$B$2:$B$187,$A15,'Test case'!$N$2:$N$187,"Đạt")</f>
        <v>0</v>
      </c>
      <c r="D15" s="9">
        <f>COUNTIFS('Test case'!$B$2:$B$187,$A15,'Test case'!$N$2:$N$187,"Không đạt")</f>
        <v>0</v>
      </c>
      <c r="E15" s="9">
        <f>COUNTIFS('Test case'!$B$2:$B$187,$A15,'Test case'!$N$2:$N$187,"Bị chặn")</f>
        <v>0</v>
      </c>
      <c r="F15" s="9">
        <f>COUNTIFS('Test case'!$B$2:$B$187,$A15,'Test case'!$N$2:$N$187,"Bỏ qua")</f>
        <v>0</v>
      </c>
      <c r="G15" s="9">
        <f>COUNTIFS('Test case'!$B$2:$B$187,$A15,'Test case'!$N$2:$N$187,"Chưa test")</f>
        <v>15</v>
      </c>
      <c r="H15" s="10">
        <f t="shared" si="0"/>
        <v>0</v>
      </c>
      <c r="I15" s="10">
        <f t="shared" si="1"/>
        <v>0</v>
      </c>
    </row>
    <row r="16" spans="1:9">
      <c r="A16" s="8" t="s">
        <v>1002</v>
      </c>
      <c r="B16" s="9">
        <f>COUNTIFS('Test case'!$B$2:$B$187,$A16)</f>
        <v>12</v>
      </c>
      <c r="C16" s="9">
        <f>COUNTIFS('Test case'!$B$2:$B$187,$A16,'Test case'!$N$2:$N$187,"Đạt")</f>
        <v>0</v>
      </c>
      <c r="D16" s="9">
        <f>COUNTIFS('Test case'!$B$2:$B$187,$A16,'Test case'!$N$2:$N$187,"Không đạt")</f>
        <v>0</v>
      </c>
      <c r="E16" s="9">
        <f>COUNTIFS('Test case'!$B$2:$B$187,$A16,'Test case'!$N$2:$N$187,"Bị chặn")</f>
        <v>0</v>
      </c>
      <c r="F16" s="9">
        <f>COUNTIFS('Test case'!$B$2:$B$187,$A16,'Test case'!$N$2:$N$187,"Bỏ qua")</f>
        <v>0</v>
      </c>
      <c r="G16" s="9">
        <f>COUNTIFS('Test case'!$B$2:$B$187,$A16,'Test case'!$N$2:$N$187,"Chưa test")</f>
        <v>12</v>
      </c>
      <c r="H16" s="10">
        <f t="shared" si="0"/>
        <v>0</v>
      </c>
      <c r="I16" s="10">
        <f t="shared" si="1"/>
        <v>0</v>
      </c>
    </row>
    <row r="17" spans="1:9">
      <c r="A17" s="8" t="s">
        <v>1068</v>
      </c>
      <c r="B17" s="9">
        <f>COUNTIFS('Test case'!$B$2:$B$187,$A17)</f>
        <v>6</v>
      </c>
      <c r="C17" s="9">
        <f>COUNTIFS('Test case'!$B$2:$B$187,$A17,'Test case'!$N$2:$N$187,"Đạt")</f>
        <v>0</v>
      </c>
      <c r="D17" s="9">
        <f>COUNTIFS('Test case'!$B$2:$B$187,$A17,'Test case'!$N$2:$N$187,"Không đạt")</f>
        <v>0</v>
      </c>
      <c r="E17" s="9">
        <f>COUNTIFS('Test case'!$B$2:$B$187,$A17,'Test case'!$N$2:$N$187,"Bị chặn")</f>
        <v>0</v>
      </c>
      <c r="F17" s="9">
        <f>COUNTIFS('Test case'!$B$2:$B$187,$A17,'Test case'!$N$2:$N$187,"Bỏ qua")</f>
        <v>0</v>
      </c>
      <c r="G17" s="9">
        <f>COUNTIFS('Test case'!$B$2:$B$187,$A17,'Test case'!$N$2:$N$187,"Chưa test")</f>
        <v>6</v>
      </c>
      <c r="H17" s="10">
        <f t="shared" si="0"/>
        <v>0</v>
      </c>
      <c r="I17" s="10">
        <f t="shared" si="1"/>
        <v>0</v>
      </c>
    </row>
    <row r="18" spans="1:9">
      <c r="A18" s="8" t="s">
        <v>1101</v>
      </c>
      <c r="B18" s="9">
        <f>COUNTIFS('Test case'!$B$2:$B$187,$A18)</f>
        <v>3</v>
      </c>
      <c r="C18" s="9">
        <f>COUNTIFS('Test case'!$B$2:$B$187,$A18,'Test case'!$N$2:$N$187,"Đạt")</f>
        <v>0</v>
      </c>
      <c r="D18" s="9">
        <f>COUNTIFS('Test case'!$B$2:$B$187,$A18,'Test case'!$N$2:$N$187,"Không đạt")</f>
        <v>0</v>
      </c>
      <c r="E18" s="9">
        <f>COUNTIFS('Test case'!$B$2:$B$187,$A18,'Test case'!$N$2:$N$187,"Bị chặn")</f>
        <v>0</v>
      </c>
      <c r="F18" s="9">
        <f>COUNTIFS('Test case'!$B$2:$B$187,$A18,'Test case'!$N$2:$N$187,"Bỏ qua")</f>
        <v>0</v>
      </c>
      <c r="G18" s="9">
        <f>COUNTIFS('Test case'!$B$2:$B$187,$A18,'Test case'!$N$2:$N$187,"Chưa test")</f>
        <v>3</v>
      </c>
      <c r="H18" s="10">
        <f t="shared" si="0"/>
        <v>0</v>
      </c>
      <c r="I18" s="10">
        <f t="shared" si="1"/>
        <v>0</v>
      </c>
    </row>
    <row r="19" spans="1:9">
      <c r="A19" s="11" t="s">
        <v>1126</v>
      </c>
      <c r="B19" s="12">
        <f t="shared" ref="B19:G19" si="2">SUM(B5:B18)</f>
        <v>186</v>
      </c>
      <c r="C19" s="12">
        <f t="shared" si="2"/>
        <v>0</v>
      </c>
      <c r="D19" s="12">
        <f t="shared" si="2"/>
        <v>0</v>
      </c>
      <c r="E19" s="12">
        <f t="shared" si="2"/>
        <v>0</v>
      </c>
      <c r="F19" s="12">
        <f t="shared" si="2"/>
        <v>0</v>
      </c>
      <c r="G19" s="12">
        <f t="shared" si="2"/>
        <v>186</v>
      </c>
      <c r="H19" s="13">
        <f t="shared" si="0"/>
        <v>0</v>
      </c>
      <c r="I19" s="13">
        <f t="shared" si="1"/>
        <v>0</v>
      </c>
    </row>
    <row r="20" spans="1:9">
      <c r="A20" s="5" t="s">
        <v>1127</v>
      </c>
      <c r="B20" s="5" t="str">
        <f>IF(B19=COUNTA('Test case'!$A$2:$A$187),"Khớp tổng số test case","Lệch: kiểm tra cột Phân hệ")</f>
        <v>Khớp tổng số test case</v>
      </c>
    </row>
    <row r="22" ht="15.75" spans="1:9">
      <c r="A22" s="14" t="s">
        <v>1128</v>
      </c>
    </row>
    <row r="23" spans="1:9">
      <c r="A23" s="1" t="s">
        <v>81</v>
      </c>
      <c r="B23" s="1" t="s">
        <v>1123</v>
      </c>
      <c r="C23" s="1" t="s">
        <v>24</v>
      </c>
      <c r="D23" s="1" t="s">
        <v>26</v>
      </c>
      <c r="E23" s="1" t="s">
        <v>28</v>
      </c>
      <c r="F23" s="1" t="s">
        <v>30</v>
      </c>
      <c r="G23" s="1" t="s">
        <v>22</v>
      </c>
    </row>
    <row r="24" spans="1:9">
      <c r="A24" s="8" t="s">
        <v>96</v>
      </c>
      <c r="B24" s="9">
        <f>COUNTIFS('Test case'!$F$2:$F$187,$A24)</f>
        <v>70</v>
      </c>
      <c r="C24" s="9">
        <f>COUNTIFS('Test case'!$F$2:$F$187,$A24,'Test case'!$N$2:$N$187,"Đạt")</f>
        <v>0</v>
      </c>
      <c r="D24" s="9">
        <f>COUNTIFS('Test case'!$F$2:$F$187,$A24,'Test case'!$N$2:$N$187,"Không đạt")</f>
        <v>0</v>
      </c>
      <c r="E24" s="9">
        <f>COUNTIFS('Test case'!$F$2:$F$187,$A24,'Test case'!$N$2:$N$187,"Bị chặn")</f>
        <v>0</v>
      </c>
      <c r="F24" s="9">
        <f>COUNTIFS('Test case'!$F$2:$F$187,$A24,'Test case'!$N$2:$N$187,"Bỏ qua")</f>
        <v>0</v>
      </c>
      <c r="G24" s="9">
        <f>COUNTIFS('Test case'!$F$2:$F$187,$A24,'Test case'!$N$2:$N$187,"Chưa test")</f>
        <v>70</v>
      </c>
    </row>
    <row r="25" spans="1:9">
      <c r="A25" s="8" t="s">
        <v>131</v>
      </c>
      <c r="B25" s="9">
        <f>COUNTIFS('Test case'!$F$2:$F$187,$A25)</f>
        <v>75</v>
      </c>
      <c r="C25" s="9">
        <f>COUNTIFS('Test case'!$F$2:$F$187,$A25,'Test case'!$N$2:$N$187,"Đạt")</f>
        <v>0</v>
      </c>
      <c r="D25" s="9">
        <f>COUNTIFS('Test case'!$F$2:$F$187,$A25,'Test case'!$N$2:$N$187,"Không đạt")</f>
        <v>0</v>
      </c>
      <c r="E25" s="9">
        <f>COUNTIFS('Test case'!$F$2:$F$187,$A25,'Test case'!$N$2:$N$187,"Bị chặn")</f>
        <v>0</v>
      </c>
      <c r="F25" s="9">
        <f>COUNTIFS('Test case'!$F$2:$F$187,$A25,'Test case'!$N$2:$N$187,"Bỏ qua")</f>
        <v>0</v>
      </c>
      <c r="G25" s="9">
        <f>COUNTIFS('Test case'!$F$2:$F$187,$A25,'Test case'!$N$2:$N$187,"Chưa test")</f>
        <v>75</v>
      </c>
    </row>
    <row r="26" spans="1:9">
      <c r="A26" s="8" t="s">
        <v>151</v>
      </c>
      <c r="B26" s="9">
        <f>COUNTIFS('Test case'!$F$2:$F$187,$A26)</f>
        <v>41</v>
      </c>
      <c r="C26" s="9">
        <f>COUNTIFS('Test case'!$F$2:$F$187,$A26,'Test case'!$N$2:$N$187,"Đạt")</f>
        <v>0</v>
      </c>
      <c r="D26" s="9">
        <f>COUNTIFS('Test case'!$F$2:$F$187,$A26,'Test case'!$N$2:$N$187,"Không đạt")</f>
        <v>0</v>
      </c>
      <c r="E26" s="9">
        <f>COUNTIFS('Test case'!$F$2:$F$187,$A26,'Test case'!$N$2:$N$187,"Bị chặn")</f>
        <v>0</v>
      </c>
      <c r="F26" s="9">
        <f>COUNTIFS('Test case'!$F$2:$F$187,$A26,'Test case'!$N$2:$N$187,"Bỏ qua")</f>
        <v>0</v>
      </c>
      <c r="G26" s="9">
        <f>COUNTIFS('Test case'!$F$2:$F$187,$A26,'Test case'!$N$2:$N$187,"Chưa test")</f>
        <v>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5" outlineLevelCol="1"/>
  <cols>
    <col min="1" max="1" width="34" customWidth="1"/>
    <col min="2" max="2" width="100" customWidth="1"/>
  </cols>
  <sheetData>
    <row r="1" ht="20.25" spans="1:2">
      <c r="A1" s="4" t="s">
        <v>1129</v>
      </c>
    </row>
    <row r="2" spans="1:2">
      <c r="A2" s="5" t="s">
        <v>1130</v>
      </c>
    </row>
    <row r="4" spans="1:2">
      <c r="A4" s="1" t="s">
        <v>78</v>
      </c>
      <c r="B4" s="1" t="s">
        <v>1131</v>
      </c>
    </row>
    <row r="5" ht="25.5" spans="1:2">
      <c r="A5" s="6" t="s">
        <v>1132</v>
      </c>
      <c r="B5" s="7" t="s">
        <v>1133</v>
      </c>
    </row>
    <row r="6" spans="1:2">
      <c r="A6" s="6" t="s">
        <v>1134</v>
      </c>
      <c r="B6" s="7" t="s">
        <v>1135</v>
      </c>
    </row>
    <row r="7" spans="1:2">
      <c r="A7" s="6" t="s">
        <v>1136</v>
      </c>
      <c r="B7" s="7" t="s">
        <v>1137</v>
      </c>
    </row>
    <row r="8" spans="1:2">
      <c r="A8" s="6" t="s">
        <v>1138</v>
      </c>
      <c r="B8" s="7" t="s">
        <v>1139</v>
      </c>
    </row>
    <row r="9" spans="1:2">
      <c r="A9" s="6" t="s">
        <v>1140</v>
      </c>
      <c r="B9" s="7" t="s">
        <v>1141</v>
      </c>
    </row>
    <row r="10" spans="1:2">
      <c r="A10" s="6" t="s">
        <v>470</v>
      </c>
      <c r="B10" s="7" t="s">
        <v>1142</v>
      </c>
    </row>
    <row r="11" spans="1:2">
      <c r="A11" s="6" t="s">
        <v>493</v>
      </c>
      <c r="B11" s="7" t="s">
        <v>1143</v>
      </c>
    </row>
    <row r="12" spans="1:2">
      <c r="A12" s="6" t="s">
        <v>709</v>
      </c>
      <c r="B12" s="7" t="s">
        <v>1144</v>
      </c>
    </row>
    <row r="13" spans="1:2">
      <c r="A13" s="6" t="s">
        <v>1145</v>
      </c>
      <c r="B13" s="7" t="s">
        <v>1146</v>
      </c>
    </row>
    <row r="14" spans="1:2">
      <c r="A14" s="6" t="s">
        <v>1147</v>
      </c>
      <c r="B14" s="7" t="s">
        <v>1148</v>
      </c>
    </row>
    <row r="15" spans="1:2">
      <c r="A15" s="6" t="s">
        <v>1149</v>
      </c>
      <c r="B15" s="7" t="s">
        <v>1150</v>
      </c>
    </row>
    <row r="16" spans="1:2">
      <c r="A16" s="6" t="s">
        <v>1151</v>
      </c>
      <c r="B16" s="7" t="s">
        <v>1152</v>
      </c>
    </row>
    <row r="17" spans="1:2">
      <c r="A17" s="6" t="s">
        <v>925</v>
      </c>
      <c r="B17" s="7" t="s">
        <v>1153</v>
      </c>
    </row>
    <row r="18" ht="25.5" spans="1:2">
      <c r="A18" s="6" t="s">
        <v>1154</v>
      </c>
      <c r="B18" s="7" t="s">
        <v>1155</v>
      </c>
    </row>
    <row r="19" spans="1:2">
      <c r="A19" s="6" t="s">
        <v>1156</v>
      </c>
      <c r="B19" s="7" t="s">
        <v>1157</v>
      </c>
    </row>
    <row r="20" spans="1:2">
      <c r="A20" s="6" t="s">
        <v>1158</v>
      </c>
      <c r="B20" s="7" t="s">
        <v>1159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0" customWidth="1"/>
    <col min="2" max="2" width="12" customWidth="1"/>
    <col min="3" max="3" width="22" customWidth="1"/>
    <col min="4" max="4" width="12" customWidth="1"/>
    <col min="5" max="5" width="32" customWidth="1"/>
    <col min="6" max="6" width="40" customWidth="1"/>
    <col min="7" max="8" width="30" customWidth="1"/>
    <col min="9" max="9" width="22" customWidth="1"/>
    <col min="10" max="11" width="14" customWidth="1"/>
    <col min="12" max="12" width="16" customWidth="1"/>
  </cols>
  <sheetData>
    <row r="1" ht="25.5" spans="1:12">
      <c r="A1" s="1" t="s">
        <v>1160</v>
      </c>
      <c r="B1" s="1" t="s">
        <v>1161</v>
      </c>
      <c r="C1" s="1" t="s">
        <v>77</v>
      </c>
      <c r="D1" s="1" t="s">
        <v>1162</v>
      </c>
      <c r="E1" s="1" t="s">
        <v>1163</v>
      </c>
      <c r="F1" s="1" t="s">
        <v>1164</v>
      </c>
      <c r="G1" s="1" t="s">
        <v>86</v>
      </c>
      <c r="H1" s="1" t="s">
        <v>88</v>
      </c>
      <c r="I1" s="1" t="s">
        <v>1165</v>
      </c>
      <c r="J1" s="1" t="s">
        <v>90</v>
      </c>
      <c r="K1" s="1" t="s">
        <v>1166</v>
      </c>
      <c r="L1" s="1" t="s">
        <v>1167</v>
      </c>
    </row>
    <row r="2" ht="25.5" spans="1:12">
      <c r="A2" s="2" t="s">
        <v>1168</v>
      </c>
      <c r="B2" s="2" t="s">
        <v>520</v>
      </c>
      <c r="C2" s="2" t="s">
        <v>429</v>
      </c>
      <c r="D2" s="2" t="s">
        <v>96</v>
      </c>
      <c r="E2" s="2" t="s">
        <v>1169</v>
      </c>
      <c r="F2" s="2" t="s">
        <v>1170</v>
      </c>
      <c r="G2" s="2" t="s">
        <v>1171</v>
      </c>
      <c r="H2" s="2" t="s">
        <v>1172</v>
      </c>
      <c r="I2" s="2" t="s">
        <v>1173</v>
      </c>
      <c r="J2" s="2" t="s">
        <v>1174</v>
      </c>
      <c r="K2" s="2" t="s">
        <v>1175</v>
      </c>
      <c r="L2" s="2" t="s">
        <v>1176</v>
      </c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</sheetData>
  <autoFilter xmlns:etc="http://www.wps.cn/officeDocument/2017/etCustomData" ref="A1:L102" etc:filterBottomFollowUsedRange="0">
    <extLst/>
  </autoFilter>
  <dataValidations count="2">
    <dataValidation type="list" allowBlank="1" sqref="D2:D102">
      <formula1>"Nghiêm trọng,Cao,Trung bình,Thấp"</formula1>
    </dataValidation>
    <dataValidation type="list" allowBlank="1" sqref="L2:L102">
      <formula1>"Mới,Đang sửa,Đã sửa,Đã kiểm lại,Không sửa"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Hướng dẫn</vt:lpstr>
      <vt:lpstr>Test case</vt:lpstr>
      <vt:lpstr>Tổng hợp</vt:lpstr>
      <vt:lpstr>Hành vi đã biết</vt:lpstr>
      <vt:lpstr>Ghi lỗi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GPT4Plus</cp:lastModifiedBy>
  <dcterms:created xsi:type="dcterms:W3CDTF">2026-10-17T10:13:00Z</dcterms:created>
  <dcterms:modified xsi:type="dcterms:W3CDTF">2026-10-17T12:28:04Z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38F98816E7174B088218C3818FEF58E1_12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