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firstSheet="82" activeTab="87"/>
  </bookViews>
  <sheets>
    <sheet name="Trang Bìa" sheetId="1" r:id="rId1"/>
    <sheet name="Phân công công việc" sheetId="2" r:id="rId2"/>
    <sheet name="Mục Lục" sheetId="3" r:id="rId3"/>
    <sheet name="Phần_1-Công việc chung" sheetId="4" r:id="rId4"/>
    <sheet name="Phần_1-Kế hoạch kiểm thử" sheetId="5" r:id="rId5"/>
    <sheet name="Phần_1-Review kế hoạch test" sheetId="6" r:id="rId6"/>
    <sheet name="Phần_1-SRS Review Checklist" sheetId="7" r:id="rId7"/>
    <sheet name="Phần_1-Review TL thiết kế" sheetId="8" r:id="rId8"/>
    <sheet name="Phần_1-Review TL HD cài đặt" sheetId="9" r:id="rId9"/>
    <sheet name="PH1-Review SRS" sheetId="10" r:id="rId10"/>
    <sheet name="PH1-Review Code" sheetId="11" r:id="rId11"/>
    <sheet name="PH1-Kiểm thử giao diện" sheetId="12" r:id="rId12"/>
    <sheet name="PH1-Unit test" sheetId="13" r:id="rId13"/>
    <sheet name="PH1-Kiểm thử API(Postman)" sheetId="14" r:id="rId14"/>
    <sheet name="PH1-Kiểm thử tự động" sheetId="15" r:id="rId15"/>
    <sheet name="PH1-Kiểm thử hiệu năng" sheetId="16" r:id="rId16"/>
    <sheet name="PH1-Đánh giá kết quả" sheetId="17" r:id="rId17"/>
    <sheet name="PH2-Review SRS" sheetId="18" r:id="rId18"/>
    <sheet name="PH2-Review Code" sheetId="19" r:id="rId19"/>
    <sheet name="PH2-Kiểm thử giao diện" sheetId="20" r:id="rId20"/>
    <sheet name="PH2-Unit test" sheetId="21" r:id="rId21"/>
    <sheet name="PH2-Kiểm thử API(Postman)" sheetId="22" r:id="rId22"/>
    <sheet name="PH2-Kiểm thử tự động" sheetId="23" r:id="rId23"/>
    <sheet name="PH2-Kiểm thử hiệu năng" sheetId="24" r:id="rId24"/>
    <sheet name="PH2-Đánh giá kết quả" sheetId="25" r:id="rId25"/>
    <sheet name="PH3-Review SRS" sheetId="26" r:id="rId26"/>
    <sheet name="PH3-Review Code" sheetId="27" r:id="rId27"/>
    <sheet name="PH3-Kiểm thử giao diện" sheetId="28" r:id="rId28"/>
    <sheet name="PH3-Unit test" sheetId="29" r:id="rId29"/>
    <sheet name="PH3-Kiểm thử API(Postman)" sheetId="30" r:id="rId30"/>
    <sheet name="PH3-Kiểm thử tự động" sheetId="31" r:id="rId31"/>
    <sheet name="PH3-Kiểm thử hiệu năng" sheetId="32" r:id="rId32"/>
    <sheet name="PH3-Đánh giá kết quả" sheetId="33" r:id="rId33"/>
    <sheet name="PH4-Review SRS" sheetId="34" r:id="rId34"/>
    <sheet name="PH4-Review Code" sheetId="35" r:id="rId35"/>
    <sheet name="PH4-Kiểm thử giao diện" sheetId="36" r:id="rId36"/>
    <sheet name="PH4-Unit test" sheetId="37" r:id="rId37"/>
    <sheet name="PH4-Kiểm thử API(Postman)" sheetId="38" r:id="rId38"/>
    <sheet name="PH4-Kiểm thử tự động" sheetId="39" r:id="rId39"/>
    <sheet name="PH4-Kiểm thử hiệu năng" sheetId="40" r:id="rId40"/>
    <sheet name="PH4-Đánh giá kết quả" sheetId="41" r:id="rId41"/>
    <sheet name="PH5-Review SRS" sheetId="42" r:id="rId42"/>
    <sheet name="PH5-Review Code" sheetId="43" r:id="rId43"/>
    <sheet name="PH5-Kiểm thử giao diện" sheetId="44" r:id="rId44"/>
    <sheet name="PH5-Unit test" sheetId="45" r:id="rId45"/>
    <sheet name="PH5-Kiểm thử API(Postman)" sheetId="46" r:id="rId46"/>
    <sheet name="PH5-Kiểm thử tự động" sheetId="47" r:id="rId47"/>
    <sheet name="PH5-Kiểm thử hiệu năng" sheetId="48" r:id="rId48"/>
    <sheet name="PH5-Đánh giá kết quả" sheetId="49" r:id="rId49"/>
    <sheet name="PH6-Review SRS" sheetId="50" r:id="rId50"/>
    <sheet name="PH6-Review Code" sheetId="51" r:id="rId51"/>
    <sheet name="PH6-Kiểm thử giao diện" sheetId="52" r:id="rId52"/>
    <sheet name="PH6-Unit test" sheetId="53" r:id="rId53"/>
    <sheet name="PH6-Kiểm thử API(Postman)" sheetId="54" r:id="rId54"/>
    <sheet name="PH6-Kiểm thử tự động" sheetId="55" r:id="rId55"/>
    <sheet name="PH6-Kiểm thử hiệu năng" sheetId="56" r:id="rId56"/>
    <sheet name="PH6-Đánh giá kết quả" sheetId="57" r:id="rId57"/>
    <sheet name="PH7-Review SRS" sheetId="58" r:id="rId58"/>
    <sheet name="PH7-Review Code" sheetId="59" r:id="rId59"/>
    <sheet name="PH7-Kiểm thử giao diện" sheetId="60" r:id="rId60"/>
    <sheet name="PH7-Unit test" sheetId="61" r:id="rId61"/>
    <sheet name="PH7-Kiểm thử API(Postman)" sheetId="62" r:id="rId62"/>
    <sheet name="PH7-Kiểm thử tự động" sheetId="63" r:id="rId63"/>
    <sheet name="PH7-Kiểm thử hiệu năng" sheetId="64" r:id="rId64"/>
    <sheet name="PH7-Đánh giá kết quả" sheetId="65" r:id="rId65"/>
    <sheet name="PH8-Review SRS" sheetId="66" r:id="rId66"/>
    <sheet name="PH8-Review Code" sheetId="67" r:id="rId67"/>
    <sheet name="PH8-Kiểm thử giao diện" sheetId="68" r:id="rId68"/>
    <sheet name="PH8-Unit test" sheetId="69" r:id="rId69"/>
    <sheet name="PH8-Kiểm thử API(Postman)" sheetId="70" r:id="rId70"/>
    <sheet name="PH8-Kiểm thử tự động" sheetId="71" r:id="rId71"/>
    <sheet name="PH8-Kiểm thử hiệu năng" sheetId="72" r:id="rId72"/>
    <sheet name="PH8-Đánh giá kết quả" sheetId="73" r:id="rId73"/>
    <sheet name="PH9-Review SRS" sheetId="74" r:id="rId74"/>
    <sheet name="PH9-Review Code" sheetId="75" r:id="rId75"/>
    <sheet name="PH9-Kiểm thử giao diện" sheetId="76" r:id="rId76"/>
    <sheet name="PH9-Unit test" sheetId="77" r:id="rId77"/>
    <sheet name="PH9-Kiểm thử API(Postman)" sheetId="78" r:id="rId78"/>
    <sheet name="PH9-Kiểm thử tự động" sheetId="79" r:id="rId79"/>
    <sheet name="PH9-Kiểm thử hiệu năng" sheetId="80" r:id="rId80"/>
    <sheet name="PH9-Đánh giá kết quả" sheetId="81" r:id="rId81"/>
    <sheet name="PH10-Review SRS" sheetId="82" r:id="rId82"/>
    <sheet name="PH10-Review Code" sheetId="83" r:id="rId83"/>
    <sheet name="PH10-Kiểm thử giao diện" sheetId="84" r:id="rId84"/>
    <sheet name="PH10-Unit test" sheetId="85" r:id="rId85"/>
    <sheet name="PH10-Kiểm thử API(Postman)" sheetId="86" r:id="rId86"/>
    <sheet name="PH10-Kiểm thử tự động" sheetId="87" r:id="rId87"/>
    <sheet name="PH10-Kiểm thử hiệu năng" sheetId="88" r:id="rId88"/>
    <sheet name="PH10-Đánh giá kết quả" sheetId="89" r:id="rId8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<sst xmlns="http://schemas.openxmlformats.org/spreadsheetml/2006/main" count="24437" uniqueCount="8031">
  <si>
    <t>HỌC VIỆN CÔNG NGHỆ BƯU CHÍNH VIỄN THÔNG</t>
  </si>
  <si>
    <t>KHOA CÔNG NGHỆ THÔNG TIN I</t>
  </si>
  <si>
    <t> </t>
  </si>
  <si>
    <t>BÁO CÁO</t>
  </si>
  <si>
    <t>BÀI TẬP DỰ ÁN NHÓM</t>
  </si>
  <si>
    <t>MÔN ĐẢM BẢO CHẤT LƯỢNG PHẦN MỀM</t>
  </si>
  <si>
    <t>Giảng viên hướng dẫn:</t>
  </si>
  <si>
    <t/>
  </si>
  <si>
    <t xml:space="preserve">Nhóm bài tập: </t>
  </si>
  <si>
    <t>Nhóm học phần:</t>
  </si>
  <si>
    <t>Chủ đề:</t>
  </si>
  <si>
    <t>Hệ thống thương mại điện tử TechStore theo kiến trúc microservices tích hợp trí tuệ nhân tạo</t>
  </si>
  <si>
    <t>Thành viên của nhóm:</t>
  </si>
  <si>
    <t>Tên</t>
  </si>
  <si>
    <t>MSV</t>
  </si>
  <si>
    <t>Chức năng / Nhiệm vụ</t>
  </si>
  <si>
    <t> Đóng góp</t>
  </si>
  <si>
    <t>Lập Kế hoạch kiểm thử;
Module PH1 – Tài khoản, xác thực &amp; phân quyền; PH2 – Sản phẩm &amp; tìm kiếm</t>
  </si>
  <si>
    <t>Checklist Review kế hoạch test;
Module PH3 – Giỏ hàng &amp; đơn hàng; PH4 – Tồn kho</t>
  </si>
  <si>
    <t>Checklist Review tài liệu hướng dẫn cài đặt;
Module PH5 – Thanh toán; PH6 – Khuyến mãi &amp; chiến dịch</t>
  </si>
  <si>
    <t>Checklist Review tài liệu thiết kế;
Module PH7 – Thông báo; PH8 – Hành vi &amp; gợi ý</t>
  </si>
  <si>
    <t>Checklist Review SRS;
Module PH9 – Phân tích AI &amp; churn; PH10 – Chatbot &amp; chat</t>
  </si>
  <si>
    <t>Hà Nội, tháng 10 năm 2026</t>
  </si>
  <si>
    <t>Mã nguồn (Code + Document)</t>
  </si>
  <si>
    <t>A:\Graduation-Project (nhánh develop)</t>
  </si>
  <si>
    <t>Tài liệu kiểm thử</t>
  </si>
  <si>
    <t>A:\Graduation-Project\docs\test (TEST_CASES_TOAN_HE_THONG.xlsx, HUONG_DAN_TEST_THU_CONG.md)</t>
  </si>
  <si>
    <t>Báo cáo đồ án (SRS / thiết kế)</t>
  </si>
  <si>
    <t>A:\Do_An_Tot_Nghiep\bao-cao\bao-cao (CHUONG_I, CHUONG_II, CHUONG_III)</t>
  </si>
  <si>
    <t>Phân công công việc chung</t>
  </si>
  <si>
    <t>Nội dung</t>
  </si>
  <si>
    <t>Thành viên</t>
  </si>
  <si>
    <t>Chú thích</t>
  </si>
  <si>
    <t>Tạo kế hoạch test (Plan Test)</t>
  </si>
  <si>
    <t>Sheet 'Phần_1-Kế hoạch kiểm thử'</t>
  </si>
  <si>
    <t>Checklist Review kế hoạch test (Plan test)</t>
  </si>
  <si>
    <t>Theo mẫu của bộ môn</t>
  </si>
  <si>
    <t>Checklist Review tài liệu đặc tả (SRS)</t>
  </si>
  <si>
    <t>SRS = Chương I, II báo cáo + docs/services</t>
  </si>
  <si>
    <t>Checklist Review tài liệu thiết kế</t>
  </si>
  <si>
    <t>Chương III báo cáo + docs/services</t>
  </si>
  <si>
    <t>Checklist Review tài liệu hướng dẫn cài đặt</t>
  </si>
  <si>
    <t>README.md, BE/README.md, BE/DEPLOY.md, AI/README.md</t>
  </si>
  <si>
    <t>Công việc làm từng cá nhân</t>
  </si>
  <si>
    <t>Chức năng / Nhóm chức năng</t>
  </si>
  <si>
    <t>PH1 – Tài khoản, xác thực &amp; phân quyền</t>
  </si>
  <si>
    <t>PH2 – Sản phẩm, danh mục, đánh giá &amp; tìm kiếm</t>
  </si>
  <si>
    <t>PH3 – Giỏ hàng &amp; đơn hàng</t>
  </si>
  <si>
    <t>PH4 – Tồn kho</t>
  </si>
  <si>
    <t>PH5 – Thanh toán</t>
  </si>
  <si>
    <t>PH6 – Khuyến mãi, chiến dịch, voucher &amp; điểm thưởng</t>
  </si>
  <si>
    <t>PH7 – Thông báo</t>
  </si>
  <si>
    <t>PH8 – Hành vi người dùng &amp; gợi ý sản phẩm</t>
  </si>
  <si>
    <t>PH9 – Phân tích AI &amp; dự đoán khách rời bỏ</t>
  </si>
  <si>
    <t>PH10 – Chatbot AI &amp; chat với nhân viên</t>
  </si>
  <si>
    <t>MỤC LỤC</t>
  </si>
  <si>
    <t xml:space="preserve"> Mã nguồn dự án sẽ tiến hành đảm bảo chất lượng</t>
  </si>
  <si>
    <t>A:\Graduation-Project</t>
  </si>
  <si>
    <t>I</t>
  </si>
  <si>
    <t>Công việc chung của nhóm</t>
  </si>
  <si>
    <t>1</t>
  </si>
  <si>
    <t>Mô tả hệ thống</t>
  </si>
  <si>
    <t>2</t>
  </si>
  <si>
    <t>Tài liệu bổ sung và Review tài liệu chung</t>
  </si>
  <si>
    <t>2.1</t>
  </si>
  <si>
    <t>Bản kế hoạch kiểm thử</t>
  </si>
  <si>
    <t>2.2</t>
  </si>
  <si>
    <t>Review kế hoạch kiểm thử</t>
  </si>
  <si>
    <t>2.3</t>
  </si>
  <si>
    <t>SRS Review Checklist</t>
  </si>
  <si>
    <t>2.4</t>
  </si>
  <si>
    <t>Review tài liệu thiết kế</t>
  </si>
  <si>
    <t>2.5</t>
  </si>
  <si>
    <t>Review tài liệu hướng dẫn cài đặt</t>
  </si>
  <si>
    <t>II</t>
  </si>
  <si>
    <t>Công việc cá nhân</t>
  </si>
  <si>
    <t>1.1</t>
  </si>
  <si>
    <t>1.2</t>
  </si>
  <si>
    <t>Review Code</t>
  </si>
  <si>
    <t>1.3</t>
  </si>
  <si>
    <t>Kiểm thử giao diện</t>
  </si>
  <si>
    <t>1.4</t>
  </si>
  <si>
    <t>Unit Testing</t>
  </si>
  <si>
    <t>1.5</t>
  </si>
  <si>
    <t>Kiểm thử API</t>
  </si>
  <si>
    <t>1.6</t>
  </si>
  <si>
    <t>Kiểm thử tự động</t>
  </si>
  <si>
    <t>1.7</t>
  </si>
  <si>
    <t>Kiểm thử hiệu năng</t>
  </si>
  <si>
    <t>1.8</t>
  </si>
  <si>
    <t>Đánh giá kết quả</t>
  </si>
  <si>
    <t>2.6</t>
  </si>
  <si>
    <t>2.7</t>
  </si>
  <si>
    <t>2.8</t>
  </si>
  <si>
    <t>3</t>
  </si>
  <si>
    <t>3.1</t>
  </si>
  <si>
    <t>3.2</t>
  </si>
  <si>
    <t>3.3</t>
  </si>
  <si>
    <t>3.4</t>
  </si>
  <si>
    <t>3.5</t>
  </si>
  <si>
    <t>3.6</t>
  </si>
  <si>
    <t>3.7</t>
  </si>
  <si>
    <t>3.8</t>
  </si>
  <si>
    <t>4</t>
  </si>
  <si>
    <t>4.1</t>
  </si>
  <si>
    <t>4.2</t>
  </si>
  <si>
    <t>4.3</t>
  </si>
  <si>
    <t>4.4</t>
  </si>
  <si>
    <t>4.5</t>
  </si>
  <si>
    <t>4.6</t>
  </si>
  <si>
    <t>4.7</t>
  </si>
  <si>
    <t>4.8</t>
  </si>
  <si>
    <t>5</t>
  </si>
  <si>
    <t>5.1</t>
  </si>
  <si>
    <t>5.2</t>
  </si>
  <si>
    <t>5.3</t>
  </si>
  <si>
    <t>5.4</t>
  </si>
  <si>
    <t>5.5</t>
  </si>
  <si>
    <t>5.6</t>
  </si>
  <si>
    <t>5.7</t>
  </si>
  <si>
    <t>5.8</t>
  </si>
  <si>
    <t>6</t>
  </si>
  <si>
    <t>6.1</t>
  </si>
  <si>
    <t>6.2</t>
  </si>
  <si>
    <t>6.3</t>
  </si>
  <si>
    <t>6.4</t>
  </si>
  <si>
    <t>6.5</t>
  </si>
  <si>
    <t>6.6</t>
  </si>
  <si>
    <t>6.7</t>
  </si>
  <si>
    <t>6.8</t>
  </si>
  <si>
    <t>7</t>
  </si>
  <si>
    <t>7.1</t>
  </si>
  <si>
    <t>7.2</t>
  </si>
  <si>
    <t>7.3</t>
  </si>
  <si>
    <t>7.4</t>
  </si>
  <si>
    <t>7.5</t>
  </si>
  <si>
    <t>7.6</t>
  </si>
  <si>
    <t>7.7</t>
  </si>
  <si>
    <t>7.8</t>
  </si>
  <si>
    <t>8</t>
  </si>
  <si>
    <t>8.1</t>
  </si>
  <si>
    <t>8.2</t>
  </si>
  <si>
    <t>8.3</t>
  </si>
  <si>
    <t>8.4</t>
  </si>
  <si>
    <t>8.5</t>
  </si>
  <si>
    <t>8.6</t>
  </si>
  <si>
    <t>8.7</t>
  </si>
  <si>
    <t>8.8</t>
  </si>
  <si>
    <t>9</t>
  </si>
  <si>
    <t>9.1</t>
  </si>
  <si>
    <t>9.2</t>
  </si>
  <si>
    <t>9.3</t>
  </si>
  <si>
    <t>9.4</t>
  </si>
  <si>
    <t>9.5</t>
  </si>
  <si>
    <t>9.6</t>
  </si>
  <si>
    <t>9.7</t>
  </si>
  <si>
    <t>9.8</t>
  </si>
  <si>
    <t>10</t>
  </si>
  <si>
    <t>10.1</t>
  </si>
  <si>
    <t>10.2</t>
  </si>
  <si>
    <t>10.3</t>
  </si>
  <si>
    <t>10.4</t>
  </si>
  <si>
    <t>10.5</t>
  </si>
  <si>
    <t>10.6</t>
  </si>
  <si>
    <t>10.7</t>
  </si>
  <si>
    <t>10.8</t>
  </si>
  <si>
    <t>I. CÔNG VIỆC CHUNG CỦA NHÓM</t>
  </si>
  <si>
    <t>1. Mô tả hệ thống</t>
  </si>
  <si>
    <t>1.1. Giới thiệu về hệ thống</t>
  </si>
  <si>
    <t>TechStore (AuraTech) là hệ thống thương mại điện tử bán thiết bị công nghệ, xây dựng theo kiến trúc microservices, tích hợp các dịch vụ AI: tìm kiếm ngữ nghĩa &amp; bằng hình ảnh, gợi ý sản phẩm, dự đoán khách rời bỏ và chatbot tư vấn.</t>
  </si>
  <si>
    <t>1.2. Công nghệ sử dụng</t>
  </si>
  <si>
    <t>-</t>
  </si>
  <si>
    <t>Frontend: React 19 + Vite 7 + Tailwind CSS; đăng nhập bằng keycloak-js (OIDC + PKCE).</t>
  </si>
  <si>
    <t>Backend: 8 microservice Spring Boot 3.2.5 (Java 17) – user, product, order, inventory, payment, promotion, notification, chat; Spring Cloud Gateway, Eureka; gRPC giữa order ↔ product/inventory.</t>
  </si>
  <si>
    <t>Giao tiếp bất đồng bộ: Kafka 7.4 (KRaft) + Debezium 2.5 CDC theo mẫu Transactional Outbox; Saga bù trừ cho đơn hàng.</t>
  </si>
  <si>
    <t>AI Services (Python FastAPI): search (multilingual-e5-large + CLIP ViT-B/32 + FAISS + Elasticsearch BM25), recs (SASRec), forecast (KMeans, Logistic Regression), chatbot (DeepSeek + RAG).</t>
  </si>
  <si>
    <t>Cơ sở dữ liệu: MariaDB 10.11 (mỗi service 1 database), MongoDB 6 (chat, thông báo), Redis 7 (cache, giỏ hàng, giữ tồn kho), Elasticsearch 8.10.2, MinIO (ảnh).</t>
  </si>
  <si>
    <t>Bảo mật: Keycloak 24 (OAuth2/OIDC), phân quyền ROLE_ADMIN / ROLE_STAFF / ROLE_CUSTOMER; Camunda BPMN cho chiến dịch khuyến mãi.</t>
  </si>
  <si>
    <t>1.3. Chức năng chính của hệ thống</t>
  </si>
  <si>
    <t>- PH1 – Tài khoản, xác thực &amp; phân quyền:</t>
  </si>
  <si>
    <t>+</t>
  </si>
  <si>
    <t>Đăng ký/đăng nhập qua Keycloak, hồ sơ, địa chỉ, hạng thành viên; quản trị người dùng, khóa, đổi hạng, phân quyền.</t>
  </si>
  <si>
    <t>- PH2 – Sản phẩm, danh mục, đánh giá &amp; tìm kiếm:</t>
  </si>
  <si>
    <t>Danh mục, thương hiệu, sản phẩm &amp; biến thể, đánh giá, yêu thích; tìm kiếm từ khóa, ngữ nghĩa, bằng hình ảnh.</t>
  </si>
  <si>
    <t>- PH3 – Giỏ hàng &amp; đơn hàng:</t>
  </si>
  <si>
    <t>Giỏ hàng, checkout (VAT 10%, phí ship 30.000đ), Saga đơn hàng, hủy đơn, vận chuyển (webhook), bảo hành.</t>
  </si>
  <si>
    <t>- PH4 – Tồn kho:</t>
  </si>
  <si>
    <t>Tồn kho theo biến thể, nhập kho, lịch sử giao dịch DEDUCT/RELEASE/RESTOCK, đồng bộ Redis.</t>
  </si>
  <si>
    <t>- PH5 – Thanh toán:</t>
  </si>
  <si>
    <t>Thanh toán COD, VNPay sandbox (IPN có chữ ký), hoàn tiền tự động và thủ công.</t>
  </si>
  <si>
    <t>- PH6 – Khuyến mãi, chiến dịch, voucher &amp; điểm thưởng:</t>
  </si>
  <si>
    <t>Trình dựng chiến dịch kéo-thả → BPMN/Camunda; voucher %, giảm tiền, freeship; điểm thưởng.</t>
  </si>
  <si>
    <t>- PH7 – Thông báo:</t>
  </si>
  <si>
    <t>Thông báo email theo sự kiện đơn hàng/thanh toán qua Kafka.</t>
  </si>
  <si>
    <t>- PH8 – Hành vi người dùng &amp; gợi ý sản phẩm:</t>
  </si>
  <si>
    <t>Thu thập hành vi (19 loại sự kiện), gợi ý cá nhân hóa SASRec → Recency → Popularity.</t>
  </si>
  <si>
    <t>- PH9 – Phân tích AI &amp; dự đoán khách rời bỏ:</t>
  </si>
  <si>
    <t>Phân khúc khách hàng, dự đoán rời bỏ, quét rủi ro phát voucher giữ chân; dashboard AI.</t>
  </si>
  <si>
    <t>- PH10 – Chatbot AI &amp; chat với nhân viên:</t>
  </si>
  <si>
    <t>Chatbot AI (chính sách, sản phẩm, đơn hàng), chuyển sang nhân viên, chat thời gian thực qua WebSocket.</t>
  </si>
  <si>
    <t>1.4 Hiện trạng đảm bảo chất lượng của hệ thống</t>
  </si>
  <si>
    <t>1. Thời điểm khi mới nhận phần mềm:</t>
  </si>
  <si>
    <t>Phần mềm có mã nguồn đầy đủ (nhánh develop) và tài liệu kỹ thuật theo từng service (docs/services).</t>
  </si>
  <si>
    <t>Đặc tả và thiết kế nằm trong báo cáo đồ án (Chương I–III) nhưng có nhiều điểm lệch so với code (xem RA_SOAT_BAO_CAO_VS_CODE.md).</t>
  </si>
  <si>
    <t>Có tài liệu hướng dẫn cài đặt (README, BE/DEPLOY.md) và hướng dẫn test thủ công.</t>
  </si>
  <si>
    <t>Gần như chưa có kiểm thử tự động: 3 file unit test Java, 9 file pytest; FE không có test.</t>
  </si>
  <si>
    <t>Chưa có kế hoạch kiểm thử, bộ ca kiểm thử API/UI tự động và đo hiệu năng.</t>
  </si>
  <si>
    <t>2. Hiện trạng đảm bảo chất lượng tại thời điểm báo cáo</t>
  </si>
  <si>
    <t>Tài liệu đã xây dựng: kế hoạch kiểm thử; 4 checklist review chung; 20 checklist review SRS/code theo 10 phân hệ.</t>
  </si>
  <si>
    <t>Kiểm thử tự động: unit test JUnit/pytest (thêm vào repo), Postman collection chạy bằng Newman, Playwright UI, k6 hiệu năng.</t>
  </si>
  <si>
    <t>Kết quả kiểm thử (tự cập nhật từ sheet Đánh giá của từng phân hệ):</t>
  </si>
  <si>
    <t>STT</t>
  </si>
  <si>
    <t>Tên chức năng</t>
  </si>
  <si>
    <t>Số trường hợp kiểm thử đạt (P)</t>
  </si>
  <si>
    <t>Số trường hợp kiểm thử không đạt (F)</t>
  </si>
  <si>
    <t>Số trường hợp kiểm thử đang xem xét (PE)</t>
  </si>
  <si>
    <t>Số trường hợp kiểm thử chưa thực hiện</t>
  </si>
  <si>
    <t>Tổng số trường hợp kiểm thử</t>
  </si>
  <si>
    <t>Tỉ lệ trường hợp kiểm thử đạt (%P)</t>
  </si>
  <si>
    <t>Tỉ lệ trường hợp kiểm thử không đạt (%F)</t>
  </si>
  <si>
    <t>Người thực hiện</t>
  </si>
  <si>
    <t>Tổng</t>
  </si>
  <si>
    <t>KẾ HOẠCH KIỂM THỬ HỆ THỐNG THƯƠNG MẠI ĐIỆN TỬ TECHSTORE</t>
  </si>
  <si>
    <t>Mục</t>
  </si>
  <si>
    <t>Tên tài liệu</t>
  </si>
  <si>
    <t>Kế hoạch kiểm thử (Test Plan)</t>
  </si>
  <si>
    <t>Mã dự án</t>
  </si>
  <si>
    <t>TECHSTORE_2026</t>
  </si>
  <si>
    <t>Mã hiệu tài liệu</t>
  </si>
  <si>
    <t>TS-TP-01</t>
  </si>
  <si>
    <t>Phiên bản</t>
  </si>
  <si>
    <t>v1.0</t>
  </si>
  <si>
    <t>Ngày ban hành</t>
  </si>
  <si>
    <t>17/10/2026</t>
  </si>
  <si>
    <t>Đơn vị</t>
  </si>
  <si>
    <t>Học viện Công nghệ Bưu chính Viễn thông – Khoa CNTT1</t>
  </si>
  <si>
    <t>Người lập</t>
  </si>
  <si>
    <t>(để trống)</t>
  </si>
  <si>
    <t>Người xem xét</t>
  </si>
  <si>
    <t>Người phê duyệt</t>
  </si>
  <si>
    <t>Đầu trang: "Kế hoạch kiểm thử TechStore – v1.0". Chân trang: "TS-TP-01 – Trang x/y".</t>
  </si>
  <si>
    <t>Bảng ghi nhận thay đổi</t>
  </si>
  <si>
    <t>Ngày</t>
  </si>
  <si>
    <t>Nội dung thay đổi</t>
  </si>
  <si>
    <t>Tạo mới</t>
  </si>
  <si>
    <t>Tài liệu liên quan</t>
  </si>
  <si>
    <t>Nguồn</t>
  </si>
  <si>
    <t>Đặc tả hệ thống (Chương I – Đặc tả)</t>
  </si>
  <si>
    <t>11/10/2026</t>
  </si>
  <si>
    <t>A:\Do_An_Tot_Nghiep\bao-cao\bao-cao\CHUONG_I_DAC_TA.md</t>
  </si>
  <si>
    <t>Pha phân tích (Chương II)</t>
  </si>
  <si>
    <t>13/10/2026</t>
  </si>
  <si>
    <t>CHUONG_II_PHA_PHAN_TICH.md</t>
  </si>
  <si>
    <t>Pha thiết kế (Chương III)</t>
  </si>
  <si>
    <t>15/10/2026</t>
  </si>
  <si>
    <t>CHUONG_III_PHA_THIET_KE.md</t>
  </si>
  <si>
    <t>Đặc tả từng service</t>
  </si>
  <si>
    <t>10/2026</t>
  </si>
  <si>
    <t>docs/services/00_INDEX.md … 10_CHAT_SERVICE.md</t>
  </si>
  <si>
    <t>Hướng dẫn cài đặt</t>
  </si>
  <si>
    <t>Hướng dẫn test thủ công</t>
  </si>
  <si>
    <t>docs/test/HUONG_DAN_TEST_THU_CONG.md</t>
  </si>
  <si>
    <t>1. Giới thiệu</t>
  </si>
  <si>
    <t>1.1 Mục đích</t>
  </si>
  <si>
    <t>Xác định phạm vi, chiến lược, nguồn lực, lịch trình và tiêu chí kiểm thử cho hệ thống TechStore (nhánh develop),</t>
  </si>
  <si>
    <t>làm căn cứ thực hiện và đánh giá kết quả kiểm thử của 10 phân hệ.</t>
  </si>
  <si>
    <t>1.2 Cấu trúc tài liệu</t>
  </si>
  <si>
    <t>Giới thiệu → Phạm vi → Chiến lược &amp; loại kiểm thử → Môi trường &amp; công cụ → Tiêu chí → Rủi ro → Lịch → Nhân sự → Sản phẩm bàn giao → Ràng buộc.</t>
  </si>
  <si>
    <t>1.3 Mục tiêu và phạm vi tóm tắt</t>
  </si>
  <si>
    <t>Phát hiện lỗi chức năng, phân quyền, toàn vẹn dữ liệu và hiệu năng trước khi bảo vệ đồ án; đo tỉ lệ đạt theo từng phân hệ.</t>
  </si>
  <si>
    <t>2. Phạm vi kiểm thử</t>
  </si>
  <si>
    <t>2.1 Các chức năng được kiểm thử</t>
  </si>
  <si>
    <t>Mã</t>
  </si>
  <si>
    <t>Phân hệ</t>
  </si>
  <si>
    <t>Thành phần</t>
  </si>
  <si>
    <t>PH1</t>
  </si>
  <si>
    <t>Tài khoản, xác thực &amp; phân quyền</t>
  </si>
  <si>
    <t>Keycloak, user-service, api-gateway</t>
  </si>
  <si>
    <t>PH2</t>
  </si>
  <si>
    <t>Sản phẩm, danh mục, đánh giá &amp; tìm kiếm</t>
  </si>
  <si>
    <t>product-service, Elasticsearch, AI search-service</t>
  </si>
  <si>
    <t>PH3</t>
  </si>
  <si>
    <t>Giỏ hàng &amp; đơn hàng</t>
  </si>
  <si>
    <t>order-service (Saga, Outbox, Debezium)</t>
  </si>
  <si>
    <t>PH4</t>
  </si>
  <si>
    <t>Tồn kho</t>
  </si>
  <si>
    <t>inventory-service (Redis + MariaDB)</t>
  </si>
  <si>
    <t>PH5</t>
  </si>
  <si>
    <t>Thanh toán</t>
  </si>
  <si>
    <t>payment-service (COD, VNPay sandbox, hoàn tiền)</t>
  </si>
  <si>
    <t>PH6</t>
  </si>
  <si>
    <t>Khuyến mãi, chiến dịch, voucher &amp; điểm</t>
  </si>
  <si>
    <t>promotion-service (Camunda), loyalty trong user-service</t>
  </si>
  <si>
    <t>PH7</t>
  </si>
  <si>
    <t>Thông báo</t>
  </si>
  <si>
    <t>notification-service (Kafka → email)</t>
  </si>
  <si>
    <t>PH8</t>
  </si>
  <si>
    <t>Hành vi &amp; gợi ý</t>
  </si>
  <si>
    <t>behavior ingest (forecast-service), recs-service (SASRec)</t>
  </si>
  <si>
    <t>PH9</t>
  </si>
  <si>
    <t>Phân tích AI &amp; churn</t>
  </si>
  <si>
    <t>forecast-service (KMeans, Logistic Regression)</t>
  </si>
  <si>
    <t>PH10</t>
  </si>
  <si>
    <t>Chatbot &amp; chat nhân viên</t>
  </si>
  <si>
    <t>chatbot-service (DeepSeek, RAG), chat-service (WebSocket)</t>
  </si>
  <si>
    <t>2.2 Các chức năng không kiểm thử</t>
  </si>
  <si>
    <t>• Thanh toán VNPay môi trường thật, hoàn tiền thật (chỉ dùng sandbox / mô phỏng IPN có chữ ký hợp lệ).</t>
  </si>
  <si>
    <t>• Gửi email thật ra Internet (dùng SMTP giả lưu file .eml), thông báo đẩy FCM (chưa triển khai).</t>
  </si>
  <si>
    <t>• Đơn vị vận chuyển GHTK thật (mã vận đơn giả lập MOCK-GHTK-*).</t>
  </si>
  <si>
    <t>• /stores, /tradein (chưa có backend); kiểm thử tải ở quy mô production.</t>
  </si>
  <si>
    <t>3. Chiến lược kiểm thử</t>
  </si>
  <si>
    <t>3.1 Các mức kiểm thử</t>
  </si>
  <si>
    <t>Mức</t>
  </si>
  <si>
    <t>Mục đích</t>
  </si>
  <si>
    <t>Cách thực hiện</t>
  </si>
  <si>
    <t>Điều kiện hoàn thành</t>
  </si>
  <si>
    <t>Kiểm tra logic tầng service độc lập</t>
  </si>
  <si>
    <t>JUnit 5 + Mockito (Java), pytest (Python); mock repository/client</t>
  </si>
  <si>
    <t>100% ca chạy; lớp *Test xanh; lỗi được ghi bằng lớp *BugCheck</t>
  </si>
  <si>
    <t>Integration Testing</t>
  </si>
  <si>
    <t>Kiểm tra API qua gateway, Saga giữa các service</t>
  </si>
  <si>
    <t>Postman collection chạy bằng Newman; mô phỏng IPN VNPay, webhook vận chuyển có chữ ký</t>
  </si>
  <si>
    <t>100% ca API đã chạy; mọi ca Fail có bằng chứng response</t>
  </si>
  <si>
    <t>System Testing</t>
  </si>
  <si>
    <t>Kiểm tra luồng nghiệp vụ trên giao diện</t>
  </si>
  <si>
    <t>Playwright (Chromium) theo kịch bản; black-box</t>
  </si>
  <si>
    <t>Mỗi phân hệ ≥ 15 ca UI; ca Fail có ảnh chụp</t>
  </si>
  <si>
    <t>Acceptance Testing</t>
  </si>
  <si>
    <t>Xác nhận đáp ứng yêu cầu người dùng</t>
  </si>
  <si>
    <t>Checklist nghiệm thu theo use case trong Chương I</t>
  </si>
  <si>
    <t>Không còn lỗi mức Cao chưa có phương án</t>
  </si>
  <si>
    <t>3.2 Các loại kiểm thử</t>
  </si>
  <si>
    <t>Loại</t>
  </si>
  <si>
    <t>Lưu ý</t>
  </si>
  <si>
    <t>Function testing</t>
  </si>
  <si>
    <t>Đúng nghiệp vụ</t>
  </si>
  <si>
    <t>API + UI</t>
  </si>
  <si>
    <t>Ca chức năng chính Pass</t>
  </si>
  <si>
    <t>Kỳ vọng theo nghiệp vụ đúng, không theo hành vi hiện tại</t>
  </si>
  <si>
    <t>User interface testing</t>
  </si>
  <si>
    <t>Bố cục, hiển thị, responsive</t>
  </si>
  <si>
    <t>Playwright, viewport 1366 và 375 px</t>
  </si>
  <si>
    <t>Không vỡ bố cục</t>
  </si>
  <si>
    <t>Chặn script bên thứ ba (rss2json)</t>
  </si>
  <si>
    <t>Data and Database Integrity Testing</t>
  </si>
  <si>
    <t>Tồn kho, điểm, voucher nhất quán</t>
  </si>
  <si>
    <t>Đối chiếu API/DB sau mỗi luồng Saga</t>
  </si>
  <si>
    <t>Không lệch dữ liệu</t>
  </si>
  <si>
    <t>Kiểm tra giao dịch DEDUCT/RELEASE/RESTOCK</t>
  </si>
  <si>
    <t>Performance testing</t>
  </si>
  <si>
    <t>Thời gian phản hồi, thông lượng</t>
  </si>
  <si>
    <t>k6 (Load / Stress)</t>
  </si>
  <si>
    <t>p95 và tỉ lệ lỗi đạt ngưỡng</t>
  </si>
  <si>
    <t>Gateway giới hạn 20 req/s/khóa</t>
  </si>
  <si>
    <t>Security and Access Control Testing</t>
  </si>
  <si>
    <t>Phân quyền, IDOR, giả mạo header, chữ ký</t>
  </si>
  <si>
    <t>API Newman + UI</t>
  </si>
  <si>
    <t>Không truy cập trái phép</t>
  </si>
  <si>
    <t>Không gửi message thủ công vào Kafka</t>
  </si>
  <si>
    <t>Portability</t>
  </si>
  <si>
    <t>Trình duyệt, kích thước màn hình</t>
  </si>
  <si>
    <t>Chromium, viewport khác nhau</t>
  </si>
  <si>
    <t>Hoạt động như nhau</t>
  </si>
  <si>
    <t>3.3 Kiểm thử hồi quy</t>
  </si>
  <si>
    <t>• Điều kiện: mỗi khi sửa lỗi hoặc đổi code ở một service.</t>
  </si>
  <si>
    <t>• Chu kỳ: chạy lại toàn bộ Newman + unit test của service bị đổi; UI các phân hệ liên quan.</t>
  </si>
  <si>
    <t>• Phạm vi: phân hệ bị đổi + các phân hệ phụ thuộc qua Saga (PH3–PH6).</t>
  </si>
  <si>
    <t>4. Môi trường, công cụ và phần mềm kiểm thử</t>
  </si>
  <si>
    <t>• Phần cứng: Laptop Windows 11, RAM 24 GB.</t>
  </si>
  <si>
    <t>• Phần mềm: Docker Desktop (MariaDB 10.11, MongoDB 6, Redis 7, Kafka 7.4 KRaft, Debezium 2.5, Elasticsearch 8.10.2, MinIO, Keycloak 24), JDK 17, Maven 3.9, Node.js, Python 3.10 (container AI).</t>
  </si>
  <si>
    <t>• Công cụ: JUnit 5, Mockito, JaCoCo 0.8.11, pytest, Postman/Newman 6.2, Playwright 1.64, k6 0.54, SMTP giả (Python).</t>
  </si>
  <si>
    <t>• Dữ liệu: 1.123 sản phẩm từ tools/catalog-import; dữ liệu tổng hợp 300 khách/890 đơn từ tools/data-seed; tài khoản admin/staff/customer/qa_cust2.</t>
  </si>
  <si>
    <t>5. Tiêu chí</t>
  </si>
  <si>
    <t>• Bắt đầu: hạ tầng và 9 service đăng ký Eureka; dữ liệu đã nạp; tài khoản test đăng nhập được.</t>
  </si>
  <si>
    <t>• Kết thúc: 100% ca đã thực hiện; lỗi được ghi kèm bằng chứng; báo cáo đánh giá từng phân hệ.</t>
  </si>
  <si>
    <t>• Tạm dừng: hạ tầng sập (Docker/Keycloak), hết RAM làm service dừng, hoặc &gt; 50% ca một phân hệ bị chặn.</t>
  </si>
  <si>
    <t>6. Rủi ro</t>
  </si>
  <si>
    <t>Rủi ro</t>
  </si>
  <si>
    <t>Mức độ ảnh hưởng</t>
  </si>
  <si>
    <t>Phương án phòng ngừa / khắc phục</t>
  </si>
  <si>
    <t>RAM máy hạn chế, service bị dừng khi chạy song song</t>
  </si>
  <si>
    <t>Cao</t>
  </si>
  <si>
    <t>Chạy tuần tự từng loại test; giới hạn heap; giải phóng cache WSL</t>
  </si>
  <si>
    <t>Keycloak import lại realm khi restart làm mất mật khẩu test</t>
  </si>
  <si>
    <t>Trung bình</t>
  </si>
  <si>
    <t>Đặt lại mật khẩu qua service account trước mỗi đợt</t>
  </si>
  <si>
    <t>Email test gửi tới địa chỉ thật của người khác</t>
  </si>
  <si>
    <t>SMTP giả trên máy, không gửi ra Internet</t>
  </si>
  <si>
    <t>AI phụ thuộc mạng (DeepSeek, HuggingFace)</t>
  </si>
  <si>
    <t>Kiểm tra health trước; ca LLM ghi nhận tính không tất định</t>
  </si>
  <si>
    <t>Dữ liệu churn là dữ liệu tổng hợp</t>
  </si>
  <si>
    <t>Ghi rõ trong báo cáo; không suy diễn hành vi thật</t>
  </si>
  <si>
    <t>Giới hạn tần suất gateway gây 429 khi chạy nhanh</t>
  </si>
  <si>
    <t>Thấp</t>
  </si>
  <si>
    <t>Newman chèn độ trễ; test hiệu năng gọi trực tiếp service</t>
  </si>
  <si>
    <t>7. Ràng buộc</t>
  </si>
  <si>
    <t>• Chỉ kiểm thử trên môi trường local; không chạm môi trường production.</t>
  </si>
  <si>
    <t>• Không sửa mã nguồn chính trong quá trình kiểm thử (chỉ thêm file test).</t>
  </si>
  <si>
    <t>8. Lịch kiểm thử</t>
  </si>
  <si>
    <t>Giai đoạn</t>
  </si>
  <si>
    <t>Thời gian</t>
  </si>
  <si>
    <t>Chuẩn bị môi trường, dữ liệu</t>
  </si>
  <si>
    <t>Review tài liệu &amp; code</t>
  </si>
  <si>
    <t>Unit test, API test</t>
  </si>
  <si>
    <t>UI test, hiệu năng</t>
  </si>
  <si>
    <t>17–18/10/2026</t>
  </si>
  <si>
    <t>Tổng hợp báo cáo</t>
  </si>
  <si>
    <t>18/10/2026</t>
  </si>
  <si>
    <t>9. Nhân sự</t>
  </si>
  <si>
    <t>Vai trò</t>
  </si>
  <si>
    <t>Trách nhiệm</t>
  </si>
  <si>
    <t>Trưởng nhóm kiểm thử</t>
  </si>
  <si>
    <t>Lập kế hoạch, tổng hợp báo cáo</t>
  </si>
  <si>
    <t>Kiểm thử viên</t>
  </si>
  <si>
    <t>Thiết kế &amp; thực thi ca test theo phân hệ</t>
  </si>
  <si>
    <t>Nguồn lực: 1–5 người, khoảng 40 giờ công.</t>
  </si>
  <si>
    <t>10. Sản phẩm của việc kiểm thử</t>
  </si>
  <si>
    <t>Kế hoạch kiểm thử; checklist review (SRS, thiết kế, cài đặt, code); bộ ca kiểm thử giao diện, API, unit; mã kiểm thử tự động</t>
  </si>
  <si>
    <t>(JUnit/pytest, Postman collection, Playwright, k6); báo cáo kết quả &amp; đánh giá từng phân hệ.</t>
  </si>
  <si>
    <t>Checklist Review Kế hoạch test</t>
  </si>
  <si>
    <t>Phiên bản của sản phẩm</t>
  </si>
  <si>
    <t>Ngày xem xét</t>
  </si>
  <si>
    <t>Lần xem xét</t>
  </si>
  <si>
    <t>Độ lớn sản phẩm</t>
  </si>
  <si>
    <t>10 phân hệ (PH1–PH10): 8 microservice nghiệp vụ Java + API Gateway + 4 service AI; tài liệu Test Plan 10 mục</t>
  </si>
  <si>
    <t>Nguồn lực dùng cho xem xét (MH)</t>
  </si>
  <si>
    <t>Câu hỏi</t>
  </si>
  <si>
    <t>Có</t>
  </si>
  <si>
    <t>Không</t>
  </si>
  <si>
    <t>N/A</t>
  </si>
  <si>
    <t>Ghi chú</t>
  </si>
  <si>
    <t>Điều kiện</t>
  </si>
  <si>
    <t>Kiểm soát tài liệu</t>
  </si>
  <si>
    <t>Tài liệu có tuân thủ theo yêu cầu kiểm soát tài liệu không:</t>
  </si>
  <si>
    <t>x</t>
  </si>
  <si>
    <t>Có bảng thông tin đầu tài liệu (mã dự án TECHSTORE_2026, mã hiệu TS-TP-01, v1.0, ngày 17/10/2026) nhưng tài liệu là file Markdown test_plan.md: không có header/footer thật, không đánh số trang, Người lập/Người xem xét/Người phê duyệt đều '(để trống)', chưa có chữ ký.</t>
  </si>
  <si>
    <t>Bắt buộc</t>
  </si>
  <si>
    <t>Mẫu tài liệu có phải là mẫu mới nhất không?</t>
  </si>
  <si>
    <t>Không dẫn chiếu mã/phiên bản biểu mẫu Test Plan nào; bố cục tự soạn dạng Markdown theo các mục của checklist, không phải biểu mẫu Word chuẩn của đơn vị.</t>
  </si>
  <si>
    <t>Trang tiêu đề có bao gồm đủ tên tài liệu, phiên bản và tên công ty, mã dự án, mã hiệu tài liệu và thời gian ban hành không?</t>
  </si>
  <si>
    <t>Bảng đầu tài liệu có đủ: Tên tài liệu, Mã dự án TECHSTORE_2026, Mã hiệu TS-TP-01, v1.0, Ngày ban hành 17/10/2026, Đơn vị PTIT – Khoa CNTT1. Tuy nhiên đây là bảng ở đầu file, chưa tách thành trang tiêu đề riêng và không có logo.</t>
  </si>
  <si>
    <t>Đầu và cuối trang có bao gồm tên, phiên bản của tài liệu không?</t>
  </si>
  <si>
    <t>Dòng 15 chỉ mô tả ý định ('Đầu trang: Kế hoạch kiểm thử TechStore – v1.0. Chân trang: TS-TP-01 – Trang x/y'); Markdown không có header/footer thực tế. Cần thiết lập khi chuyển sang Word/PDF.</t>
  </si>
  <si>
    <t>Đánh số trang có theo đúng quy định: số thứ tự/tổng số trang?</t>
  </si>
  <si>
    <t>Chỉ có placeholder 'Trang x/y' ở dòng 15; file Markdown không phân trang nên chưa có số trang thật.</t>
  </si>
  <si>
    <t>Trang ký có bao gồm đủ Người lập, Người xem xét &amp; Người phê duyệt không?</t>
  </si>
  <si>
    <t>Có 3 trường Người lập/Người xem xét/Người phê duyệt trong bảng đầu tài liệu nhưng đều '(để trống)', không có trang ký riêng, không có chữ ký và ngày ký.</t>
  </si>
  <si>
    <t>Có Bảng ghi nhận thay đổi không?</t>
  </si>
  <si>
    <t>Mục 'Bảng ghi nhận thay đổi': 1 dòng v1.0 – 17/10/2026 – Tạo mới; cột Người thực hiện '(để trống)'.</t>
  </si>
  <si>
    <t>Đối với trường hợp phiên bản tài liệu &gt; v1.0:</t>
  </si>
  <si>
    <t>Tài liệu ở phiên bản v1.0, chưa có thay đổi nên không áp dụng.</t>
  </si>
  <si>
    <t>Các nội dung ghi nhận trong Bảng ghi nhận thay đổi này có đầy đủ và đúng không?</t>
  </si>
  <si>
    <t>Bản v1.0 (Tạo mới) nên không áp dụng; lưu ý cột Người thực hiện vẫn để trống.</t>
  </si>
  <si>
    <t>Có liệt kê các tài liệu liên quan không?</t>
  </si>
  <si>
    <t>Mục 'Tài liệu liên quan' liệt kê 6 tài liệu (Chương I–III, docs/services, hướng dẫn cài đặt, HUONG_DAN_TEST_THU_CONG.md). Đường dẫn không thống nhất: Chương I dùng đường dẫn tuyệt đối máy cá nhân A:\Do_An_Tot_Nghiep\..., Chương II/III chỉ có tên file; cột Ngày ghi chung '10/2026', không có phiên bản tài liệu.</t>
  </si>
  <si>
    <t>Thông tin chung</t>
  </si>
  <si>
    <t>Giới thiệu chung về mục đích và cấu trúc tài liệu?</t>
  </si>
  <si>
    <t>Mục 1.1 Mục đích và 1.2 Cấu trúc tài liệu. Thứ tự ở 1.2 (Tiêu chí → Rủi ro → Lịch → Nhân sự → Sản phẩm → Ràng buộc) không khớp thứ tự thực tế (5 Tiêu chí, 6 Rủi ro, 7 Ràng buộc, 8 Lịch, 9 Nhân sự, 10 Sản phẩm).</t>
  </si>
  <si>
    <t>Tóm tắt thông tin chung: mục tiêu và phạm vi test?</t>
  </si>
  <si>
    <t>Mục 1.3: phát hiện lỗi chức năng, phân quyền, toàn vẹn dữ liệu, hiệu năng; 'đo tỉ lệ đạt theo từng phân hệ' nhưng không nêu tỉ lệ mục tiêu cụ thể.</t>
  </si>
  <si>
    <t>Kế hoạch test</t>
  </si>
  <si>
    <t>Trong kế hoạch, có phạm vi cụ thể về:</t>
  </si>
  <si>
    <t>Mục 2 Phạm vi kiểm thử (2.1 được kiểm thử, 2.2 không kiểm thử).</t>
  </si>
  <si>
    <t>Việc xác định rõ sản phẩm cần test: bao gồm các chức năng/tính năng sẽ được hoặc không được test chưa?</t>
  </si>
  <si>
    <t>2.1 liệt kê 10 phân hệ PH1–PH10 kèm service; 2.2 loại trừ VNPay thật, email thật/FCM, GHTK thật, /stores, /tradein, tải quy mô production. Chưa ánh xạ phân hệ với mã use case của Chương I.</t>
  </si>
  <si>
    <t>Các bước test:</t>
  </si>
  <si>
    <t>Mục 3.1 bảng 4 mức kiểm thử với Mục đích / Cách thực hiện / Điều kiện hoàn thành.</t>
  </si>
  <si>
    <t>JUnit 5 + Mockito, pytest. Điều kiện hoàn thành '100% ca chạy; lớp *Test xanh' chỉ đo việc chạy, không đặt ngưỡng độ phủ dù đã liệt kê JaCoCo 0.8.11 ở mục 4.</t>
  </si>
  <si>
    <t>Postman/Newman qua gateway, mô phỏng IPN VNPay và webhook vận chuyển có chữ ký; hoàn thành khi 100% ca API đã chạy.</t>
  </si>
  <si>
    <t>Playwright (Chromium) black-box, mỗi phân hệ ≥ 15 ca UI, ca Fail có ảnh chụp.</t>
  </si>
  <si>
    <t>Acceptance testing</t>
  </si>
  <si>
    <t>Checklist nghiệm thu theo use case Chương I; không xác định ai nghiệm thu (người dùng/GVHD), tiêu chí 'không còn lỗi mức Cao chưa có phương án' chưa định nghĩa thang mức độ lỗi.</t>
  </si>
  <si>
    <t>Có liệt kê các rủi ro ảnh hưởng đến việc thực hiện test không?</t>
  </si>
  <si>
    <t>Mục 6 có 6 rủi ro (RAM, Keycloak import lại realm, email thật, AI phụ thuộc mạng, dữ liệu churn tổng hợp, rate-limit 429). Thiếu rủi ro lịch quá ngắn (2 ngày), rủi ro nhân sự, và rủi ro image Docker không tải được (thực tế minio/minio:latest không pull được phải thay pgsty/minio).</t>
  </si>
  <si>
    <t>Nếu có, có điền đầy đủ và đúng thông tin sau:</t>
  </si>
  <si>
    <t>Mỗi rủi ro đều có cột Mức độ ảnh hưởng và Phương án.</t>
  </si>
  <si>
    <t>Phương án khắc phục và phòng ngừa</t>
  </si>
  <si>
    <t>Có cột 'Phương án phòng ngừa / khắc phục' nhưng gộp chung, không tách phòng ngừa với khắc phục, không có người chịu trách nhiệm/thời điểm kích hoạt.</t>
  </si>
  <si>
    <t>Có thang Cao/Trung bình/Thấp cho từng rủi ro; chưa có cột khả năng xảy ra (xác suất) nên chưa xếp hạng ưu tiên được.</t>
  </si>
  <si>
    <t>Có liệt kê ràng buộc cho test không?</t>
  </si>
  <si>
    <t>Mục 7 chỉ có 2 ràng buộc (chỉ test local; không sửa mã nguồn chính). Chưa nêu ràng buộc thời gian (17–18/10), phần cứng một laptop 24 GB, giới hạn API bên thứ ba (DeepSeek, VNPay sandbox).</t>
  </si>
  <si>
    <t>Các yêu cầu cho test hệ thống không?</t>
  </si>
  <si>
    <t>Mục 4 (môi trường, dữ liệu, tài khoản) và mục 5 tiêu chí bắt đầu (9 service đăng ký Eureka, dữ liệu đã nạp, tài khoản đăng nhập được). Chưa nêu mật khẩu/cách tạo tài khoản test admin/staff/customer/qa_cust2.</t>
  </si>
  <si>
    <t>Có những kiểu test nào sau đây:</t>
  </si>
  <si>
    <t>Mục 3.2 bảng 6 loại kiểm thử.</t>
  </si>
  <si>
    <t>3.2: API + UI, kỳ vọng theo nghiệp vụ đúng chứ không theo hành vi hiện tại.</t>
  </si>
  <si>
    <t>3.2: Playwright, viewport 1366 và 375 px; chặn script bên thứ ba (rss2json).</t>
  </si>
  <si>
    <t>3.2: đối chiếu API/DB sau mỗi luồng Saga, kiểm tra giao dịch DEDUCT/RELEASE/RESTOCK tồn kho, điểm, voucher.</t>
  </si>
  <si>
    <t>3.2: k6 Load/Stress nhưng điều kiện 'p95 và tỉ lệ lỗi đạt ngưỡng' không nêu con số ngưỡng (ms, %), không nêu số VU/thời lượng; gọi trực tiếp service (bỏ qua gateway) nên không phản ánh đường đi thật.</t>
  </si>
  <si>
    <t>3.2: phân quyền, IDOR, giả mạo header, chữ ký IPN/webhook qua Newman + UI.</t>
  </si>
  <si>
    <t>3.2 có dòng Portability nhưng chỉ dùng Chromium với các viewport khác nhau — không có Firefox/WebKit/Safari hay hệ điều hành khác nên thực chất chưa kiểm thử tính khả chuyển; cột Lưu ý để trống.</t>
  </si>
  <si>
    <t>Nếu là dự án phát triển hoặc dự án maintenance thì có xác định việc test hồi qui không? (Bắt buộc đối với dự maintenance)</t>
  </si>
  <si>
    <t>Mục 3.3 Kiểm thử hồi quy.</t>
  </si>
  <si>
    <t>Điều kiện cho Regression test</t>
  </si>
  <si>
    <t>3.3: mỗi khi sửa lỗi hoặc đổi code ở một service.</t>
  </si>
  <si>
    <t>Chu kỳ cho Regression test</t>
  </si>
  <si>
    <t>3.3 mô tả nội dung chạy lại (Newman + unit test service bị đổi + UI liên quan) theo sự kiện, không có tần suất cố định hay chạy tự động trên CI.</t>
  </si>
  <si>
    <t>Phạm vi cho Regression test</t>
  </si>
  <si>
    <t>3.3: phân hệ bị đổi + các phân hệ phụ thuộc qua Saga (PH3–PH6).</t>
  </si>
  <si>
    <t>Mỗi loại test có mô tả:</t>
  </si>
  <si>
    <t>Bảng 3.1 và 3.2 có các cột Mục đích, Cách thực hiện, Điều kiện hoàn thành (3.2 có thêm Lưu ý).</t>
  </si>
  <si>
    <t>Mục đích test</t>
  </si>
  <si>
    <t>Có cho cả 4 mức (3.1) và 6 loại (3.2).</t>
  </si>
  <si>
    <t>Có, nhưng một số dòng quá ngắn (Function testing chỉ ghi 'API + UI').</t>
  </si>
  <si>
    <t>Có nhưng nhiều tiêu chí không đo được: 'Ca chức năng chính Pass', 'Không vỡ bố cục', 'p95 … đạt ngưỡng', 'Hoạt động như nhau'.</t>
  </si>
  <si>
    <t>Những lưu ý đặc biệt</t>
  </si>
  <si>
    <t>Cột Lưu ý ở 3.2 (rate-limit 20 req/s, không gửi message thủ công vào Kafka, chặn rss2json); dòng Portability trống và bảng 3.1 không có cột lưu ý.</t>
  </si>
  <si>
    <t>Có mô tả môi trường test, công cụ test và phần mềm test không?</t>
  </si>
  <si>
    <t>Mục 4: laptop Windows 11 24 GB RAM, Docker (MariaDB 10.11, MongoDB 6, Redis 7, Kafka 7.4, Debezium 2.5, ES 8.10.2, Keycloak 24), JDK 17, Maven 3.9, Python 3.10, JUnit 5, JaCoCo 0.8.11, Newman 6.2, Playwright 1.64, k6 0.54. Thiếu phiên bản Node.js và MinIO.</t>
  </si>
  <si>
    <t>Có xác định các sản phẩm của việc test không?</t>
  </si>
  <si>
    <t>Mục 10: kế hoạch, checklist review, bộ ca kiểm thử, mã kiểm thử tự động, báo cáo kết quả; chưa gắn hạn bàn giao, định dạng và người nhận.</t>
  </si>
  <si>
    <t>Lịch test có phù hợp với lịch phát triển không?</t>
  </si>
  <si>
    <t>Mục 8 dồn toàn bộ vào 17–18/10/2026 (chuẩn bị môi trường, review, unit test và API test cùng một ngày 17/10) cho 10 phân hệ; không đối chiếu mốc phát triển/bảo vệ, không có thời gian sửa lỗi và chạy hồi quy theo mục 3.3.</t>
  </si>
  <si>
    <t>Có xác định những điều kiện làm dừng việc test không?</t>
  </si>
  <si>
    <t>Mục 5 'Tạm dừng': hạ tầng sập (Docker/Keycloak), hết RAM, hoặc &gt; 50% ca một phân hệ bị chặn. Chưa có điều kiện tiếp tục (resumption).</t>
  </si>
  <si>
    <t>Nhân sự cho đội test: Có xác định rõ trách nhiệm của thành viên trong đội test không?</t>
  </si>
  <si>
    <t>Mục 9 chỉ có 2 vai trò chung (Trưởng nhóm, Kiểm thử viên), cột Người thực hiện '(để trống)', không phân công theo phân hệ PH1–PH10.</t>
  </si>
  <si>
    <t>Có xác định nguồn lực sử dụng cho giai đoạn test không</t>
  </si>
  <si>
    <t>Mục 9: '1–5 người, khoảng 40 giờ công' — khoảng quá rộng, không phân bổ giờ công theo giai đoạn/phân hệ và không khớp lịch 2 ngày.</t>
  </si>
  <si>
    <t>Tổng số câu trả lời</t>
  </si>
  <si>
    <t>* Góp ý / Nhận xét</t>
  </si>
  <si>
    <t>Kế hoạch kiểm thử (TS-TP-01 v1.0) có nội dung kỹ thuật tương đối đầy đủ: phạm vi 10 phân hệ và các phần loại trừ rõ ràng (mục 2), 4 mức và 6 loại kiểm thử có mục đích/cách làm/điều kiện hoàn thành (mục 3), hồi quy (3.3), môi trường và công cụ có phiên bản (mục 4), tiêu chí bắt đầu/kết thúc/tạm dừng (mục 5) và bảng rủi ro có mức độ ảnh hưởng (mục 6). Tuy nhiên phần kiểm soát tài liệu chưa đạt: file Markdown không có header/footer và số trang thật, trang ký trống, không theo biểu mẫu chuẩn. Về nội dung, lịch kiểm thử dồn trong 2 ngày 17–18/10/2026 không khả thi cho 10 phân hệ, nhân sự chưa có tên và phân công, nguồn lực '1–5 người' mơ hồ; một số tiêu chí hoàn thành không đo được (ngưỡng p95 hiệu năng, 'không vỡ bố cục'), Portability chỉ dùng Chromium, và mục 1.2 mô tả thứ tự chương không khớp nội dung.</t>
  </si>
  <si>
    <t>* Đề xuất</t>
  </si>
  <si>
    <t>1. Chuyển tài liệu sang biểu mẫu Word chuẩn: trang tiêu đề riêng có logo, header/footer 'Kế hoạch kiểm thử TechStore – v1.0', số trang dạng x/y, trang ký có tên và chữ ký Người lập/Người xem xét/Người phê duyệt.
2. Lập lại lịch kiểm thử theo mốc phát triển và ngày bảo vệ, tách riêng chuẩn bị môi trường, thực thi theo phân hệ, sửa lỗi và chạy hồi quy, có thời gian dự phòng.
3. Điền tên người thực hiện ở mục 9, phân công phụ trách từng phân hệ PH1–PH10, chốt số người và phân bổ 40 giờ công theo giai đoạn.
4. Lượng hoá tiêu chí hoàn thành: ngưỡng p95 (ms), tỉ lệ lỗi (%), số VU/thời lượng cho k6; ngưỡng độ phủ JaCoCo cho unit test; định nghĩa thang mức độ lỗi Cao/Trung bình/Thấp cho nghiệm thu.
5. Bổ sung rủi ro lịch, nhân sự và image Docker không tải được (minio/minio:latest); tách cột phòng ngừa/khắc phục, thêm xác suất và người phụ trách; thêm điều kiện tiếp tục test sau khi tạm dừng.
6. Mở rộng Portability sang Firefox/WebKit (Playwright hỗ trợ sẵn) hoặc ghi rõ là ngoài phạm vi; sửa mục 1.2 cho khớp thứ tự chương và thống nhất đường dẫn tài liệu liên quan.</t>
  </si>
  <si>
    <t>[ ] - Đạt</t>
  </si>
  <si>
    <t>[X] - Xem xét lại</t>
  </si>
  <si>
    <t>[ ] - Khác</t>
  </si>
  <si>
    <t>Nội dung kỹ thuật của kế hoạch dùng được, nhưng còn thiếu các mục bắt buộc (header/footer, số trang, trang ký, lịch phù hợp, trách nhiệm nhân sự) nên cần bổ sung và review lại lần 2 trước khi phê duyệt.</t>
  </si>
  <si>
    <t>Phiên bản sản phẩm</t>
  </si>
  <si>
    <t>Phân hệ / Module</t>
  </si>
  <si>
    <t>Toàn hệ thống</t>
  </si>
  <si>
    <t>Chương I (307 dòng: 67 thuật ngữ, 23 UC tổng quan, 8 biểu đồ UC), Chương II (1.232 dòng: 7 kịch bản chi tiết, 47 lớp thực thể), MUC_LUC (472 dòng: 10 phân hệ, 9 quy trình), docs/services 11 tệp (~5.370 dòng); 0 yêu cầu phi chức năng được đặc tả</t>
  </si>
  <si>
    <t>Nguồn lực dành cho xem xét (MH)</t>
  </si>
  <si>
    <t>Bộ SRS gồm các file Markdown (CHUONG_I_DAC_TA.md, CHUONG_II_PHA_PHAN_TICH.md, MUC_LUC_BAO_CAO.md, docs/services/*.md): không có mã hiệu tài liệu, người lập/xem xét/phê duyệt, ngày ban hành. Chỉ docs/services/00_INDEX.md:15 ghi 'Phiên bản 1.0.0 | Cập nhật 2026-06-01'.</t>
  </si>
  <si>
    <t>Không dùng mẫu SRS: CHUONG_I_DAC_TA.md/CHUONG_II_PHA_PHAN_TICH.md theo khung đề cương PTTKHTTT (bảng từ khóa, mô tả 5 bước, UC, kịch bản, lớp thực thể). Mỗi file docs/services có bố cục riêng (I. Tổng quan … Cấu hình Docker). MUC_LUC_BAO_CAO.md là dàn ý báo cáo, không phải SRS.</t>
  </si>
  <si>
    <t>Trang tiêu đề có bao gồm đủ tên tài liệu, phiên bản, tên công ty và logo, mã dự án, mã hiệu tài liệu và thời gian ban hành không?</t>
  </si>
  <si>
    <t>Chỉ có heading '# CHƯƠNG I: ĐẶC TẢ HỆ THỐNG' (CHUONG_I_DAC_TA.md:1) và '# CHƯƠNG II: PHA PHÂN TÍCH' (CHUONG_II_PHA_PHAN_TICH.md:1). Không có trang tiêu đề, công ty, logo, mã dự án, mã hiệu, ngày ban hành.</t>
  </si>
  <si>
    <t>Đầu và cuối trang có bao gồm tên, phiên bản của tài liệu, Mã hiệu của template không?</t>
  </si>
  <si>
    <t>File Markdown không có header/footer trang.</t>
  </si>
  <si>
    <t>Đánh số trang có theo đúng qui định: số thứ tự/tổng số trang?</t>
  </si>
  <si>
    <t>Markdown không đánh số trang. MUC_LUC mục 8 chỉ dự kiến phân bổ số trang.</t>
  </si>
  <si>
    <t>Trang ký có bao gồm đủ Người xem xét &amp; Người phê duyệt không?</t>
  </si>
  <si>
    <t>Không có trang ký trong Chương I, Chương II, MUC_LUC hay docs/services.</t>
  </si>
  <si>
    <t>Có bảng theo dõi lịch sử thay đổi không?</t>
  </si>
  <si>
    <t>Không có bảng lịch sử thay đổi. Chỉ có các banner rà soát (docs/services/00_INDEX.md:3-11 'rà soát 2026-10-11') và dòng 'Version: 2.0.0' ở docs/services/01_IDENTITY_USER_SERVICE.md:14. Không ghi lại thay đổi giữa các phiên bản.</t>
  </si>
  <si>
    <t>Bộ SRS được xem xét ở phiên bản v1.0 (đồ án). Lưu ý: 01_IDENTITY_USER_SERVICE.md ghi Version 2.0.0 nhưng không có bảng thay đổi.</t>
  </si>
  <si>
    <t>Không áp dụng (v1.0, không có bảng ghi nhận thay đổi).</t>
  </si>
  <si>
    <t>Giới thiệu chung</t>
  </si>
  <si>
    <t>Có nêu rõ mục đích của tài liệu không?</t>
  </si>
  <si>
    <t>CHUONG_I_DAC_TA.md Bước 1 (:82-83) chỉ nêu mục đích của HỆ THỐNG, không nêu mục đích của tài liệu SRS và người đọc dự kiến. MUC_LUC_BAO_CAO.md:3-10 nêu mục đích bố cục báo cáo, không phải mục đích đặc tả.</t>
  </si>
  <si>
    <t>Phạm vi hệ thống có được mô tả rõ ràng không?</t>
  </si>
  <si>
    <t>CHUONG_I_DAC_TA.md Bước 2 (:85-93) mô tả phạm vi theo 6 nhóm người dùng. Nhưng nhiều mục ngoài phạm vi code: thu cũ đổi mới, tra cứu cửa hàng, giỏ hàng của khách vãng lai, Nhân viên kho/Supplier (RA_SOAT_BAO_CAO_VS_CODE.md B1, B2, B3, A4). Trái với nguyên tắc 'MUC_LUC_BAO_CAO.md:8-10' (chưa có mã nguồn thì không đưa vào).</t>
  </si>
  <si>
    <t>Các khái niệm và thuật ngữ có được định nghĩa đầy đủ không?</t>
  </si>
  <si>
    <t>CHUONG_I_DAC_TA.md mục 1 (:3-76): bảng 67 từ khóa chia 3 nhóm (con người, đối tượng, hoạt động). Thiếu thuật ngữ kỹ thuật dùng trong Chương II (Outbox, CDC/Debezium, Saga, IPN, JWT/OIDC, SASRec, RAG, BPMN). Có thuật ngữ cho khái niệm không tồn tại: Trade-In (#30, #63, #64), Warehouse Staff (#5) (RA_SOAT_BAO_CAO_VS_CODE.md A4, B1).</t>
  </si>
  <si>
    <t>Có liệt kê các tài liệu tham khảo không?</t>
  </si>
  <si>
    <t>Chương I/II không có danh mục tài liệu tham khảo. MUC_LUC_BAO_CAO.md:105 và :452 chỉ dự kiến mục 'Tài liệu tham khảo' theo chuẩn IEEE.</t>
  </si>
  <si>
    <t>Nếu có, mỗi tài liệu có bao gồm các thông tin sau không?</t>
  </si>
  <si>
    <t>Không có danh mục tài liệu tham khảo.</t>
  </si>
  <si>
    <t>Ngày phát hành</t>
  </si>
  <si>
    <t>Có mô tả giới hạn của tài liệu không?</t>
  </si>
  <si>
    <t>Chương I/II không có mục giới hạn. Chỉ MUC_LUC_BAO_CAO.md:8-10 ('Giả định phạm vi') và :318 (danh sách 'Không đưa vào báo cáo': MoMo, RMA, SMS, CI/CD, giám sát, sao lưu) có nhắc. Chính Chương I lại vi phạm giới hạn này khi đặc tả Trade-In, cửa hàng (RA_SOAT_BAO_CAO_VS_CODE.md B1-B2).</t>
  </si>
  <si>
    <t>Có mô tả tổ chức của tài liệu không?</t>
  </si>
  <si>
    <t>MUC_LUC_BAO_CAO.md mục 1 (:14-125) mô tả bố cục Mở đầu + 4 chương và cách chia Chương 3. Nhưng bố cục này không khớp các file chương hiện có (Mục lục ghi Chương 1 là 'Bài toán', UC ở 3.2) (RA_SOAT_BAO_CAO_VS_CODE.md B26).</t>
  </si>
  <si>
    <t>Mô tả tổng thể</t>
  </si>
  <si>
    <t>Có xác định ngữ cảnh và điều kiện sử dụng của hệ thống (scenarios and operational concepts) không?</t>
  </si>
  <si>
    <t>CHUONG_I_DAC_TA.md Bước 3 (:95-118) có 7 nghiệp vụ cốt lõi. CHUONG_II_PHA_PHAN_TICH.md mục 1.1-1.7 có 7 kịch bản chi tiết. MUC_LUC_BAO_CAO.md 2.4 (:196-212) có 9 quy trình QT1-QT9. Nhưng nhiều bước sai so với code: trừ kho sau thanh toán, trạng thái PAID/PAYMENT_FAILED, hạn hủy 120 phút ở BE, chatbot Gemini + SSE (RA_SOAT_BAO_CAO_VS_CODE.md A6, A7, A9, A10, C2, C3, C16).</t>
  </si>
  <si>
    <t>Có liệt kê các chức năng sản phẩm trong tài liệu không?</t>
  </si>
  <si>
    <t>CHUONG_I_DAC_TA.md 3.1 (:177-201) có 23 UC tổng quan. MUC_LUC_BAO_CAO.md mục 3 (:216-320) có danh sách chức năng kiểm kê từ code (controller, endpoint, trang FE, listener, scheduler).</t>
  </si>
  <si>
    <t>Các chức năng sản phẩm được liệt kê này:</t>
  </si>
  <si>
    <t>Đạt tiêu chí phân nhóm nhưng không đạt tiêu chí mô tả chính xác (xem 2 dòng dưới).</t>
  </si>
  <si>
    <t>Có được phân nhóm một cách hợp lý?</t>
  </si>
  <si>
    <t>Chương I nhóm theo tác nhân. MUC_LUC_BAO_CAO.md 2.1 (:131-144) nhóm theo 10 phân hệ PH1-PH10, mục 3 nhóm theo vai trò (Khách hàng / Admin-Staff / Tự động / Hạ tầng). Hai cách nhóm (7 nghiệp vụ ở Chương I và 10 phân hệ ở MUC_LUC) chưa được đối chiếu với nhau.</t>
  </si>
  <si>
    <t>Có được mô tả một cách chính xác không?</t>
  </si>
  <si>
    <t>RA_SOAT_BAO_CAO_VS_CODE.md: 6 UC không tồn tại (B1-B6: Trade-In, cửa hàng, Select Cart Items, Enter Cancellation Reason, Verify Refund Webhook); nghiệp vụ sai (B7-B19). Ví dụ: tìm kiếm văn bản thực tế là Elasticsearch findByNameContainingOrDescriptionContaining + fallback MariaDB, không phải hybrid BM25+e5+RRF (A8); chatbot dùng DeepSeek, trả JSON, không stream (A9).</t>
  </si>
  <si>
    <t>Danh sách Nhóm người / Người sử dụng có được đề cập theo các yêu cầu / chức năng này này không?</t>
  </si>
  <si>
    <t>CHUONG_I_DAC_TA.md Bước 2 (:88-93) gắn chức năng với từng nhóm. Các UC tổng quan (:179-201) đều nêu tác nhân.</t>
  </si>
  <si>
    <t>Vai trò của Nhóm người / Người sử dụng có được ghi nhận không?</t>
  </si>
  <si>
    <t>CHUONG_I_DAC_TA.md:7-15 mô tả vai trò 8 tác nhân. Nhưng code chỉ có 3 role Keycloak ROLE_ADMIN/ROLE_STAFF/ROLE_CUSTOMER (BE/keycloak-data/ecommerce-realm-realm.json). Nhân viên kho, Sales, Manager, Supplier không tồn tại (RA_SOAT_BAO_CAO_VS_CODE.md A4). Chỉ MUC_LUC_BAO_CAO.md:147 ghi đúng 4 nhóm người dùng.</t>
  </si>
  <si>
    <t>Có mô hình / Sơ đồ Tổng thể hệ thống không?</t>
  </si>
  <si>
    <t>docs/services/00_INDEX.md:37-94 có sơ đồ mermaid kiến trúc tổng thể. uc_tong_quan.puml là sơ đồ UC tổng quan. Sơ đồ 00_INDEX thiếu chat-service, Debezium, forecast-service và vẽ sai 'User Service → MongoDB chat_messages'.</t>
  </si>
  <si>
    <t>Có mô tả đặc điểm người sử dụng không?</t>
  </si>
  <si>
    <t>Chỉ có định nghĩa vai trò. Không mô tả đặc điểm người dùng (trình độ tin học, tần suất sử dụng, thiết bị, ngôn ngữ).</t>
  </si>
  <si>
    <t>Có mô tả các ràng buộc đối với hệ thống không?</t>
  </si>
  <si>
    <t>Không có mục 'Ràng buộc' riêng. Ràng buộc công nghệ nằm ở docs/services/00_INDEX.md:156-173 (stack) và MUC_LUC_BAO_CAO.md 3.4 (:308-320). Chương II ghi sai CSDL (product_db/PostgreSQL, CHUONG_II_PHA_PHAN_TICH.md:24) so với MariaDB 10.11 (BE/docker-compose-infra.yml:11) (RA_SOAT_BAO_CAO_VS_CODE.md A1).</t>
  </si>
  <si>
    <t>Có các giả thiết và phụ thuộc không?</t>
  </si>
  <si>
    <t>MUC_LUC_BAO_CAO.md:8-10 (giả định phạm vi), :149 (hệ thống ngoài: VNPay, Google, email, FCM, GHTK). Phụ thuộc GHTK thực tế là mock MOCK-GHTK-* (RA_SOAT_BAO_CAO_VS_CODE.md B18). LLM ghi 'Gemini' nhưng code dùng DeepSeek (RA_SOAT_BAO_CAO_VS_CODE.md A9, B27).</t>
  </si>
  <si>
    <t>Đặc tả yêu cầu chức năng sản phẩm - Tổng quát</t>
  </si>
  <si>
    <t>Mỗi yêu cầu có mã định danh riêng không?</t>
  </si>
  <si>
    <t>UC chỉ có tên tiếng Anh (Login, Edit Product, Cancel Order…), không có mã UC/FR. MUC_LUC_BAO_CAO.md chỉ có mã cho phân hệ (PH1-PH10) và quy trình (QT1-QT9).</t>
  </si>
  <si>
    <t>Các yêu cầu có thống nhất không?</t>
  </si>
  <si>
    <t>Mâu thuẫn nội bộ: uc_tong_quan.puml:163 vẽ Cancel–Process Refund là &lt;&lt;include&gt;&gt;, uc_huy_don.puml:55 vẽ &lt;&lt;extend&gt;&gt; (RA_SOAT_BAO_CAO_VS_CODE.md B22). Chương I có 6 tác nhân, MUC_LUC:147 có 4. MUC_LUC_BAO_CAO.md:168 mô tả tìm kiếm lai trong khi docs/services/00_INDEX.md:236 ghi ES BM25 + FAISS ở AI search-service. CHUONG_II_PHA_PHAN_TICH.md:998 ghi hủy trong 120 phút nhưng BE không kiểm tra (RA_SOAT_BAO_CAO_VS_CODE.md A10).</t>
  </si>
  <si>
    <t>Có thứ tự ưu tiên / độ ưu tiên thực hiện cho các yêu cầu không?</t>
  </si>
  <si>
    <t>Không có độ ưu tiên. MUC_LUC_BAO_CAO.md 2.1 chỉ có cột 'Mức độ trình bày' (Sâu/Vừa/Nhẹ) và :212 đánh dấu QT bắt buộc; đây là mức trình bày trong báo cáo, không phải độ ưu tiên yêu cầu.</t>
  </si>
  <si>
    <t>Có ghi nhận mã hiệu và tên gọi cho tất cả các yêu cầu không?</t>
  </si>
  <si>
    <t>Có tên gọi, không có mã hiệu (xem dòng mã định danh).</t>
  </si>
  <si>
    <t>Các dẫn chiếu đến các yêu cầu khác trong tài liệu có đúng không?</t>
  </si>
  <si>
    <t>Liên kết puml/png trỏ vào máy cá nhân 'file:///d:/Downloads/...' (CHUONG_I_DAC_TA.md:172, :207, :222, :237, :251, :268, :283, :298; CHUONG_II_PHA_PHAN_TICH.md:1218-1219) (RA_SOAT_BAO_CAO_VS_CODE.md A17). Đánh số chương ở MUC_LUC không khớp file chương (RA_SOAT_BAO_CAO_VS_CODE.md B26).</t>
  </si>
  <si>
    <t>Nếu tài liệu SRS được sử dụng để nghiệm thu hệ thống: Có mô tả tiêu chí nghiệm thu của các chức năng sản phẩm trong tài liệu không?</t>
  </si>
  <si>
    <t>Không có tiêu chí nghiệm thu cho từng UC/chức năng. Kịch bản chỉ có hậu điều kiện dạng mô tả.</t>
  </si>
  <si>
    <t>Các yêu cầu có đầy đủ thông tin cần thiết không?</t>
  </si>
  <si>
    <t>Chỉ 7/23 UC tổng quan có kịch bản chi tiết (CHUONG_II_PHA_PHAN_TICH.md 1.1-1.7). Login, Manage Account, Manage Inventory, Review Product, Process Order, Online Payment không có kịch bản. Thiếu chức năng có thật: tự hủy đơn chưa thanh toán sau 30 phút, hủy giao hàng đơn SHIPPED, chatbot tra cứu đơn/điểm/voucher (RA_SOAT_BAO_CAO_VS_CODE.md B9, B15). Thuộc tính Bước 4 thừa hoặc thiếu (RA_SOAT_BAO_CAO_VS_CODE.md B21).</t>
  </si>
  <si>
    <t>Nếu có yêu cầu nào thiếu có được đánh dấu lại không?</t>
  </si>
  <si>
    <t>Chương I/II không đánh dấu yêu cầu thiếu/chưa làm. Chỉ docs/services có banner ⚠️ (00_INDEX.md:3-11), và MUC_LUC_BAO_CAO.md mục 4 'Việc cần hoàn thiện', mục 11 'Câu hỏi còn mở'.</t>
  </si>
  <si>
    <t>Các yêu cầu khác về chất lượng có được mô tả rõ ràng và được số hoá, với những điều chỉnh có thể chấp nhận được không?</t>
  </si>
  <si>
    <t>Không có mục yêu cầu phi chức năng (3.2.4 ở MUC_LUC_BAO_CAO.md:57 mới là đề mục dự kiến). Chỉ có vài con số rải rác: rate limit 20 req/s, burst 50 (MUC_LUC_BAO_CAO.md:285; BE/api-gateway/src/main/resources/application.yml:26-27), hạn thanh toán 15 phút, tự hủy sau 30 phút. Các câu 'giảm 95% query', 'lọc 99.9%' (00_INDEX.md:233-234) không có số đo.</t>
  </si>
  <si>
    <t>Các yêu cầu có nằm trong phạm vi dự án không?</t>
  </si>
  <si>
    <t>Có yêu cầu ngoài phạm vi đã xây dựng: Trade-In, cửa hàng, cross-sell combo, email hoàn tiền, refund webhook, GHTK thời gian thực, trigger sinh nhật, trần ngân sách 150 triệu (RA_SOAT_BAO_CAO_VS_CODE.md B1, B2, B6, A12, A14, B18, C15).</t>
  </si>
  <si>
    <t>Các yêu cầu có thực sự là yêu cầu mà không phải là đề xuất thiết kế hoặc giải pháp thực hiện không?</t>
  </si>
  <si>
    <t>Kịch bản Chương II chứa chi tiết cài đặt: findByIdForUpdate/SELECT … FOR UPDATE, outbox_events, INCRBY Redis (CHUONG_II_PHA_PHAN_TICH.md:727-730), multilingual-e5-base (CHUONG_II_PHA_PHAN_TICH.md:217), ProductUpdatedEvent qua Kafka (CHUONG_II_PHA_PHAN_TICH.md:170). docs/services là tài liệu thiết kế giải pháp, không phải đặc tả yêu cầu.</t>
  </si>
  <si>
    <t>Hành động cần làm trong những trường hợp có lỗi (nếu có) có được mô tả không?</t>
  </si>
  <si>
    <t>Cả 7 kịch bản có hàng 'Ngoại lệ' (ví dụ CHUONG_II_PHA_PHAN_TICH.md:175-181, :616). Có nhánh sai: YOLO không nhận ra vật thể thì dùng ảnh gốc, không báo lỗi (RA_SOAT_BAO_CAO_VS_CODE.md C19). Thiếu nhánh: thanh toán thất bại → đơn CANCELLED, Elasticsearch lỗi → tìm trong MariaDB (RA_SOAT_BAO_CAO_VS_CODE.md A6, E8).</t>
  </si>
  <si>
    <t>Đặc tả yêu cầu chức năng sản phẩm - Chi tiết</t>
  </si>
  <si>
    <t>Các yêu cầu có cung cấp đủ cơ sở cho thiết kế không?</t>
  </si>
  <si>
    <t>Luồng cốt lõi bị mô tả sai (thời điểm trừ kho, trạng thái đơn, tìm kiếm, gợi ý, chatbot), nên Chương III thiết kế theo và sai theo (RA_SOAT_BAO_CAO_VS_CODE.md mục E: 5/7 module lệch nhiều). 16/23 UC không có kịch bản để làm cơ sở thiết kế.</t>
  </si>
  <si>
    <t>Có thể thực hiện được tất cả các yêu cầu với các ràng buộc đã ghi nhận không?</t>
  </si>
  <si>
    <t>Về kỹ thuật các yêu cầu đều khả thi, phần lớn đã có trong code (RA_SOAT_BAO_CAO_VS_CODE.md mục F). Riêng Trade-In, cửa hàng, cross-sell combo, stream SSE chưa được xây; nên chuyển sang 'Hướng phát triển' (RA_SOAT_BAO_CAO_VS_CODE.md 'Thứ tự sửa' bước 3).</t>
  </si>
  <si>
    <t>Có xác định các thuật toán của use case không?</t>
  </si>
  <si>
    <t>Kịch bản Chương II mô tả bước xử lý và công thức. Ví dụ: bảng tính tiền CHUONG_II_PHA_PHAN_TICH.md:565-591, chuỗi dự phòng gợi ý CHUONG_II_PHA_PHAN_TICH.md:437, công thức điểm MUC_LUC_BAO_CAO.md:243. Nhưng có chỗ sai: VAT tính trên (tạm tính − voucher − điểm), tổng đúng là 33.998.000đ chứ không phải 34.078.000đ (RA_SOAT_BAO_CAO_VS_CODE.md C1). Cold start thực tế là SASRec → Recency → Popularity (RA_SOAT_BAO_CAO_VS_CODE.md C9).</t>
  </si>
  <si>
    <t>Các yêu cầu có thể kiểm thử được không?</t>
  </si>
  <si>
    <t>7 kịch bản có bước và dữ liệu cụ thể (mã SP, giá, mã voucher) nên viết được test case. Nhưng test case viết theo phần mô tả sai sẽ FAIL trên hệ thống thật (ví dụ hạn hủy 120 phút ở BE, tìm kiếm lai). Các yêu cầu định tính như 'thời gian thực', 'tức thời' không đo được.</t>
  </si>
  <si>
    <t>Các thông báo lỗi cần thiết đều duy nhất và rõ nghĩa?</t>
  </si>
  <si>
    <t>Thông báo trong hàng Ngoại lệ rõ nghĩa và mỗi tình huống một thông báo (CHUONG_II_PHA_PHAN_TICH.md:177-180, :313-315, :616). Một số thông báo không có trên FE thật, ví dụ 'Không nhận diện được sản phẩm trong ảnh' (CHUONG_II_PHA_PHAN_TICH.md:315; RA_SOAT_BAO_CAO_VS_CODE.md C19).</t>
  </si>
  <si>
    <t>Mỗi yêu cầu chức năng phần mềm có tương ứng với 1 yêu cầu ở mức cao hơn không? (ví dụ: mức cao hơn có thể là yêu cầu của hệ thống hoặc use case không?)</t>
  </si>
  <si>
    <t>7 kịch bản tương ứng 7 nghiệp vụ ở Bước 3 và UC tổng quan. UC phân rã (CHUONG_I_DAC_TA.md 3.2-3.8) đều gắn với UC chính. Ngoại lệ: Select Cart Items, Enter Cancellation Reason, Verify Refund Webhook không có trong code (RA_SOAT_BAO_CAO_VS_CODE.md B4-B6).</t>
  </si>
  <si>
    <t>Các yêu cầu phi chức năng, các yêu cầu đặc biệt của người dùng</t>
  </si>
  <si>
    <t>Các yêu cầu về bảo mật và an toàn có được xác định không?</t>
  </si>
  <si>
    <t>Chỉ có ở dạng giải pháp thiết kế: docs/services/08 §II, §IV (Keycloak OIDC, kiểm JWT ở gateway, header X-User-*), 05 §IV (chữ ký webhook), 00_INDEX.md:238-242, MUC_LUC_BAO_CAO.md 2.3 mục 3.3.4. Không có yêu cầu bảo mật dạng SRS (chính sách mật khẩu, thời hạn phiên, chống brute force, bảo vệ dữ liệu cá nhân).</t>
  </si>
  <si>
    <t>Loại bảo mật nào được yêu cầu?</t>
  </si>
  <si>
    <t>Xác thực OAuth2/OIDC + JWT (Keycloak, đăng nhập Google), phân quyền theo role ADMIN/STAFF/CUSTOMER (MUC_LUC_BAO_CAO.md:250), IPN ký HMAC-SHA512 (CHUONG_I_DAC_TA.md:200), rate limit, Idempotency-Key khi checkout.</t>
  </si>
  <si>
    <t>Có xác định các yêu cầu về sao lưu dữ liệu không?</t>
  </si>
  <si>
    <t>Không có. MUC_LUC_BAO_CAO.md:318 ghi 'sao lưu CSDL tự động' chưa có mã nguồn, đưa vào mục Hạn chế.</t>
  </si>
  <si>
    <t>Có xác định các yêu cầu về tính sử dụng (usability) của hệ thống không?</t>
  </si>
  <si>
    <t>Không có yêu cầu usability (responsive, số bước thao tác, ngôn ngữ, khả năng truy cập).</t>
  </si>
  <si>
    <t>Có xác định các yêu cầu về tính ổn định (stability) của hệ thống không?</t>
  </si>
  <si>
    <t>Dạng cơ chế: 00_INDEX.md:226-230 (Outbox, idempotent consumer, retry, circuit breaker), MUC_LUC_BAO_CAO.md 2.3 mục 3.3.5, docs/services/06 §VII. Không có chỉ tiêu định lượng (uptime, MTTR).</t>
  </si>
  <si>
    <t>Các yêu cầu về performance (hiệu năng) có được xác định không?</t>
  </si>
  <si>
    <t>Không có chỉ tiêu thời gian phản hồi hay throughput. MUC_LUC_BAO_CAO.md:112 ghi mục 4.5 'chỉ giữ nếu có số liệu đo'. 00_INDEX.md:233-234 chỉ là tuyên bố định tính.</t>
  </si>
  <si>
    <t>Lưu lượng giao dịch và qui mô của dữ liệu có được chỉ rõ trong tài liệu không?</t>
  </si>
  <si>
    <t>Không có số người dùng đồng thời, số đơn/ngày hay quy mô dữ liệu. Con số duy nhất là rate limit gateway 20 req/s, burst 50.</t>
  </si>
  <si>
    <t>Có xác định các yêu cầu về tính hỗ trợ của hệ thống không?</t>
  </si>
  <si>
    <t>Không có yêu cầu bảo trì, logging, giám sát. MUC_LUC_BAO_CAO.md:318 xác nhận không có giám sát (Prometheus/Grafana/tracing).</t>
  </si>
  <si>
    <t>Có mô tả các yêu cầu về công nghệ và các ràng buộc đối với thiết kế không?</t>
  </si>
  <si>
    <t>docs/services/00_INDEX.md:156-173, MUC_LUC_BAO_CAO.md 3.4 (:308-320), mục Công nghệ/Docker trong từng file docs/services. Chương I/II và puml ghi sai stack: PostgreSQL thay cho MariaDB 10.11, Next.js thay cho React 19 + Vite 7 (RA_SOAT_BAO_CAO_VS_CODE.md A1, A3).</t>
  </si>
  <si>
    <t>Có xác định các yêu cầu giao tiếp của hệ thống không?</t>
  </si>
  <si>
    <t>Xem các dòng con.</t>
  </si>
  <si>
    <t>Giao tiếp người dùng (GUI)?</t>
  </si>
  <si>
    <t>Kịch bản Chương II có mockup HTML cho bảng, form, nút (CHUONG_II_PHA_PHAN_TICH.md:30-43, :97-134). Mockup không khớp FE thật: modal xác nhận hủy thay vì window.confirm, modal chọn lý do hủy không tồn tại (RA_SOAT_BAO_CAO_VS_CODE.md A10). Không có yêu cầu chung về chuẩn giao diện.</t>
  </si>
  <si>
    <t>Giao tiếp phần cứng?</t>
  </si>
  <si>
    <t>Ứng dụng web, không giao tiếp phần cứng chuyên dụng. Ảnh tìm kiếm được tải lên qua trình duyệt.</t>
  </si>
  <si>
    <t>Giao tiếp phần mềm bao gồm:</t>
  </si>
  <si>
    <t>Giao tiếp với các hệ thống phần mềm khác?</t>
  </si>
  <si>
    <t>VNPay (docs/services/05 §III-IV; CHUONG_I_DAC_TA.md:200), Keycloak/Google OIDC (01, 08), SMTP/FCM (06), GHTK. Sai: MUC_LUC_BAO_CAO.md:149 ghi Gemini, code dùng DeepSeek (AI/chatbot-service/app/core/config.py:27-29). GHTK chỉ là mock, push FCM chỉ ghi log (00_INDEX.md:11).</t>
  </si>
  <si>
    <t>Giao tiếp giữa các modul trong nội tại hệ thống?</t>
  </si>
  <si>
    <t>docs/services/00_INDEX.md:207-220 (bảng topic Kafka producer/consumer), 02 §IV (gRPC), 03 §VII (Outbox/Debezium), 08 §III (route map), DETAILED_ORDER_FLOW.md. Chương II ghi sai topic tín hiệu gợi ý và Outbox Publisher (RA_SOAT_BAO_CAO_VS_CODE.md C4, C8).</t>
  </si>
  <si>
    <t>Giao tiếp truyền thông?</t>
  </si>
  <si>
    <t>HTTPS qua Caddy + Let's Encrypt (MUC_LUC_BAO_CAO.md:313), REST JSON, WebSocket STOMP (docs/services/10 §IV), gRPC, Kafka. Endpoint/topic WebSocket trong báo cáo có chỗ sai (RA_SOAT_BAO_CAO_VS_CODE.md E42).</t>
  </si>
  <si>
    <t>Có xác định các yêu cầu về tài liệu người dùng và hỗ trợ trực tuyến không?</t>
  </si>
  <si>
    <t>Không có yêu cầu tài liệu hướng dẫn sử dụng hay trợ giúp trực tuyến. Chatbot và chat với nhân viên là chức năng nghiệp vụ (UC AI Chatbot Counseling, Direct Support Chat), không phải yêu cầu tài liệu hỗ trợ.</t>
  </si>
  <si>
    <t>Hệ thống có sử dụng các thành phần mua ngoài không?</t>
  </si>
  <si>
    <t>Có dịch vụ trả phí/bên thứ ba: DeepSeek API (LLM), cổng VNPay. Thành phần mã nguồn mở bên thứ ba: Keycloak, Camunda 7, Elasticsearch, MinIO, Kafka/Debezium, mô hình CLIP/e5.</t>
  </si>
  <si>
    <t>Nếu có, có được mô tả đầy đủ trong tài liệu không?</t>
  </si>
  <si>
    <t>SRS không mô tả điều kiện sử dụng, chi phí, giới hạn của các thành phần này. Nhà cung cấp LLM bị ghi sai (Gemini) (RA_SOAT_BAO_CAO_VS_CODE.md A9, B27). docs/services/09 tự ghi là đã lỗi thời (00_INDEX.md:32).</t>
  </si>
  <si>
    <t>Các yêu cầu pháp lý, bản quyền không?</t>
  </si>
  <si>
    <t>Hệ thống có yêu cầu pháp lý phải đáp ứng: bảo vệ dữ liệu cá nhân khách hàng, thanh toán trực tuyến, VAT 10% trên hóa đơn, giấy phép của các thành phần mã nguồn mở và mô hình AI.</t>
  </si>
  <si>
    <t>Tài liệu không đề cập yêu cầu pháp lý hay bản quyền nào.</t>
  </si>
  <si>
    <t>Hệ thống có áp dụng các tiêu chuẩn nào khác ngoài các tiêu chuẩn thuộc phạm vi dự án không?</t>
  </si>
  <si>
    <t>OAuth2/OpenID Connect, BPMN 2.0 (OMG), chữ ký HMAC-SHA512 theo đặc tả VNPay, STOMP over WebSocket, UML (PlantUML).</t>
  </si>
  <si>
    <t>Chỉ nêu tên, không có phiên bản hay phạm vi áp dụng. MUC_LUC_BAO_CAO.md:452 mới dự kiến trích đặc tả BPMN 2.0. Báo cáo mô tả DMN/Business Rule Task nhưng code không dùng (RA_SOAT_BAO_CAO_VS_CODE.md A13, E35).</t>
  </si>
  <si>
    <t>Điểm mạnh:
- Phạm vi theo tác nhân và 7 nghiệp vụ cốt lõi được trình bày mạch lạc (Chương I Bước 2-3). Bảng 67 thuật ngữ khá đầy đủ về nghiệp vụ.
- 7 kịch bản ở Chương II rất chi tiết: có mockup giao diện, dữ liệu mẫu và hàng Ngoại lệ, nên dễ chuyển thành test case.
- MUC_LUC có danh sách chức năng kiểm kê từ code và cách chia 10 phân hệ hợp lý. docs/services đã có banner đánh dấu phần lệch code (rà soát 2026-10-11).
- Một số phần đúng với code: VNPay + COD, IPN HMAC-SHA512, Idempotency-Key, hạn thanh toán 15 phút, VAT 10%, 1 điểm = 1.000đ, giữ kho bằng Redis Lua, đánh giá chỉ khi đã mua (RA_SOAT mục F).
Điểm yếu:
- Không có kiểm soát tài liệu: không trang tiêu đề, trang ký, lịch sử thay đổi, mã hiệu.
- Không phải SRS theo mẫu: yêu cầu không có mã định danh, không có độ ưu tiên, không có tiêu chí nghiệm thu. Không có mục yêu cầu phi chức năng (hiệu năng, lưu lượng, sao lưu, usability, pháp lý).
- Nội dung lệch code nhiều: 6 UC không tồn tại; tác nhân không khớp 3 role Keycloak; sai thời điểm trừ kho, trạng thái đơn, tìm kiếm, chatbot, hủy đơn, hoàn voucher, chiến dịch.
- Mâu thuẫn nội bộ giữa Chương I, MUC_LUC và docs/services. Liên kết hình trỏ vào máy cá nhân.
- Chỉ 7/23 UC có kịch bản chi tiết.</t>
  </si>
  <si>
    <t>1. Bổ sung phần kiểm soát tài liệu: trang tiêu đề (tên, mã hiệu, phiên bản, ngày ban hành), trang ký người lập/xem xét/phê duyệt, bảng lịch sử thay đổi.
2. Gán mã cho từng yêu cầu (UC-xx / FR-xx), thêm độ ưu tiên (Must/Should/Could) và tiêu chí nghiệm thu cho mỗi UC; lập ma trận truy vết UC ↔ phân hệ PH1-PH10.
3. Viết mục Yêu cầu phi chức năng (MUC_LUC 3.2.4) có số liệu đo được: thời gian phản hồi, lưu lượng (rate limit 20 req/s, burst 50), quy mô dữ liệu, sẵn sàng, bảo mật (chính sách mật khẩu, phiên, dữ liệu cá nhân), sao lưu/phục hồi, usability, pháp lý và bản quyền.
4. Đồng bộ với code: viết lại tác nhân theo 3 role Keycloak; bỏ hoặc chuyển sang 'Hướng phát triển' các UC Trade-In, cửa hàng, Select Cart Items, lý do hủy, Verify Refund Webhook, cross-sell combo, SSE; sửa trạng thái đơn, thời điểm trừ kho, tìm kiếm (Elasticsearch + fallback MariaDB), chatbot (DeepSeek, trả JSON) theo RA_SOAT_BAO_CAO_VS_CODE.md.
5. Bổ sung kịch bản cho các UC còn thiếu (Login, Manage Account, Manage Inventory, Review Product, Process Order, Online Payment) và các chức năng có thật đang bị bỏ sót (tự hủy sau 30 phút, hủy giao hàng, chatbot tra cứu đơn/điểm/voucher).
6. Tách chi tiết cài đặt (SELECT FOR UPDATE, outbox_events, tên model) khỏi kịch bản phân tích; thêm bảng thuật ngữ kỹ thuật và danh mục tài liệu tham khảo; đổi liên kết file:///d:/... sang đường dẫn tương đối puml/....</t>
  </si>
  <si>
    <t>Tài liệu chưa đạt: không có kiểm soát tài liệu, thiếu toàn bộ yêu cầu phi chức năng, yêu cầu không có mã, độ ưu tiên và tiêu chí nghiệm thu. Quan trọng hơn, nhiều yêu cầu cốt lõi mâu thuẫn với hệ thống thực tế (code là chuẩn). Cần sửa theo các đề xuất trên rồi xem xét lại lần 2 trước khi dùng làm cơ sở thiết kế và kiểm thử.</t>
  </si>
  <si>
    <t>Checklist Review Tài liệu Thiết kế</t>
  </si>
  <si>
    <t>Chương III (1.791 dòng: 47 lớp thực thể, 43 bảng, thiết kế tĩnh + động 7 module, 38 hình) + 25 tệp puml thiết kế; docs/services 11 tệp (~5.370 dòng) + DETAILED_ORDER_FLOW.md (449 dòng)</t>
  </si>
  <si>
    <t>CHUONG_III_PHA_THIET_KE.md, puml/, docs/services/*.md, docs/DETAILED_ORDER_FLOW.md đều là Markdown/PlantUML, không có mã hiệu, người lập/duyệt, ngày ban hành.</t>
  </si>
  <si>
    <t>CHUONG_III_PHA_THIET_KE.md theo khung phương pháp luận PTTKHTTT (QUY_CHUAN_THIET_KE_PARADIGM.md): lớp thực thể (3 bước) → CSDL (5 bước) → thiết kế tĩnh/động 7 module → package/deployment. Đây không phải mẫu tài liệu thiết kế (SDD). Mỗi file docs/services có bố cục riêng.</t>
  </si>
  <si>
    <t>Trang tiêu đề có đầy đủ: Tên gọi dự án, tên tài liệu, phiên bản, tên công ty và logo, mã dự án, mã hiệu tài liệu và thời gian ban hành không?</t>
  </si>
  <si>
    <t>Chỉ có heading '# CHƯƠNG III. PHA THIẾT KẾ' (CHUONG_III_PHA_THIET_KE.md:1) và '# TÀI LIỆU THIẾT KẾ: …' ở docs/services. Không có công ty, logo, mã dự án, mã hiệu, ngày ban hành.</t>
  </si>
  <si>
    <t>Markdown không có header/footer.</t>
  </si>
  <si>
    <t>Markdown không đánh số trang.</t>
  </si>
  <si>
    <t>Trang ký có đầy đủ và đúng Người lập tài liệu, Người xem xét, Người phê duyệt như ghi nhận trong KHDA không?</t>
  </si>
  <si>
    <t>Không có trang ký.</t>
  </si>
  <si>
    <t xml:space="preserve">Có bảng ghi nhận thay đổi không? </t>
  </si>
  <si>
    <t>Không có. Có dấu hiệu nhiều phiên bản nhưng không ghi lại: CHUONG_III_PHA_THIET_KE.md dùng nhãn 'Kịch bản v3.0' (:1329, :1397, :1455, :1507…); 00_INDEX.md:15 ghi 'Phiên bản 1.0.0 | Cập nhật 2026-06-01'; 01_IDENTITY_USER_SERVICE.md:14 ghi 'Version: 2.0.0'; banner rà soát 2026-10-11.</t>
  </si>
  <si>
    <t>Bộ tài liệu được xem xét ở phiên bản v1.0. Nên thống nhất lại các nhãn v3.0/2.0.0 nêu ở dòng trên.</t>
  </si>
  <si>
    <t>Không áp dụng (không có bảng ghi nhận thay đổi).</t>
  </si>
  <si>
    <t>Tổng quan tài liệu – Giới thiệu chung</t>
  </si>
  <si>
    <t>Mục đích có bao gồm:</t>
  </si>
  <si>
    <t>Có mục tiêu (1 câu dẫn), không có đối tượng sử dụng (xem 2 dòng dưới).</t>
  </si>
  <si>
    <t>Mục tiêu của tài liệu?</t>
  </si>
  <si>
    <t>Chỉ có một câu dẫn ở CHUONG_III_PHA_THIET_KE.md:7 ('cụ thể hóa cấu trúc hướng đối tượng … sẵn sàng chuyển giao sang mã nguồn Java Spring Boot và cơ sở dữ liệu'). docs/services có mục 'I. Tổng quan và nhiệm vụ' nói về nhiệm vụ service, không phải mục tiêu tài liệu.</t>
  </si>
  <si>
    <t>Đối tượng sử dụng tài liệu?</t>
  </si>
  <si>
    <t>Không nêu người đọc (dev, tester, hội đồng…).</t>
  </si>
  <si>
    <t>Phạm vi có bao gồm các nội dung:</t>
  </si>
  <si>
    <t>Đạt 2/3 tiêu chí con. Thiếu danh sách đầy đủ chức năng được thiết kế (xem dòng dưới).</t>
  </si>
  <si>
    <t>Liệt kê đầy đủ các chức năng mà sản phẩm phần mềm sẽ xây dựng?</t>
  </si>
  <si>
    <t>CHUONG_III_PHA_THIET_KE.md mục 3 chỉ thiết kế 7 module (3.1 a-g). Không thiết kế user, inventory, notification, review, analytics/forecast (RA_SOAT_BAO_CAO_VS_CODE.md D21). docs/services có 10 service nhưng 09_AI_ENGINE_SERVICE.md đã lỗi thời và không có forecast-service (00_INDEX.md:32).</t>
  </si>
  <si>
    <t>Xác định phạm vi các phân hệ / chức năng thuộc sản phẩm phần mềm dự kiến sẽ đáp ứng?</t>
  </si>
  <si>
    <t>7 module trong CHUONG_III_PHA_THIET_KE.md mục 3; bảng 10 service, port, DB ở 00_INDEX.md:20-33.</t>
  </si>
  <si>
    <t>Mô tả kết quả và mục tiêu dự kiến đạt được của mỗi chức năng / phân hệ thuộc phần mềm?</t>
  </si>
  <si>
    <t>Mục 'I. Tổng quan và nhiệm vụ' của từng file docs/services. Kịch bản v3.0 của từng module trong Chương III mô tả kết quả cuối luồng.</t>
  </si>
  <si>
    <t>Có bảng thuật ngữ và khái niệm không?</t>
  </si>
  <si>
    <t>CHUONG_III_PHA_THIET_KE.md không có. Chỉ Chương I mục 1 có bảng từ khóa nghiệp vụ, thiếu thuật ngữ kỹ thuật dùng dày đặc trong thiết kế: Outbox, CDC, Saga, gRPC, JWT, Idempotency, SASRec, FAISS, RRF.</t>
  </si>
  <si>
    <t xml:space="preserve">Có liệt kê các tài liệu tham khảo không? </t>
  </si>
  <si>
    <t>Không có danh mục tham khảo. Chỉ có liên kết tới file puml/png (đều trỏ file:///d:/Downloads/…) và liên kết chéo giữa các file docs/services.</t>
  </si>
  <si>
    <t>00_INDEX.md:20-33 liệt kê 10 tài liệu service. CHUONG_III_PHA_THIET_KE.md nêu trình tự các bước (:7, :478, :722). Chưa có đoạn mô tả tổng thể cấu trúc Chương III.</t>
  </si>
  <si>
    <t>Thiết kế Kiến trúc</t>
  </si>
  <si>
    <t>Thiết kế kiến trúc chung</t>
  </si>
  <si>
    <t xml:space="preserve">Kiến trúc hệ thống có độc lập với công nghệ sử dụng để dễ dàng thay đổi không? </t>
  </si>
  <si>
    <t>Kiến trúc microservices giao tiếp qua REST/gRPC/Kafka, đa ngôn ngữ (Java + Python FastAPI), mỗi service một DB; việc đổi PostgreSQL → MariaDB thực tế không phải đổi kiến trúc. Nhưng CHUONG_III_PHA_THIET_KE.md:722-727 mô tả kiến trúc gắn chặt thuật ngữ Spring, không có góc nhìn kiến trúc độc lập công nghệ.</t>
  </si>
  <si>
    <t>Kiến trúc hệ thống có tính đến mọi ràng buộc kỹ thuật hoặc ràng buộc khác không thể tránh được không? (nghĩa là có khả thi cho môi trường đã chọn không)</t>
  </si>
  <si>
    <t>deployment_diagram.puml chỉ có 3 node, ghi PostgreSQL 16, Mongo 7.0, Redis 7.2, ES 8.13, Kafka + Zookeeper (CHUONG_III_PHA_THIET_KE.md:1776-1780). Code dùng mariadb:10.11, mongo:6.0, redis:7.0-alpine, elasticsearch:8.10.2, cp-kafka:7.4.0 chạy KRaft (BE/docker-compose-infra.yml:11-195) (RA_SOAT_BAO_CAO_VS_CODE.md A1, D17). Không nêu ràng buộc tài nguyên (RAM cho ES, Kafka, 4 service AI PyTorch).</t>
  </si>
  <si>
    <t>Các yêu cầu ảnh hưởng đến kiến trúc có được mô tả không?</t>
  </si>
  <si>
    <t>Chỉ ở docs/services: chống overselling (04 §II, §VII so sánh concurrency control), cache-aside (02 §II), exactly-once qua outbox (03 §VII), rate limit API AI (08 §V). CHUONG_III_PHA_THIET_KE.md không có mục yêu cầu kiến trúc.</t>
  </si>
  <si>
    <t>Ngôn ngữ lập trình và công nghệ đã chọn có phù hợp không?</t>
  </si>
  <si>
    <t>Java 17 + Spring Boot 3.2.5/Spring Cloud, Python FastAPI cho AI, Kafka + Debezium, Redis, Elasticsearch, Keycloak, Camunda 7: phù hợp TMĐT phân tán. Tài liệu ghi sai: Next.js/Bootstrap thay cho React 19 + Vite 7 + Tailwind; vẽ class Java cho search/recs/chatbot vốn viết bằng Python (RA_SOAT_BAO_CAO_VS_CODE.md A3, mục E).</t>
  </si>
  <si>
    <t>Design có phản ánh môi trường thực tế không? Phần cứng, phần mềm?</t>
  </si>
  <si>
    <t>Deployment thiếu Kafka, Debezium Connect, Elasticsearch, MinIO, Keycloak, Eureka, API Gateway, Caddy và node AI 4 service; thiếu forecast-service (RA_SOAT_BAO_CAO_VS_CODE.md D15, D16). Môi trường production (AWS EC2 + Caddy + Cloudflare, MUC_LUC:313) không có trong thiết kế.</t>
  </si>
  <si>
    <t>Kiến trúc ứng dụng</t>
  </si>
  <si>
    <t>Kiến trúc ứng dụng có được chia lớp đúng không?</t>
  </si>
  <si>
    <t>CHUONG_III_PHA_THIET_KE.md:722-727 có 5 tầng UI / Controller / Service / Repository / DTO-Entity, khớp cấu trúc package controller/service/repository/entity/dto của code. Sai: package diagram đặt Payment trong orderservice.entity (CHUONG_III_PHA_THIET_KE.md:1754; RA_SOAT_BAO_CAO_VS_CODE.md D19); dịch vụ AI FastAPI bị vẽ thành lớp Java.</t>
  </si>
  <si>
    <t>Có mô tả chức năng của mỗi lớp và phương thức làm việc/trao đổi dữ liệu giữa các lớp không?</t>
  </si>
  <si>
    <t>CHUONG_III_PHA_THIET_KE.md:723-727 mô tả nhiệm vụ từng tầng, trao đổi bằng REST JSON/STOMP và tách DTO với Entity. Thiết kế tĩnh từng module (ví dụ :735-755) nêu vai trò từng lớp.</t>
  </si>
  <si>
    <t>Kiến trúc ứng dụng có phân chia rõ ràng các thành phần ở mức cao nhất của hệ thống không?</t>
  </si>
  <si>
    <t>00_INDEX.md:37-94 có sơ đồ FE, Gateway, Eureka, Keycloak, 8 service, DB, Kafka, MinIO. CHUONG_III_PHA_THIET_KE.md không có sơ đồ kiến trúc tổng thể. Sơ đồ 00_INDEX thiếu chat-service, Debezium, forecast-service.</t>
  </si>
  <si>
    <t>Có mô tả chức năng và mối liên hệ giữa các phân hệ không?</t>
  </si>
  <si>
    <t>Chỉ ở docs/services: bảng topic Kafka producer/consumer (00_INDEX.md:207-220), 07 §VII yêu cầu tích hợp, DETAILED_ORDER_FLOW.md §I-II. CHUONG_III_PHA_THIET_KE.md không có mục giao tiếp liên service: gRPC GetPriceInfo/GetInventory, 9 topic Kafka, 2 connector Debezium (RA_SOAT_BAO_CAO_VS_CODE.md D22).</t>
  </si>
  <si>
    <t>Có mô tả các xử lý chính trong mỗi phân hệ không?</t>
  </si>
  <si>
    <t>docs/services: luồng chính từng service (03 §IV, 05 §II, 04 §II-III, 07 §II). CHUONG_III_PHA_THIET_KE.md: kịch bản v3.0 cho 7 module, nhưng 5/7 module lệch nhiều so với code (tìm kiếm, gợi ý, đặt hàng, hủy đơn, trợ lý AI — RA_SOAT_BAO_CAO_VS_CODE.md mục E).</t>
  </si>
  <si>
    <t>Kiến trúc dữ liệu</t>
  </si>
  <si>
    <t>Kiến trúc dữ liệu có mô tả các thành phần dữ liệu chính của ứng dụng không?</t>
  </si>
  <si>
    <t>CHUONG_III_PHA_THIET_KE.md mục 1 (47 lớp), mục 2 Bước 1 (43 bảng, :480-523); 00_INDEX.md:177-186 (DB theo service). Chương III mô hình hóa như một CSDL chung có FK xuyên service (RA_SOAT_BAO_CAO_VS_CODE.md D1) và bỏ sót Elasticsearch ProductDocument, Mongo product_similarities (RA_SOAT_BAO_CAO_VS_CODE.md D13).</t>
  </si>
  <si>
    <t>Danh mục và Code</t>
  </si>
  <si>
    <t>Có enum/miền giá trị trong mô tả thuộc tính (ví dụ customerTier MEMBER/SILVER/GOLD/VIP, CHUONG_III_PHA_THIET_KE.md:34). Một số enum sai: trạng thái đơn PAID/SHIPPING (RA_SOAT_BAO_CAO_VS_CODE.md A6), voucher PERCENTAGE/FIXED_AMOUNT so với PERCENT/FIXED/FREESHIP (A15), triggerType CHURN_RISK/BIRTHDAY (D6).</t>
  </si>
  <si>
    <t>Các dữ liệu gốc</t>
  </si>
  <si>
    <t>Category, Brand, Attribute, Product, ProductVariant, User/Address, Province/Ward (CHUONG_III_PHA_THIET_KE.md §1 khối 1-2). Có thêm thực thể không tồn tại: Employee, Supplier, Member.password (RA_SOAT_BAO_CAO_VS_CODE.md A4, A5).</t>
  </si>
  <si>
    <t>Các dữ liệu trung gian</t>
  </si>
  <si>
    <t>OutboxEvent, CompensationTask, UserEvent, WebhookLog, ExecutedAction, InventoryDailySnapshot (CHUONG_III_PHA_THIET_KE.md:336-370); Redis key convention (00_INDEX.md:190-203). Thiếu lịch sử hành vi Redis user:{uid}:history, chỉ mục FAISS, checkpoint SASRec (RA_SOAT_BAO_CAO_VS_CODE.md E14).</t>
  </si>
  <si>
    <t>Nếu phù hợp, tất cả các cấu trúc dữ liệu chính có được "che" bởi 1 lớp trừu tượng hơn không? (nhằm tách biệt code về data layer và các layer khác - như business layer hoặc presentation layer)</t>
  </si>
  <si>
    <t>Tầng Repository (JpaRepository/MongoRepository) và tách DTO khỏi Entity (CHUONG_III_PHA_THIET_KE.md:726-727), khớp code.</t>
  </si>
  <si>
    <t>Có mô tả các luồng dữ liệu chính trong ứng dụng không?</t>
  </si>
  <si>
    <t>DETAILED_ORDER_FLOW.md §II (5 giai đoạn), 00_INDEX.md:98-152, 7 sequence diagram. Luồng ở Chương III có chỗ sai: Order và Outbox không chung transaction, Debezium đọc binlog chứ không phải WAL, topic là order-events (RA_SOAT_BAO_CAO_VS_CODE.md E18, E21).</t>
  </si>
  <si>
    <t>Trong trường hợp CSDL phân tán, có mô tả phương thức trao đổi và đồng bộ dữ liệu giữa các CSDL phân tán không?</t>
  </si>
  <si>
    <t>Hệ thống dùng database-per-service (6 DB MariaDB + MongoDB). docs/services mô tả đồng bộ qua Outbox + Debezium + Kafka, 'Logical FK (No Physical FK)' (00_INDEX.md:244-248), DETAILED_ORDER_FLOW.md. Riêng CHUONG_III_PHA_THIET_KE.md không nhắc database-per-service và vẽ FK xuyên DB trong ERD (RA_SOAT_BAO_CAO_VS_CODE.md D1, D4). Cần sửa.</t>
  </si>
  <si>
    <t>Loại dữ liệu cần trao đổi</t>
  </si>
  <si>
    <t>Sự kiện OrderCreated/Confirmed/Cancelled/Shipped/Delivered, InventoryDeducted, PaymentSuccess/Failed/CODConfirmed, RefundCompleted (00_INDEX.md:209-220); gRPC GetPriceInfo, GetInventory (02 §IV).</t>
  </si>
  <si>
    <t>Ý nghĩa trao đổi dữ liệu</t>
  </si>
  <si>
    <t>DETAILED_ORDER_FLOW.md giai đoạn 1-5 giải thích mục đích từng lần trao đổi (giữ chỗ, trừ kho, xác nhận, hoàn kho, hoàn tiền).</t>
  </si>
  <si>
    <t>Chiều trao đổi dữ liệu: một chiều/ hai chiều</t>
  </si>
  <si>
    <t>Kafka một chiều producer → consumer; gRPC/Feign đồng bộ request-response (DETAILED_ORDER_FLOW.md:10-14; bảng topic 00_INDEX).</t>
  </si>
  <si>
    <t>Tần suất trao đổi dữ liệu: ngay lập tức/ hàng ngày/ hàng giờ...</t>
  </si>
  <si>
    <t>Theo sự kiện (gần thời gian thực). Định kỳ: tự hủy đơn sau 30 phút, PaymentScheduler mỗi phút, snapshot kho 23:00 hằng ngày (00_INDEX.md:121; DETAILED_ORDER_FLOW.md:6).</t>
  </si>
  <si>
    <t>Phương thức trao đổi dữ liệu: trigger/ batch/ gọi hàm/ data propagation/ qua file trong thư mục...</t>
  </si>
  <si>
    <t>Transactional Outbox + Debezium CDC (binlog, EventRouter) (00_INDEX.md:6, :114-115), gRPC, Feign, Redis self-healing sync (04 §III). CHUONG_III_PHA_THIET_KE.md ghi sai là WAL và topic order-created-events (RA_SOAT_BAO_CAO_VS_CODE.md E21).</t>
  </si>
  <si>
    <t>Có mô tả các giao tiếp dữ liệu với các hệ thống khác không?</t>
  </si>
  <si>
    <t>VNPay (05 §II-IV), Keycloak (01, 08 §IV), SMTP/FCM (06), MinIO (02 §VI), dịch vụ AI qua gateway (08 §III).</t>
  </si>
  <si>
    <t>REST JSON, tham số IPN có chữ ký HMAC, JWT, ảnh multipart, email HTML template (06 §IV).</t>
  </si>
  <si>
    <t>Mỗi tích hợp có mô tả mục đích trong mục Tổng quan và luồng của file service tương ứng.</t>
  </si>
  <si>
    <t>VNPay hai chiều (redirect thanh toán + IPN callback, 05 §II); SMTP/FCM một chiều; Keycloak hai chiều (OIDC + JWKS).</t>
  </si>
  <si>
    <t>Theo request/sự kiện. Hoàn tiền VNPay do scheduler chạy mỗi phút (PaymentScheduler.java:44; RA_SOAT A14).</t>
  </si>
  <si>
    <t>REST/HTTPS, webhook IPN, SMTP, S3 API (MinIO), OIDC. Báo cáo mô tả 'Verify Refund Webhook' không tồn tại (RA_SOAT A14).</t>
  </si>
  <si>
    <t>Kiến trúc vật lý</t>
  </si>
  <si>
    <t>Có mô tả các cấu hình vật lý sử dụng để vận hành hệ thống không?</t>
  </si>
  <si>
    <t>Deployment (CHUONG_III_PHA_THIET_KE.md:1769-1790) chỉ 3 node và sai phiên bản (RA_SOAT_BAO_CAO_VS_CODE.md D15-D17). docs/services chỉ có đoạn docker-compose của từng service (ví dụ 03 §X, 05 §IX). Không có sơ đồ cấu hình vật lý tổng thể hay production.</t>
  </si>
  <si>
    <t>Cấu hình tối thiểu của các thiết bị (Máy chủ, máy trạm, máy khác....)</t>
  </si>
  <si>
    <t>Không có CPU/RAM/ổ đĩa tối thiểu, dù Elasticsearch, Kafka và 4 service AI (PyTorch, CLIP, e5-large, SASRec) cần nhiều tài nguyên.</t>
  </si>
  <si>
    <t>Phương thức kết nối</t>
  </si>
  <si>
    <t>deployment_diagram.puml: HTTP/HTTPS (REST, WebSocket), JDBC TCP/IP; cổng từng service ở 00_INDEX.md:22-33. JDBC trong báo cáo là PostgreSQL, code là jdbc:mariadb (RA_SOAT A1).</t>
  </si>
  <si>
    <t>Mối quan hệ của các tiến trình trong mô hình xử lý với các thiết bị vật lý</t>
  </si>
  <si>
    <t>Mọi microservice gộp vào một node 'Web / App Server'. Không ánh xạ container/tiến trình với máy chủ, không có node Kafka, Debezium, ES, MinIO, Keycloak.</t>
  </si>
  <si>
    <t>Các giải pháp kiến trúc khác</t>
  </si>
  <si>
    <t>Có mô tả kiến trúc bảo mật của hệ thống không?</t>
  </si>
  <si>
    <t>docs/services/08 §II, §IV (Keycloak OIDC, kiểm JWT ở gateway, gắn header X-User-*), 01 §II (JWKS), 05 §IV (HMAC webhook). CHUONG_III_PHA_THIET_KE.md chỉ nhắc @PreAuthorize (:724, :1358) và mô tả Token Relay không có trong code (RA_SOAT_BAO_CAO_VS_CODE.md E5).</t>
  </si>
  <si>
    <t>Có mô tả kiến trúc sao lưu và phục hồi số liệu của hệ thống không?</t>
  </si>
  <si>
    <t>Không có thiết kế backup/restore cho MariaDB, MongoDB, MinIO, chỉ mục FAISS và checkpoint mô hình.</t>
  </si>
  <si>
    <t>Có mô tả các giải pháp với các yêu cầu đặc biệt của hệ thống không?</t>
  </si>
  <si>
    <t>Chống overselling (Redis Lua + SELECT FOR UPDATE, 04 §II, §VII), idempotency checkout (03 §III), outbox exactly-once (03 §VII), rate limit AI (08 §V), retry/circuit breaker (06 §VII), self-healing Redis (04 §III), cache-aside (02 §II).</t>
  </si>
  <si>
    <t>Thiết kế chi tiết cơ sở dữ liệu</t>
  </si>
  <si>
    <t>Các data elements có được mô tả đủ chi tiết không?</t>
  </si>
  <si>
    <t>CHUONG_III_PHA_THIET_KE.md §1 Bước 2: mỗi thuộc tính có kiểu Java và mô tả (ví dụ :24-56); erd_thiet_ke_csdl.puml (608 dòng) có kiểu và độ dài. Sai: kiểu integer(10)/float(10)/date so với BIGINT/DECIMAL/DATETIME (RA_SOAT_BAO_CAO_VS_CODE.md D12); thiếu trường có thật (RA_SOAT_BAO_CAO_VS_CODE.md D13); có trường không tồn tại như Member.password (A5).</t>
  </si>
  <si>
    <t>Miền cho phép của dữ liệu và các ràng buộc khác về dữ liệu có được mô tả không?</t>
  </si>
  <si>
    <t>Miền enum nêu trong mô tả thuộc tính CHUONG_III_PHA_THIET_KE.md §1 (một số sai: A6, A15, D6). NOT NULL/UNIQUE chỉ có trong DDL docs/services (02:175-290, 05:323-370, 07:224-264). DDL docs/services còn bảng không tồn tại: coupons (03:473), cart_items (03:441), chat_sessions (01:154) (00_INDEX.md:8).</t>
  </si>
  <si>
    <t>Việc quản lý và sử dụng các shared and stored data có được mô tả rõ không?</t>
  </si>
  <si>
    <t>Quy ước Redis key dùng chung (00_INDEX.md:190-203), giỏ hàng trên Redis (03 §II), key tồn kho dùng chung Order/Inventory, cache (02 §II). CHUONG_III_PHA_THIET_KE.md không có. Bảng Redis 00_INDEX còn key không tồn tại: blacklist:{jti}, campaign:budget (00_INDEX.md:8).</t>
  </si>
  <si>
    <t>Có mô tả các mô hình quan hệ dữ liệu không?</t>
  </si>
  <si>
    <t>CHUONG_III_PHA_THIET_KE.md Bước 3-4 (:572-692), erd_thiet_ke_csdl.puml, class_thiet_ke_thuc_the.puml; ERD từng service trong docs/services (01 §VI, 02 §VIII, 03 §IX…). ERD Chương III có FK xuyên service và FK không tồn tại (WebhookLog→Payment, ExecutedAction→Campaign, Address→Province/Ward…) (RA_SOAT_BAO_CAO_VS_CODE.md D1, D4).</t>
  </si>
  <si>
    <t>Với mỗi bảng dữ liệu có mô tả chi tiết các thành phần sau không?</t>
  </si>
  <si>
    <t>Đạt phần lớn: trường, constraint, index (index chỉ ở docs/services). Trigger không áp dụng.</t>
  </si>
  <si>
    <t>Chi tiết các trường</t>
  </si>
  <si>
    <t>ERD puml có tên trường, kiểu, độ dài; CHUONG_III_PHA_THIET_KE.md Bước 2 (:527-570). Kiểu dữ liệu và tên bảng chưa đúng (tblX so với snake_case số nhiều, RA_SOAT_BAO_CAO_VS_CODE.md D12).</t>
  </si>
  <si>
    <t>Constraint</t>
  </si>
  <si>
    <t>PK/FK ở Bước 4 và ERD (&lt;&lt;PK&gt;&gt;, &lt;&lt;FK&gt;&gt;); UNIQUE/NOT NULL ở DDL docs/services. FK xuyên DB trong Chương III không tồn tại (RA_SOAT_BAO_CAO_VS_CODE.md D1, D4); ProductTag là khóa kép (productId, tag), không có cột id (RA_SOAT_BAO_CAO_VS_CODE.md D11).</t>
  </si>
  <si>
    <t>Index</t>
  </si>
  <si>
    <t>Không có trong CHUONG_III_PHA_THIET_KE.md/ERD. Chỉ có trong DDL docs/services: payments (05:339-342), orders (03:415-418), inventories/inventory_transactions (04:263, :281-283), users (01:130), issued_vouchers (07:263-264).</t>
  </si>
  <si>
    <t>Trigger</t>
  </si>
  <si>
    <t>Hệ thống không dùng trigger CSDL (không có CREATE TRIGGER trong BE/). Dữ liệu dẫn xuất tính ở tầng service (CHUONG_III_PHA_THIET_KE.md Bước 5 :694-699). Debezium đọc binlog, không dùng trigger.</t>
  </si>
  <si>
    <t>Có mô tả chi tiết thiết kế các tệp tin trao đổi với hệ thống khác hoặc kết xuất ra không?</t>
  </si>
  <si>
    <t>Không có thiết kế tệp: ảnh lưu MinIO, import catalog, chỉ mục FAISS, checkpoint SASRec, tài liệu chính sách RAG (markdown trong FE/src/assets/policies_source, RA_SOAT C11). Chỉ có ví dụ JSON payload sự kiện (04:197-222), đó là thông điệp, không phải tệp.</t>
  </si>
  <si>
    <t>Với mỗi tệp tin có mô tả chi tiết các thành phần sau không?</t>
  </si>
  <si>
    <t>Không có thiết kế tệp tin (xem dòng trên).</t>
  </si>
  <si>
    <t>Cấu trúc file theo thứ tự các trường</t>
  </si>
  <si>
    <t>Không có thiết kế tệp tin.</t>
  </si>
  <si>
    <t>Có mô tả cách thiết kế các trường mã trong cơ sở dữ liệu không?</t>
  </si>
  <si>
    <t>Quy ước tên khóa tbl&lt;TênThựcThể&gt;id (CHUONG_III_PHA_THIET_KE.md:715). Quy tắc mã nghiệp vụ rời rạc: txn_ref 'PAY-orderId-timestamp' (05:326), voucher code VARCHAR(32) (07:246), SKU, slug UNIQUE. Kiểu ID người dùng không thống nhất String/Long nhưng tài liệu không nêu (RA_SOAT_BAO_CAO_VS_CODE.md D2).</t>
  </si>
  <si>
    <t>Có mô tả thiết kế vật lý của cơ sở dữ liệu không?</t>
  </si>
  <si>
    <t>ERD 'Physical Database Diagram' (CHUONG_III_PHA_THIET_KE.md:703-716) và DDL MariaDB trong docs/services. ERD Chương III sai DBMS (PostgreSQL) và không thể hiện database-per-service (RA_SOAT_BAO_CAO_VS_CODE.md A1, D1, D12).</t>
  </si>
  <si>
    <t>Thiết kế chi tiết màn hình</t>
  </si>
  <si>
    <t>Design có hỗ trợ việc module hoá 1 cách thích hợp không?</t>
  </si>
  <si>
    <t>Mỗi module tách tầng UI/Controller/Service/Repository (CHUONG_III_PHA_THIET_KE.md 3.1 a-g); docs/services chia theo service; package diagram (CHUONG_III_PHA_THIET_KE.md:1726-1765).</t>
  </si>
  <si>
    <t>Design có hỗ trợ việc re-use design và code không?</t>
  </si>
  <si>
    <t>ApiResponse&lt;T&gt; dùng chung (CHUONG_III_PHA_THIET_KE.md:754, 03:500), Spring Data Repository, grpc-common proto dùng chung (02 §IV), DTO tách Entity.</t>
  </si>
  <si>
    <t>Có mô tả các thuật toán chính không?</t>
  </si>
  <si>
    <t>Lua giữ kho (03 §III), pessimistic locking (04 §II), công thức finalAmount (CHUONG_III_PHA_THIET_KE.md:698). Thuật toán AI trong CHUONG_III_PHA_THIET_KE.md sai: hybrid RRF/e5-base, kNN trên Elasticsearch, cross-sell rule engine (RA_SOAT_BAO_CAO_VS_CODE.md A8, E10, E12, E16). 09_AI_ENGINE_SERVICE.md đã lỗi thời.</t>
  </si>
  <si>
    <t>Các thông tin chi tiết có đủ để cho một người khác code không?</t>
  </si>
  <si>
    <t>Developer làm theo CHUONG_III_PHA_THIET_KE.md sẽ ra hệ thống khác code hiện tại: 5/7 module lệch nhiều; có lớp không tồn tại (VnPayService, CamundaWorkflowService, AiRagCounselingService, ClipEmbeddingClient, CrossSellRuleEngine, CancelOrderModalView — RA_SOAT_BAO_CAO_VS_CODE.md D20, E9, E13, E29, E31, E33, E39); DTO sai (CheckoutRequest, CheckoutItemRequest — E20). docs/services tự ghi là thiết kế ban đầu, lệch code (00_INDEX.md:3-11).</t>
  </si>
  <si>
    <t>Tất cả mọi ràng buộc như processing time, run time, memory usage, I/O, database access and response time có được phản ánh trong design không?</t>
  </si>
  <si>
    <t>Không có ngân sách thời gian phản hồi hay bộ nhớ. Chỉ có vài tham số rời: TTL cache (Chương III ghi 1h, code là 24h, RA_SOAT_BAO_CAO_VS_CODE.md E4), Idempotency TTL 15 phút, rate limit 20/50, index DB ở docs/services.</t>
  </si>
  <si>
    <t>Có chức năng nào không có mô tả thiết kế chi tiết màn hình không?</t>
  </si>
  <si>
    <t>Có (phát hiện tiêu cực): chỉ 7 module có mockup (ví dụ Hình 7-9 CHUONG_III_PHA_THIET_KE.md:757-862). Đăng nhập, giỏ hàng, hồ sơ/địa chỉ, quản lý kho, đánh giá, quản lý người dùng, dashboard thống kê, thông báo không có thiết kế màn hình. Mockup ghi 'Next.js Admin' (:759), không khớp component thật (ProductsTab.jsx, CheckoutPage.jsx…).</t>
  </si>
  <si>
    <t>Có mô tả giao diện người dùng của hệ thống theo các yêu cầu sau không:</t>
  </si>
  <si>
    <t>Có cho 7 module được thiết kế (xem các dòng con).</t>
  </si>
  <si>
    <t>Có mô tả/xác định vị trí của tất cả các thành phần trong giao diện người dùng không?</t>
  </si>
  <si>
    <t>Mockup HTML thể hiện vị trí ô nhập, nút, bảng (CHUONG_III_PHA_THIET_KE.md:757-862 và các module sau). Không phản ánh FE thật (React + Vite + Tailwind) và không phủ hết màn hình.</t>
  </si>
  <si>
    <t>Có mô tả qui trình hoặc các hoạt động cho giao diện người dùng không?</t>
  </si>
  <si>
    <t>Các bước thao tác UI trong kịch bản v3.0 (ví dụ CHUONG_III_PHA_THIET_KE.md:1330-1371) và 7 activity diagram.</t>
  </si>
  <si>
    <t>Có mô tả việc đọc/ghi dữ liệu trong giao diện người dùng không?</t>
  </si>
  <si>
    <t>Kịch bản v3.0 nêu request API từ View và dữ liệu hiển thị (CHUONG_III_PHA_THIET_KE.md:1334, :1346, :1357). Endpoint tìm kiếm admin sai: FE gọi /public/products/search?q=, không phải /public/products?name= (RA_SOAT_BAO_CAO_VS_CODE.md E1).</t>
  </si>
  <si>
    <t>Có mô tả quan hệ giữa các thành phần trong giao diện người dùng và các modul hoặc hàm dùng chung không?</t>
  </si>
  <si>
    <t>Class diagram từng module có quan hệ View → Controller; package diagram có tầng Frontend (CHUONG_III_PHA_THIET_KE.md:1729-1731). Chưa ánh xạ View → component thật (RA_SOAT_BAO_CAO_VS_CODE.md mục E).</t>
  </si>
  <si>
    <t>Các giao tiếp nội bộ và giao tiếp với bên ngoài hệ thống có được xác định rõ ràng không?</t>
  </si>
  <si>
    <t>Hai nguồn mâu thuẫn. CHUONG_III_PHA_THIET_KE.md không có mục giao tiếp liên service (RA_SOAT_BAO_CAO_VS_CODE.md D22) và ghi sai topic (order-created-events), endpoint chat (/staff/chat/rooms/pending, /ws/chat), endpoint hoàn tiền /payments/refund (RA_SOAT_BAO_CAO_VS_CODE.md E21, E29, E41, E42). docs/services (08 §III, 00_INDEX:207-220, 02 §IV) đúng hơn nhưng sơ đồ tổng thể thiếu chat-service và forecast-service.</t>
  </si>
  <si>
    <t>Mọi giá trị đầu vào và đầu ra của các giao tiếp có đầy đủ và cần thiết không?</t>
  </si>
  <si>
    <t>Mục Đặc tả API của docs/services có header, request, response JSON (ví dụ 03:498-560). Ví dụ JSON còn trường 'success' cũ (03:500 tự ghi chú). DTO trong CHUONG_III_PHA_THIET_KE.md sai (CheckoutRequest thực tế chỉ có shippingAddress, phoneNumber, couponCode, shippingFee, pointsToRedeem, note — RA_SOAT_BAO_CAO_VS_CODE.md E20).</t>
  </si>
  <si>
    <t>Thiết kế chi tiết hàm và thủ tục</t>
  </si>
  <si>
    <t>Mỗi unit (class, method, property, form, file, etc.) đều có tên duy nhất và theo naming convention?</t>
  </si>
  <si>
    <t>Đặt tên theo quy ước Java (XxxController/XxxServiceImpl/XxxRepository) và quy ước bảng tbl* (CHUONG_III_PHA_THIET_KE.md:715). Nhiều tên không tồn tại trong code (RA_SOAT_BAO_CAO_VS_CODE.md D20).</t>
  </si>
  <si>
    <t>Các lời gọi, events và message giữa các unit có được ghi rõ không?</t>
  </si>
  <si>
    <t>7 sequence diagram (puml/sequence_thiet_ke_*.puml), DETAILED_ORDER_FLOW.md, bảng topic Kafka. Tên sự kiện sai: PaymentCompletedEvent (RA_SOAT_BAO_CAO_VS_CODE.md D9), ProductUpdatedEvent không tồn tại (C7).</t>
  </si>
  <si>
    <t>Đối với mỗi unit có mô tả đầy đủ theo các yêu cầu sau không?</t>
  </si>
  <si>
    <t>Thiếu mô tả exception cho từng unit (xem các dòng con).</t>
  </si>
  <si>
    <t>Chức năng, mục đích</t>
  </si>
  <si>
    <t>Thiết kế tĩnh mô tả vai trò từng lớp (CHUONG_III_PHA_THIET_KE.md:735-755 và các module b-g).</t>
  </si>
  <si>
    <t>Các tham số và giá trị trả về</t>
  </si>
  <si>
    <t>Class diagram có chữ ký phương thức; phần text liệt kê endpoint và phương thức kèm tham số (CHUONG_III_PHA_THIET_KE.md:741-751). Có chữ ký sai: searchProducts(keyword, brand, minPrice, maxPrice) trong khi code là (keyword, pageable) (RA_SOAT_BAO_CAO_VS_CODE.md E6).</t>
  </si>
  <si>
    <t>Diagram flow</t>
  </si>
  <si>
    <t>7 activity + 7 sequence diagram (25 tệp puml thiết kế). Nội dung lệch code ở 5/7 module.</t>
  </si>
  <si>
    <t>Exception</t>
  </si>
  <si>
    <t>Hầu như không mô tả exception của unit. Các nhánh lỗi có ghi thì sai: hết hàng là InsufficientStockException trả 400, không phải 409 (RA_SOAT_BAO_CAO_VS_CODE.md E23); InvalidOrderStateException, không phải InvalidOrderCancellationException (E31); validate chiến dịch trả 200 VALIDATION_FAILED (E34). Thiếu nhánh ES lỗi, 503 khi chưa có chỉ mục ảnh (E8, E11).</t>
  </si>
  <si>
    <t>Có mô tả phương pháp xử lý lỗi (error, exception handling) trong ứng dụng không?</t>
  </si>
  <si>
    <t>Không có mục chiến lược xử lý lỗi. Code dùng GlobalExceptionHandler cho từng service (BE/*/exception/GlobalExceptionHandler.java), ApiResponse lỗi, CompensationTask. Tài liệu chỉ có phần resilience rời rạc (06 §VII, 03 §III).</t>
  </si>
  <si>
    <t>Có liệt kê và mô tả nội dung các hàm và thủ tục xử lý lỗi không?</t>
  </si>
  <si>
    <t>Không liệt kê GlobalExceptionHandler hay các exception nghiệp vụ (InsufficientStockException, InvalidOrderStateException, DuplicateRequestException, ServiceUnavailableException, InvalidCouponException).</t>
  </si>
  <si>
    <t>Điểm mạnh:
- Chương III đi đủ các bước của phương pháp luận: lớp thực thể → CSDL 5 bước → thiết kế tĩnh/động 7 module → package/deployment, có 25 tệp PlantUML. Thuộc tính thực thể phần lớn khớp code.
- docs/services và DETAILED_ORDER_FLOW.md mô tả tốt các giải pháp phân tán đã có trong code: Outbox + Debezium CDC, giữ kho Redis Lua + SELECT FOR UPDATE, idempotency, rate limit, bảo mật gateway/Keycloak, DDL có UNIQUE/INDEX, đặc tả API có request/response. Đã được rà soát và gắn banner phần lệch (2026-10-11).
Điểm yếu:
- Không có kiểm soát tài liệu, bảng thuật ngữ, tài liệu tham khảo, đối tượng sử dụng.
- Chương III lệch code nặng: PostgreSQL/Next.js thay cho MariaDB/React + Vite; ERD như một CSDL chung có FK xuyên service; lớp Java cho dịch vụ Python; nhiều lớp, endpoint, DTO, sự kiện không tồn tại; 5/7 module có luồng sai.
- Kiến trúc vật lý sơ sài (3 node, sai phiên bản); không có sao lưu/phục hồi, cấu hình tối thiểu, chiến lược xử lý lỗi và exception của unit.
- Thiết kế màn hình chỉ phủ 7 module và là mockup không khớp FE thật.
- Chương III và docs/services mâu thuẫn nhau về giao tiếp nội bộ.</t>
  </si>
  <si>
    <t>1. Bổ sung kiểm soát tài liệu (trang tiêu đề, mã hiệu, trang ký, bảng ghi nhận thay đổi; thống nhất các nhãn 'v3.0'/'2.0.0'), mục đích, đối tượng sử dụng, bảng thuật ngữ kỹ thuật và tài liệu tham khảo.
2. Sửa công nghệ trong Chương III và mọi puml: MariaDB 10.11, React 19 + Vite 7 + Tailwind, mongo 6.0, redis 7.0, ES 8.10.2, Kafka KRaft; vẽ lại ERD theo database-per-service (tham chiếu bằng ID thô, bỏ FK xuyên DB, thêm Elasticsearch/MongoDB).
3. Thêm mục 'Giao tiếp liên service' (gRPC GetPriceInfo/GetInventory, 9 topic Kafka, 2 connector Debezium EventRouter) và mục 'Chiến lược xử lý lỗi' (GlobalExceptionHandler, mã lỗi HTTP, CompensationTask, retry/DLT), kèm exception của từng unit trong sequence diagram.
4. Viết lại thiết kế tĩnh/động cho tìm kiếm, gợi ý, đặt hàng, hủy đơn, trợ lý AI theo code (các dịch vụ AI là FastAPI; luồng Tx1 Order → Feign voucher/điểm → Tx2 Outbox; hoàn tiền qua PaymentScheduler); xóa các lớp không tồn tại; thêm bảng ánh xạ View → component React thật.
5. Vẽ lại deployment diagram đủ node (Gateway, Eureka, Keycloak, Kafka, Debezium, ES, MinIO, Caddy, node AI 4 service) kèm cấu hình tối thiểu CPU/RAM và môi trường production; bổ sung phương án sao lưu/phục hồi MariaDB, MongoDB, MinIO, chỉ mục FAISS.
6. Bổ sung index/constraint vào ERD Chương III (lấy từ DDL docs/services); xóa bảng không tồn tại (coupons, cart_items, chat_sessions); thiết kế màn hình cho các chức năng còn thiếu; đổi liên kết file:///d:/... sang đường dẫn tương đối.</t>
  </si>
  <si>
    <t>Bộ tài liệu thiết kế có đủ khung nhưng chưa đạt: thiếu kiểm soát tài liệu, thuật ngữ, sao lưu/phục hồi, chiến lược xử lý lỗi. Thiết kế chính (Chương III) lệch code ở công nghệ, mô hình dữ liệu và 5/7 luồng module, nên không đủ để người khác code lại đúng hệ thống. Cần sửa theo đề xuất rồi xem xét lần 2.</t>
  </si>
  <si>
    <t>Checklist Review Tài liệu Hướng dẫn Cài đặt (IM)</t>
  </si>
  <si>
    <t>6 file hướng dẫn (~1.140 dòng Markdown) cho 8 microservice Java + Eureka + API Gateway, 4 service AI, Frontend React và hạ tầng Docker</t>
  </si>
  <si>
    <t>Hướng dẫn cài đặt nằm rải rác ở 6 file Markdown (README.md, BE/README.md, BE/DEPLOY.md, AI/README.md, FE/README.md, docs/keycloak_setup_guide.md); không file nào có mã hiệu, phiên bản, ngày ban hành hay người phê duyệt.</t>
  </si>
  <si>
    <t>Không sử dụng biểu mẫu Installation Manual nào; đây là README dành cho lập trình viên.</t>
  </si>
  <si>
    <t>Mỗi file chỉ có tiêu đề H1. Tên sản phẩm không thống nhất: README.md ghi 'AuraTech', BE/README.md và FE/README.md ghi 'TECHSTORE'. Không có phiên bản, đơn vị/logo, mã dự án, mã hiệu, ngày ban hành.</t>
  </si>
  <si>
    <t>Không có số trang (Markdown hiển thị trên GitHub/IDE).</t>
  </si>
  <si>
    <t>Không có trang ký ở cả 6 file.</t>
  </si>
  <si>
    <t>Có bảng ghi nhận thay đổi không?</t>
  </si>
  <si>
    <t>Không có Change History. BE/DEPLOY.md chỉ có mục 'Lịch sử phát hiện bảo mật (17/7/2026)', docs/keycloak_setup_guide.md có ghi chú 'rà soát 2026-10-11' — không phải bảng ghi nhận thay đổi.</t>
  </si>
  <si>
    <t>Tài liệu không ghi phiên bản; coi là bản đầu nên không áp dụng.</t>
  </si>
  <si>
    <t>Không có bảng ghi nhận thay đổi nên không áp dụng.</t>
  </si>
  <si>
    <t>Tổng quan Tài liệu</t>
  </si>
  <si>
    <t>Có ghi nhận Mục tiêu Tài liệu không?</t>
  </si>
  <si>
    <t>BE/README.md (câu mở đầu: hướng dẫn cấu hình môi trường và khởi chạy Backend theo 2 phương pháp), BE/DEPLOY.md (ghi lại các bước deploy production để làm lại từ đầu), FE/README.md. README.md gốc không có câu mục tiêu.</t>
  </si>
  <si>
    <t>Kiểm tra nội dung Mục tiêu Tài liệu có được ghi nhận đủ gồm:</t>
  </si>
  <si>
    <t>Chỉ có nội dung mục tiêu, thiếu đối tượng sử dụng (xem 2 dòng dưới).</t>
  </si>
  <si>
    <t>Nội dung của mục tiêu?</t>
  </si>
  <si>
    <t>BE/README.md: Full Docker và Hybrid; BE/DEPLOY.md: deploy AWS EC2; FE/README.md: chạy local bằng Vite.</t>
  </si>
  <si>
    <t>Chỉ ngầm hiểu là lập trình viên (BE/README.md mục III: 'tối ưu nhất cho nhà phát triển'); không xác định người vận hành/quản trị hệ thống hay người kiểm thử.</t>
  </si>
  <si>
    <t>Có bảng thuật ngữ và từ viết tắt sử dụng trong tài liệu không?</t>
  </si>
  <si>
    <t>Không có; nhiều thuật ngữ không giải thích: Saga, Outbox, Debezium, KRaft, IPN, RRF, FAISS, SASRec, IGNORE_EXISTING.</t>
  </si>
  <si>
    <t>Có mô tả kiến trúc Hệ thống sẽ Cài đặt không?</t>
  </si>
  <si>
    <t>README.md dòng Stack + bảng port 8 service; BE/README.md mô tả thành phần chạy trong Docker; AI/README.md mục 1 cây thư mục 4 service AI (8001–8004). Chưa có sơ đồ triển khai tổng thể/bản đồ port của hạ tầng (MariaDB, Kafka, Keycloak 8083…).</t>
  </si>
  <si>
    <t>Có mô tả tổ chức / cấu trúc của tài liệu không?</t>
  </si>
  <si>
    <t>Không có mục lục chung; README.md gốc chỉ liên kết tới AI/README.md, docs/AI/*.md và tools/catalog-import/README.md, không liên kết BE/README.md, FE/README.md, BE/DEPLOY.md, docs/keycloak_setup_guide.md.</t>
  </si>
  <si>
    <t>Yêu cầu về Môi trường Cài đặt</t>
  </si>
  <si>
    <t>Có mô tả Yêu cầu về môi trường máy chủ (Server) không?</t>
  </si>
  <si>
    <t>BE/DEPLOY.md mục 0–2: EC2 m7i-flex.large (2 vCPU/8 GB), Ubuntu 22.04/24.04, 50 GB gp3, Docker, Node.js 20, OpenJDK 17, Maven.</t>
  </si>
  <si>
    <t>Cấu hình tối thiểu có được ghi nhận đầy đủ và đúng không?</t>
  </si>
  <si>
    <t>DEPLOY.md mục 0 ghi cấu hình đã dùng, không phải cấu hình tối thiểu; cấu hình 8 GB đó không chạy 4 service AI (mục 9 không khởi động AI, bỏ cả kafka-ui/kibana vì thiếu RAM). Không có yêu cầu RAM/CPU/ổ đĩa cho chạy full Docker local (BE + AI với model CLIP/e5-large).</t>
  </si>
  <si>
    <t>Các phần mềm cài đặt cần thiết có được liệt kê tương ứng không?</t>
  </si>
  <si>
    <t>BE/README.md mục I (JDK 17, Maven 3.8+, Docker Compose 2.x, IntelliJ), FE/README.md mục I (Node.js v18+), DEPLOY.md mục 2. Mâu thuẫn Node: FE/README.md 'v18 trở lên' nhưng DEPLOY.md mục 2 coi v18 là chưa cài thành công (yêu cầu v20). Không nêu JDK 17 là bắt buộc (thực tế Lombok 1.18.30 không biên dịch được trên JDK 23); AI/README.md không nêu phiên bản Python (Dockerfile dùng python:3.10-slim).</t>
  </si>
  <si>
    <t>Có mô tả Yêu cầu về môi trường máy chủ CSDL không?</t>
  </si>
  <si>
    <t>Không có mục riêng: CSDL (MariaDB, MongoDB, Redis, Elasticsearch) chạy dạng container trong cùng docker-compose; README.md dòng Stack và DEPLOY.md mục 7 (MariaDB, keycloak_db) có đề cập.</t>
  </si>
  <si>
    <t>Nếu có, cấu hình tối thiểu đối với môi trường Máy chủ CSDL có được ghi nhận đầy đủ và đúng không?</t>
  </si>
  <si>
    <t>Không có cấu hình RAM/ổ đĩa cho MariaDB/MongoDB/Elasticsearch; DEPLOY.md mục 10 chỉ nhắc kiểm tra mem_limit bằng docker stats.</t>
  </si>
  <si>
    <t>README.md liệt kê MariaDB · MongoDB · Redis · Kafka · Elasticsearch · MinIO · Keycloak 24.x nhưng chỉ Keycloak có phiên bản; phiên bản thật nằm trong compose. BE/docker-compose.yml và docker-compose-infra.yml dùng minio/minio:latest không ghim phiên bản — tuần này image này không pull được từ Docker Hub/Quay, phải thay bằng pgsty/minio.</t>
  </si>
  <si>
    <t>Có mô tả Yêu cầu về môi trường máy trạm không?</t>
  </si>
  <si>
    <t>Máy phát triển/local: BE/README.md mục I và FE/README.md mục I 'Yêu cầu hệ thống cần cài đặt cục bộ'. Không nêu yêu cầu trình duyệt cho người dùng cuối.</t>
  </si>
  <si>
    <t>Nếu có, cấu hình tối thiểu đối với môi trường Máy trạm có được ghi nhận đầy đủ và đúng không?</t>
  </si>
  <si>
    <t>Không nêu hệ điều hành, RAM, CPU, ổ đĩa cho máy local, trong khi full stack BE (~20 container) + AI cần nhiều RAM (Test Plan mục 6 đánh giá rủi ro thiếu RAM mức Cao trên máy 24 GB).</t>
  </si>
  <si>
    <t>JDK 17, Maven, Docker, IntelliJ, Node.js, npm được liệt kê; thiếu Git, phiên bản Python cho AI/README.md mục 3, và cảnh báo không dùng JDK &gt; 17.</t>
  </si>
  <si>
    <t>Quy trình Cài đặt</t>
  </si>
  <si>
    <t>Mô tả chung có các nội dung sau đây không:</t>
  </si>
  <si>
    <t>Các Database sẽ cài đặt trong Hệ thống?</t>
  </si>
  <si>
    <t>Chỉ liệt kê tên engine (README.md dòng Stack, bước 2 Hybrid 'DB, Kafka, Redis, MinIO, Keycloak...'); không có danh sách database/schema theo từng service, ngoại trừ keycloak_db tạo tay ở DEPLOY.md mục 7.</t>
  </si>
  <si>
    <t>Có chỉ ra rằng tài liệu này cài đặt cho Phiên bản nào của Phần mềm không (nếu có cài đặt nhiều phiên bản)?</t>
  </si>
  <si>
    <t>Không file nào ghi phiên bản/tag/nhánh; DEPLOY.md mục 3 git clone nhánh mặc định, không checkout tag phát hành.</t>
  </si>
  <si>
    <t>Có mô tả Quy trình Cài đặt trên máy chủ không?</t>
  </si>
  <si>
    <t>BE/DEPLOY.md mục 1–12 (EC2, Docker, DNS, Cloudflare, .env, keycloak_db, Maven build, compose prod, kiểm tra, import catalog, cập nhật code).</t>
  </si>
  <si>
    <t>Các bước Tổng quát có được mô tả đầy đủ trong các bước Chi tiết không?</t>
  </si>
  <si>
    <t>DEPLOY.md mục 9 không triển khai 4 service AI và không có bước nào cho AI ở production; README.md/AI/README.md không nói phải chạy BE trước (AI/docker-compose.yml dùng mạng ecommerce-network external: true); không có bước nạp dữ liệu tools/data-seed (chỉ có .env.example, không có .env); import catalog cần ADMIN_TOKEN lấy tay từ Local Storage nhưng tài khoản admin seed không có mật khẩu được ghi lại.</t>
  </si>
  <si>
    <t>Nội dung các bước có được mô tả chi tiết hoá để dễ dàng tham khảo cài đặt không?</t>
  </si>
  <si>
    <t>DEPLOY.md có lệnh cụ thể và mục '✅ Kết quả hợp lệ' sau các bước 2, 7, 8, 9. Hướng dẫn local (BE/README.md mục II) chỉ có 'docker ps' để kiểm tra, không có health check/URL kiểm tra.</t>
  </si>
  <si>
    <t>Có mô tả Quy trình Cài đặt trên máy trạm không?</t>
  </si>
  <si>
    <t>Cài đặt local: FE/README.md mục III (npm install, npm run dev), BE/README.md mục III (Hybrid + IntelliJ), AI/README.md mục 3 (venv, pip install, python main.py).</t>
  </si>
  <si>
    <t>Nếu có, các bước có được mô tả chi tiết hoá để dễ dàng tham khảo cài đặt không?</t>
  </si>
  <si>
    <t>BE/README.md mục III chỉ ghi 'khởi chạy class main' mà không hướng dẫn nạp BE/.env vào Run Configuration (README.md chỉ ghi 'nạp biến từ BE/.env trước'); chế độ Hybrid làm hỏng tool của chatbot vì AI/docker-compose.yml hard-code ORDER_SERVICE_URL=http://order-service:8082, USER_SERVICE_URL=http://be-user-service:8085 và chatbot không có PRODUCT_SERVICE_URL — tài liệu không đề cập.</t>
  </si>
  <si>
    <t>Có mô tả cách thức Cấu hình Hệ thống không?</t>
  </si>
  <si>
    <t>cp .env.example .env cho BE/FE/AI; README.md nêu INTERNAL_API_KEY, SHIPPING_WEBHOOK_SECRET; DEPLOY.md mục 5–6 đặt các biến production và lưu ý DOMAIN/GOOGLE_* phải đặt trước lần import realm đầu; docs/keycloak_setup_guide.md mô tả cấu hình realm.</t>
  </si>
  <si>
    <t>Các bước có được mô tả chi tiết hoá để dễ dàng tham khảo cài đặt không?</t>
  </si>
  <si>
    <t>Với môi trường local chỉ có lệnh copy .env.example, không có bảng giải thích tham số; không có hướng dẫn cho tools/data-seed/.env; Keycloak local dùng OVERWRITE_EXISTING (docker-compose.yml) nên mỗi lần restart import lại realm và mất mật khẩu user — không được cảnh báo; docs/keycloak_setup_guide.md bước 10 nêu admin_ecommerce/Admin@123456 nhưng đó là thiết kế cũ, user seed trong ecommerce-realm-users-0.json không có mật khẩu được ghi lại.</t>
  </si>
  <si>
    <t>Bảo mật, Backup và sao lưu Hệ thống</t>
  </si>
  <si>
    <t>Có mô tả về Bảo mật Hệ thống không?</t>
  </si>
  <si>
    <t>DEPLOY.md: 'Lịch sử phát hiện bảo mật', security group mục 1, sinh secret ngẫu nhiên bằng openssl mục 5, Cloudflare proxy mục 4b, kiểm tra port không lộ ra ngoài mục 10.</t>
  </si>
  <si>
    <t>Các thông tin cảnh báo cần thiết về bảo mật Hệ Thống và các cách thức phòng chống virus có được ghi nhận đầy đủ không?</t>
  </si>
  <si>
    <t>Không có nội dung phòng chống virus/malware. Môi trường local dùng thông tin đăng nhập mặc định không được cảnh báo: Keycloak master admin/admin (docs/keycloak_setup_guide.md), MariaDB root/root (DEPLOY.md mục 7); docs/test/HUONG_DAN_TEST_THU_CONG.md cũng dựa vào admin/admin để đặt lại mật khẩu.</t>
  </si>
  <si>
    <t>Có mô tả Backup CSDL và lập lịch sao lưu hệ thống không?</t>
  </si>
  <si>
    <t>Không có ở cả 6 file; chỉ có script backup-manifests.mjs (sao lưu manifest catalog lên R2), không phải backup CSDL MariaDB/MongoDB.</t>
  </si>
  <si>
    <t>Các bước thực hiện việc backup CSDL và lập lịch sao lưu có được mô tả rõ ràng và cụ thể không?</t>
  </si>
  <si>
    <t>Không có lệnh mariadb-dump/mongodump, không có lịch sao lưu hay quy trình restore.</t>
  </si>
  <si>
    <t>Có mô tả các lỗi hoặc sự cố có thể xảy ra trong quá trình cài đặt Hệ thống không?</t>
  </si>
  <si>
    <t>Rải rác, không có mục Troubleshooting riêng: DEPLOY.md (EC2 Instance Connect lỗi mục 1, Node v18 mục 2, ERROR 1045 và lỗi Liquibase 'PROTOCOL_MAPPER already exists' mục 7, Debezium healthy chậm mục 9, Caddy 502 mục 10, 401 do token hết hạn mục 11); README.md (401 /api/internal/** khi thiếu INTERNAL_API_KEY, search-service 503 khi chưa dựng index). Chưa có các sự cố thực tế tuần này: minio:latest không pull được, JDK 23 + Lombok 1.18.30 lỗi biên dịch, mất mật khẩu sau khi restart Keycloak, chatbot hỏng ở chế độ Hybrid.</t>
  </si>
  <si>
    <t>Nếu có, có ghi nhận cụ thể nguyên nhân xảy ra sự cố?</t>
  </si>
  <si>
    <t>Có với các sự cố đã nêu, ví dụ DEPLOY.md mục 7 (KC_DB=mysql làm Liquibase nhận sai dialect), mục 10 (Caddy giữ IP nội bộ cũ), README.md (compose truyền chuỗi rỗng khi thiếu INTERNAL_API_KEY).</t>
  </si>
  <si>
    <t>Có ghi nhận các bước xử lý sự cố này hoặc hướng khắc phục ra sao không?</t>
  </si>
  <si>
    <t>Có cho các sự cố đã nêu (chạy lại khối ALTER USER, restart caddy, lấy token mới, chạy build_index.py); chưa có cho các sự cố thực tế nêu trên.</t>
  </si>
  <si>
    <t>Bộ hướng dẫn cài đặt đủ để lập trình viên đã quen dự án dựng được hệ thống: có 2 phương án chạy BE (Full Docker, Hybrid), lệnh cụ thể cho FE/AI, và BE/DEPLOY.md là phần tốt nhất với các bước production có lệnh, kết quả mong đợi và một số lỗi thường gặp kèm nguyên nhân. Tuy nhiên đây không phải Installation Manual: nội dung rải rác ở 6 file Markdown không liên kết nhau, không có kiểm soát tài liệu (phiên bản, trang ký, change history), tên sản phẩm không thống nhất (AuraTech/TechStore), không có cấu hình tối thiểu, bảng thuật ngữ, backup/restore CSDL. Khi cài đặt thực tế tuần này phải tự xử lý nhiều vấn đề không được ghi: minio/minio:latest không tải được (thay pgsty/minio), cần đúng JDK 17 vì Lombok 1.18.30 lỗi trên JDK 23, chatbot hỏng ở chế độ Hybrid do AI/docker-compose.yml hard-code hostname Docker, user Keycloak seed không có mật khẩu và bị xoá mật khẩu mỗi lần restart (OVERWRITE_EXISTING), import catalog cần ADMIN_TOKEN và tools/data-seed chỉ có .env.example.</t>
  </si>
  <si>
    <t>1. Gộp thành một Installation Manual có trang tiêu đề, phiên bản, trang ký, change history, mục lục liên kết tới BE/FE/AI/DEPLOY/Keycloak, bảng thuật ngữ; thống nhất tên sản phẩm TechStore.
2. Thêm mục yêu cầu môi trường: cấu hình tối thiểu cho chạy local (RAM/CPU/ổ đĩa) và production có AI; ghi rõ bắt buộc JDK 17 (không dùng JDK 21+/23), Node 20, Python 3.10.
3. Ghim phiên bản image Docker (thay minio/minio:latest bằng tag cụ thể hoặc image thay thế đã kiểm chứng) và liệt kê phiên bản từng thành phần hạ tầng.
4. Ghi rõ tài khoản test và mật khẩu (hoặc script đặt mật khẩu), cảnh báo việc import realm OVERWRITE_EXISTING xoá mật khẩu khi restart; mô tả cách lấy ADMIN_TOKEN và tạo .env cho tools/data-seed; cảnh báo không dùng admin/admin, root/root ngoài môi trường local.
5. Bổ sung bảng tham số .env cho từng service, thứ tự khởi động BE → AI, và cấu hình URL cho chế độ Hybrid (tham số hoá ORDER_SERVICE_URL/USER_SERVICE_URL, thêm PRODUCT_SERVICE_URL cho chatbot).
6. Thêm mục Backup/Restore CSDL (mariadb-dump, mongodump, lịch sao lưu) và mục Troubleshooting gom các lỗi đã biết cùng các sự cố thực tế ở trên; thêm checklist kiểm tra sau cài đặt cho môi trường local.</t>
  </si>
  <si>
    <t>Tài liệu giúp dựng được hệ thống nhưng không đạt nhiều mục bắt buộc của một IM (kiểm soát tài liệu, cấu hình tối thiểu, cấu hình chi tiết, backup) và thiếu các bước xử lý sự cố đã gặp thực tế, nên cần bổ sung rồi review lại.</t>
  </si>
  <si>
    <t>3 Use Case tổng quan (Login, Manage Profile, Manage Account) + 2 UC con (Employee Login, Customer Login); 0 kịch bản chi tiết trong Chương II; 3 tài liệu thiết kế (~900 dòng)</t>
  </si>
  <si>
    <t>Tài liệu được xem xét</t>
  </si>
  <si>
    <t>docs/services/01_IDENTITY_USER_SERVICE.md (v2.0.0, banner rà soát 2026-10-11); docs/services/08_API_GATEWAY_DISCOVERY.md (v1.0.0); docs/system_roles_permissions.md; CHUONG_I_DAC_TA.md §1 (từ khoá 1-8, 32-34), §2 Bước 1-5, §3.1 (UC Login, Manage Profile, Manage Account); CHUONG_II_PHA_PHAN_TICH.md §2 Bước 3 mục a (lớp tác nhân); đối chiếu RA_SOAT_BAO_CAO_VS_CODE.md mục A4, A5, A17, B21, B25, C22, C23, E5</t>
  </si>
  <si>
    <t>Các file là markdown trong repo, không có mã hiệu tài liệu, người lập/duyệt hay ngày ban hành. 01 chỉ ghi 'Version: 2.0.0' và banner rà soát 2026-10-11.</t>
  </si>
  <si>
    <t>Không dùng mẫu SRS chuẩn: mỗi file docs/services có bố cục riêng (I. Tổng quan … VII. Docker), còn Chương I theo đề cương đồ án.</t>
  </si>
  <si>
    <t>Chỉ có heading '# TÀI LIỆU THIẾT KẾ: IDENTITY &amp; USER SERVICE' và dòng Port/DB/Version; không có công ty, logo, mã dự án, mã hiệu hay ngày ban hành.</t>
  </si>
  <si>
    <t>Markdown không có header/footer trang.</t>
  </si>
  <si>
    <t>Không có trang ký nào trong 3 tài liệu và trong Chương I.</t>
  </si>
  <si>
    <t>Không có bảng lịch sử. Chỉ có banner 'Thiết kế ban đầu — một số phần KHÔNG khớp với code hiện tại (rà soát 2026-10-11)' ở đầu 01/08 và một dòng ghi chú rà soát trong system_roles_permissions.md.</t>
  </si>
  <si>
    <t>01 ghi Version 2.0.0 (&gt; v1.0) nhưng không ghi lại thay đổi so với 1.x.</t>
  </si>
  <si>
    <t>Không có bảng ghi nhận thay đổi để đối chiếu.</t>
  </si>
  <si>
    <t>system_roles_permissions.md đoạn đầu nêu rõ 'Tài liệu này xác định chi tiết quyền hạn truy cập của 3 nhóm vai trò'. 01 §I.1.1 và 08 §I chỉ nêu nhiệm vụ của service, không nêu mục đích của tài liệu.</t>
  </si>
  <si>
    <t>Chương I §2 Bước 2 liệt kê phạm vi theo tác nhân (Thành viên: đăng nhập, đăng xuất, đổi mật khẩu…; Quản trị viên: quản lý tài khoản, khóa/mở). 01 §1.1 có bảng nhóm chức năng. Tuy vậy Bước 2 có tác nhân 'Nhân viên kho' không tồn tại (RA_SOAT A4).</t>
  </si>
  <si>
    <t>Chương I §1 có bảng từ khoá nghiệp vụ (Thành viên, Khách hàng, Đăng ký, Đăng nhập…), nhưng thuật ngữ kỹ thuật của PH1 trong 01/08 (OIDC, JWKS, realm role, RBAC, X-User-*, auto-provision) không được định nghĩa.</t>
  </si>
  <si>
    <t>Không có mục tài liệu tham khảo; link puml trong Chương I §3.1 trỏ tới file:///d:/Downloads/... trên máy cá nhân (RA_SOAT A17).</t>
  </si>
  <si>
    <t>Không có mục giới hạn. Banner ở 01/08 có liệt kê các phần lệch code, nhưng chưa phải phát biểu giới hạn phạm vi tài liệu.</t>
  </si>
  <si>
    <t>Chỉ có các heading I…VII, không có đoạn giới thiệu cấu trúc tài liệu.</t>
  </si>
  <si>
    <t>01 §1.2 có sơ đồ luồng OIDC Client → Keycloak :8083 → Gateway :8080 → User Service :8085; 08 §II có luồng routing &amp; security. Tuy nhiên Chương I Bước 3 không có luồng nghiệp vụ cho Đăng nhập/Quản lý tài khoản.</t>
  </si>
  <si>
    <t>01 §1.1 và §5.2/§5.4 liệt kê API hồ sơ, địa chỉ, điểm, nội bộ; Chương I §3.1 có UC Login, Manage Profile, Manage Account.</t>
  </si>
  <si>
    <t>Đánh giá chi tiết ở 2 câu con bên dưới.</t>
  </si>
  <si>
    <t>01 §1.1 nhóm theo IAM / JWKS / RBAC / đồng bộ hồ sơ / thông tin mở rộng; system_roles §2.1 nhóm endpoint của user-service theo vai trò.</t>
  </si>
  <si>
    <t>01 §2.2 (Keycloak SPI → Kafka) và §2.3 (tự nâng hạng/cộng điểm theo đơn) không có trong code; Chương I Bước 4 có ngày sinh, giới tính, mật khẩu của Thành viên không có trong User.java (RA_SOAT A5, B21); banner 08 gọi UserHeaderFilter là GlobalFilter trong khi code implements WebFilter (UserHeaderFilter.java:42).</t>
  </si>
  <si>
    <t>system_roles §2.1 ghi rõ CUSTOMER/STAFF/ADMIN cho từng endpoint user-service. Chương I lại dùng 6 tác nhân (có Nhân viên kho, Manager, Supplier) không khớp 3 role của realm.</t>
  </si>
  <si>
    <t>system_roles §1 mô tả trách nhiệm của ROLE_ADMIN, ROLE_STAFF, ROLE_CUSTOMER; Chương I §1 mục I mô tả các nhóm người.</t>
  </si>
  <si>
    <t>Sơ đồ ASCII ở 01 §1.2 và 08 §II; biểu đồ UC tổng quan ở Chương I §3.1 (link puml hỏng).</t>
  </si>
  <si>
    <t>Chỉ định nghĩa vai trò, không mô tả trình độ, tần suất sử dụng hay thiết bị của người dùng.</t>
  </si>
  <si>
    <t>01 §III và banner nêu Keycloak 24.x port 8083, MariaDB 10.11, chỉ 3 realm role; 08 banner nêu /api/internal/** bị denyAll và timeout 30s.</t>
  </si>
  <si>
    <t>Không có mục giả thiết/phụ thuộc; việc phụ thuộc Keycloak, Redis (cache provision) và Eureka chỉ suy ra được từ sơ đồ.</t>
  </si>
  <si>
    <t>Mỗi yêu cầu có được xác định duy nhất và chính xác không?</t>
  </si>
  <si>
    <t>Yêu cầu chỉ là các dòng trong bảng endpoint, không có mã định danh.</t>
  </si>
  <si>
    <t>08 §1.1 mục 3 nói service phía sau 'không cần verify token', nhưng user-service có SecurityConfig verify JWT. system_roles §1 cho ADMIN 'kiểm tra nhật ký hoạt động' nhưng không có audit log. Chương I dùng 6 tác nhân, system_roles chỉ có 3 vai trò.</t>
  </si>
  <si>
    <t>Không có cột hoặc nhãn độ ưu tiên.</t>
  </si>
  <si>
    <t>UC chỉ có tên (Login, Manage Profile, Manage Account), không có mã như UC-01/FR-01.</t>
  </si>
  <si>
    <t>Link puml ở Chương I §3.1 trỏ file:///d:/Downloads/... (RA_SOAT A17). Dẫn chiếu nội bộ 01 'mục 5.3' thì đúng.</t>
  </si>
  <si>
    <t>Không có tiêu chí nghiệm thu cho đăng nhập, khóa tài khoản, gán quyền.</t>
  </si>
  <si>
    <t>Chương II không có kịch bản cho Login/Manage Account. Các API admin (tạo user, reset mật khẩu, đổi tier, gán role, thống kê) chỉ xuất hiện trong bảng system_roles §2.1, không có request/response hay luật nghiệp vụ.</t>
  </si>
  <si>
    <t>01 đánh dấu '⚠️ không tồn tại trong code' cho chat_sessions, user_devices, §4.2 và §5.3, và gạch ngang phần Kafka SPI ở §1.1.</t>
  </si>
  <si>
    <t>Chỉ có vài con số rời rạc (verify JWT '&lt; 1ms' ở 01 §2.1; rate limit 20/s, burst 50 ở banner 08), không có ngưỡng chấp nhận. Thời hạn token 15 phút (accessTokenLifespan=900 trong realm) không được ghi.</t>
  </si>
  <si>
    <t>01 §4.1 có bảng user_devices (chống gian lận thiết bị) và chat_sessions, §5.3 có endpoint chatbot; các phần này ngoài phạm vi user-service (đã gắn cờ ⚠️).</t>
  </si>
  <si>
    <t>01/08 phần lớn là giải pháp: cache JWKS, schema bảng, cấu hình Docker Compose (01 §VII, 08 §VI), đoạn code SecurityFilterChain (08 §4.1-4.2, system_roles §3).</t>
  </si>
  <si>
    <t>Không mô tả xử lý khi đăng nhập sai, tài khoản bị khóa hay Keycloak không phản hồi. Chỉ banner 08 nhắc tới fallback circuit breaker.</t>
  </si>
  <si>
    <t>01 §IV (schema users, addresses, loyalty_point_transactions), §V (API), §VI (ERD) cùng ma trận quyền ở system_roles §2.1 đủ để thiết kế, dù vài phần đã cũ.</t>
  </si>
  <si>
    <t>Phần cốt lõi đã chạy với Keycloak + Spring Security. Các phần chưa làm (SPI, user_devices) đã được đánh dấu.</t>
  </si>
  <si>
    <t>Không có activity/sequence cho Login hay Manage Account. Luồng auto-provision chỉ được mô tả một câu trong banner 01.</t>
  </si>
  <si>
    <t>Mỗi yêu cầu đều có thể kiểm tra được bằng 1 trong các biện pháp sau: test, demonstration, review hoặc phân tích không?</t>
  </si>
  <si>
    <t>Ma trận ✅/❌ theo vai trò ở system_roles §2.1 kiểm thử được trực tiếp (vd STAFF gọi POST /api/v1/admin/users phải bị 403).</t>
  </si>
  <si>
    <t>Tài liệu không liệt kê mã/thông báo lỗi; code có NOT_FOUND, INVALID_PARAM, KEYCLOAK_SYNC_FAILED, DATA_CONFLICT (GlobalExceptionHandler.java) nhưng không được đặc tả.</t>
  </si>
  <si>
    <t>Không có ánh xạ endpoint ↔ UC (Login / Manage Profile / Manage Account).</t>
  </si>
  <si>
    <t>08 banner và system_roles §3: JWT verify tại gateway, RBAC 3 role, xóa X-User-* của client, /api/internal/** denyAll + X-Internal-Api-Key.</t>
  </si>
  <si>
    <t>Xác thực OIDC/JWT RS256 qua JWKS (01 §2.1), phân quyền RBAC theo realm role, rate limiting theo user/IP (08 §V), khóa API nội bộ. Không có yêu cầu về MFA bắt buộc, brute-force hay chính sách mật khẩu.</t>
  </si>
  <si>
    <t>Không đề cập sao lưu ecommerce_user_db hay realm Keycloak.</t>
  </si>
  <si>
    <t>Không có yêu cầu usability cho màn hình đăng nhập, hồ sơ, quản lý user.</t>
  </si>
  <si>
    <t>08 banner: mỗi route có Resilience4j circuit breaker và fallback, timeout 30s; 08 §1.2: Eureka loại instance mất heartbeat 30s. Không có chỉ tiêu uptime.</t>
  </si>
  <si>
    <t>01 §2.1 verify JWT '&lt; 1ms', không gọi DB; 08 rate limit 20 req/s, burst 50. Chưa có mục tiêu thời gian phản hồi cho API user.</t>
  </si>
  <si>
    <t>Không nêu số người dùng dự kiến, số request/giây hay kích thước dữ liệu của user-service.</t>
  </si>
  <si>
    <t>Không có yêu cầu về logging, giám sát hay bảo trì.</t>
  </si>
  <si>
    <t>01 §III: Keycloak 24.x, Spring Boot 3.2.x, oauth2-resource-server, MariaDB 10.11, Kafka; 08 header: Spring Cloud Gateway, Eureka, Redis.</t>
  </si>
  <si>
    <t>Đánh giá ở các câu con bên dưới.</t>
  </si>
  <si>
    <t>Không mô tả giao diện đăng nhập, đăng ký, hồ sơ hay quản lý tài khoản; Chương II không có kịch bản PH1.</t>
  </si>
  <si>
    <t>Module không giao tiếp phần cứng.</t>
  </si>
  <si>
    <t>01 §5.1 mô tả endpoint token/logout của Keycloak. Đăng nhập Google (identity provider 'google' trong realm) không được mô tả trong 01/08 (RA_SOAT B25).</t>
  </si>
  <si>
    <t>01 §5.4 liệt kê API nội bộ (segmentation, points, redeem/refund, provision); banner 01/08 mô tả header X-User-* và topic user-created-events.</t>
  </si>
  <si>
    <t>REST/HTTP qua gateway, Bearer JWT, Kafka; 08 có route WebSocket lb:ws://chat-service.</t>
  </si>
  <si>
    <t>Không đề cập hướng dẫn sử dụng hay trợ giúp trực tuyến.</t>
  </si>
  <si>
    <t>Keycloak (mã nguồn mở bên thứ ba) và Google làm identity provider.</t>
  </si>
  <si>
    <t>Keycloak có mô tả phiên bản, port và cách import realm (banner 01). Google IdP và service account ecommerce-backend (client_credentials) mà KeycloakAdminClient dùng thì không được mô tả.</t>
  </si>
  <si>
    <t>Module lưu dữ liệu cá nhân (email, số điện thoại, địa chỉ) nên có nghĩa vụ bảo vệ dữ liệu cá nhân.</t>
  </si>
  <si>
    <t>Không có yêu cầu nào về đồng ý, lưu trữ hay xóa dữ liệu cá nhân (admin xóa chỉ là xóa mềm, UserServiceImpl.java:400-402).</t>
  </si>
  <si>
    <t>OAuth 2.0 / OpenID Connect, JWT, JWKS (01 §1.1, §2.1).</t>
  </si>
  <si>
    <t>Có mô tả luồng OIDC và cơ chế JWKS/key rotation (01 §2.1), nhưng không dẫn chiếu RFC hay phiên bản.</t>
  </si>
  <si>
    <t>* Nhận xét</t>
  </si>
  <si>
    <t>Điểm mạnh: 01/08 đã có banner ghi rõ phần lệch code và gắn cờ ⚠️ cho phần không tồn tại; system_roles_permissions.md có ma trận quyền theo endpoint đã đối chiếu với SecurityConfig/@PreAuthorize, kiểm thử được trực tiếp; kiến trúc OIDC/JWKS được mô tả rõ. Điểm yếu: tài liệu là thiết kế giải pháp chứ không phải SRS (không mã yêu cầu, không ưu tiên, không tiêu chí nghiệm thu); không có phần kiểm soát tài liệu; Chương I/II không có kịch bản cho Login/Manage Account; tác nhân Chương I (Nhân viên kho, Manager, Supplier) không khớp 3 role thật; nhiều thuộc tính và luồng (SPI, ngày sinh, giới tính, tự nâng hạng) không có trong code; thiếu yêu cầu bảo mật đăng nhập (brute force, password policy, verify email) và yêu cầu về dữ liệu cá nhân.</t>
  </si>
  <si>
    <t>1. Thêm trang thông tin tài liệu (mã hiệu, phiên bản, ngày, người lập/duyệt) và bảng lịch sử thay đổi cho 01/08/system_roles.
2. Viết đặc tả UC chi tiết cho Login (cả Google), Register, Manage Profile, Manage Account (khóa/mở, gán role, reset mật khẩu) với mã UC/FR, độ ưu tiên, luồng ngoại lệ và tiêu chí nghiệm thu.
3. Viết lại tác nhân theo 3 role Keycloak; bỏ password, ngày sinh, giới tính khỏi Thành viên (RA_SOAT A4, A5, B21).
4. Tách phần thiết kế (Docker, code mẫu, JWKS cache) khỏi phần yêu cầu; chuyển SPI/user_devices sang 'Hướng phát triển'.
5. Bổ sung NFR bảo mật: brute-force, chính sách mật khẩu, verify email, thời hạn token, cách xử lý khi Keycloak lỗi; bổ sung danh mục mã lỗi và yêu cầu bảo vệ dữ liệu cá nhân.
6. Sửa link puml về đường dẫn tương đối và thêm mục tài liệu tham khảo (OIDC, Keycloak docs).</t>
  </si>
  <si>
    <t>Code Review Checklist</t>
  </si>
  <si>
    <t>Mã dự án:</t>
  </si>
  <si>
    <t>Thành phần được xem xét:</t>
  </si>
  <si>
    <t>user-service (BE/user-service/src/main/java/com/ecommerce/userservice/), api-gateway (BE/api-gateway/src/main/java/com/ecommerce/apigateway/ config + filter), BE/keycloak-data (realm export)</t>
  </si>
  <si>
    <t>Phiên bản:</t>
  </si>
  <si>
    <t>Lần xem xét:</t>
  </si>
  <si>
    <t>Người xem xét:</t>
  </si>
  <si>
    <t>Ngày xem xét:</t>
  </si>
  <si>
    <t>Độ lớn sản phẩm được xem xét:</t>
  </si>
  <si>
    <t>33 file đã xem: user-service 24 (4 controller, 5 service/impl + LoyaltyPointPolicy, KeycloakAdminClient, SecurityConfig, InternalApiKeyFilter, RestTemplateConfig, 2 entity, UserRepository, GlobalExceptionHandler, 5 DTO request, UserEventProducer, application.yml), api-gateway 7 (SecurityConfig, UserHeaderFilter, RateLimiterConfig, WebClientConfig, CorsConfig, FallbackController, application.yml), keycloak-data 2 file JSON; khoảng 2.500 dòng Java</t>
  </si>
  <si>
    <t>Nhân công dành cho xem xét (MH):</t>
  </si>
  <si>
    <t>Tổng quan</t>
  </si>
  <si>
    <t>Code có được viết tốt không (về mặt hình thức) ? Đọc có dễ hiểu không?</t>
  </si>
  <si>
    <t>Phân tầng controller/service/repository rõ, dùng Lombok và DTO request/response riêng. Riêng UserServiceImpl.java dài 559 dòng gộp cả đồng bộ hồ sơ, CRUD admin và đồng bộ Keycloak nên khó theo dõi.</t>
  </si>
  <si>
    <t>Các ghi chú và chuẩn lập trình</t>
  </si>
  <si>
    <t>Code có thực hiện theo đúng chuẩn lập trình không?</t>
  </si>
  <si>
    <t>Tuân theo quy ước Java/Spring. Còn vài chỗ lệch: dùng tên lớp đầy đủ thay vì import (UserServiceImpl.java:28-29, :133; UserController.java:50), @Data trên entity JPA (User.java:10) sinh equals/hashCode theo mọi trường.</t>
  </si>
  <si>
    <t>Tên biến</t>
  </si>
  <si>
    <t>camelCase, có nghĩa: keycloakUserId, currentBalance, newBalance (LoyaltyPointServiceImpl.java:76-77). Chỉ vài tên viết tắt cục bộ như kcUser, tx.</t>
  </si>
  <si>
    <t>Căn lề</t>
  </si>
  <si>
    <t>Thụt lề 4 khoảng trắng đồng nhất ở cả user-service và api-gateway; chỉ có vài dòng trống chứa khoảng trắng thừa (UserServiceImpl.java:57).</t>
  </si>
  <si>
    <t>Kiểu dấu ngoặc</t>
  </si>
  <si>
    <t>Kiểu K&amp;R nhất quán. KeycloakAdminClient.java:84-85, :121-122, :127-128 viết try/catch trên một dòng, khác phong cách phần còn lại.</t>
  </si>
  <si>
    <t>Các file source có đầy đủ tiêu đề đầu trang và thông tin bản quyền không?</t>
  </si>
  <si>
    <t>Không file nào có header tác giả/ngày/bản quyền; file bắt đầu thẳng bằng package (vd UserServiceImpl.java:1, UserHeaderFilter.java:1).</t>
  </si>
  <si>
    <t>Các khai báo biến có được ghi chú đúng cách không?</t>
  </si>
  <si>
    <t>Chỉ một số trường entity có chú thích (User.java:38-55: customerTier, segmentationLabel, isBlacklisted, loyaltyPoints). Các trường cấu hình trong KeycloakAdminClient.java:28-38 và DTO như CreateUserRequest.java không có ghi chú.</t>
  </si>
  <si>
    <t>Các thành phần dữ liệu dạng số có được khai báo rõ ràng không?</t>
  </si>
  <si>
    <t>Hằng tiền tệ được đặt tên và dùng BigDecimal (LoyaltyPointPolicy.java:17-18). Vẫn còn số magic: hệ số hạng 1.2/1.5/2.0 viết thẳng trong switch (LoyaltyPointPolicy.java:34-36), timeout 3 giây (UserHeaderFilter.java:127).</t>
  </si>
  <si>
    <t>Toàn bộ các functions, methods và classes có được ghi chú lại không</t>
  </si>
  <si>
    <t>KeycloakAdminClient và AdminUserController có Javadoc từng hàm, nhưng UserServiceImpl, LoyaltyPointServiceImpl, AddressServiceImpl không có Javadoc cho hàm public nào.</t>
  </si>
  <si>
    <t>Các đoạn thuật toán phức tap và các đoạn tối ưu code có được ghi chú đầy đủ không?</t>
  </si>
  <si>
    <t>Có giải thích việc liên kết tài khoản theo email (UserServiceImpl.java:39-42), lý do khóa PESSIMISTIC_WRITE (UserRepository.java:49-54), cache auto-provision trong Redis (UserHeaderFilter.java:22-38, :103-108).</t>
  </si>
  <si>
    <t>Các đoạn code được đánh dấu hủy bỏ có được giải thích không?</t>
  </si>
  <si>
    <t>Đã grep toàn bộ user-service và api-gateway, không có đoạn code bị comment-out hay TODO/FIXME.</t>
  </si>
  <si>
    <t>Các ghi chú có được cập nhật kịp thời không?</t>
  </si>
  <si>
    <t>UserServiceImpl.java:58-63 nói user có thể được getUserByKeycloakId() tạo với dữ liệu placeholder, nhưng hàm này nay chỉ ném lỗi (UserServiceImpl.java:167-173). user-service SecurityConfig.java:37-38 vẫn ghi 'nên thêm IP whitelist' dù InternalApiKeyFilter đã có.</t>
  </si>
  <si>
    <t>Các ghi chú có rõ ràng và đúng không?</t>
  </si>
  <si>
    <t>Javadoc user-service SecurityConfig.java:17-24 nói tầng 2 'verify lại JWT' để an toàn khi bypass Gateway, nhưng controller lấy danh tính từ header X-User-Id (UserController.java:39) chứ không từ sub của JWT, nên lời giải thích này gây hiểu sai.</t>
  </si>
  <si>
    <t>Các ghi chú có tập trung vào giải thích tại sao chứ không phải như thế nào không?</t>
  </si>
  <si>
    <t>Phần lớn comment nói lý do: vì sao khóa hàng khi trừ điểm (UserRepository.java:49-54), vì sao không đọc X-User-Id trong rate limiter (RateLimiterConfig.java:13-17), vì sao che username công khai (UserController.java:143-144).</t>
  </si>
  <si>
    <t>Tên của mỗi thủ tục/hàm/class có nói lên thủ tục/hàm/class đó làm gì hay không?</t>
  </si>
  <si>
    <t>Đa số đúng (adjustPoints, redeemForOrder, maskForPublic). Ngoại lệ: getCurrentUser (UserServiceImpl.java:33) còn tạo mới, liên kết lại email và ghi DB, tên 'get' che giấu tác dụng phụ.</t>
  </si>
  <si>
    <t>Xử lý lỗi</t>
  </si>
  <si>
    <t>Có xử lý lỗi mỗi khi function return không?</t>
  </si>
  <si>
    <t>Future của kafkaTemplate.send không được kiểm tra (UserEventProducer.java:37). getUserRealmRoles trả List rỗng khi lỗi (KeycloakAdminClient.java:126-129) nên setUserRoles (KeycloakAdminClient.java:142-147) không phân biệt được 'không có role' với 'gọi Keycloak lỗi'.</t>
  </si>
  <si>
    <t>Các trường hợp ngoại lệ có được xử lý không?</t>
  </si>
  <si>
    <t>GlobalExceptionHandler.java ánh xạ ResourceNotFound→404, IllegalArgument→400, KeycloakSync→502, DataIntegrityViolation→409, validation→400, còn lại→500. Gateway có fallback circuit breaker (FallbackController.java).</t>
  </si>
  <si>
    <t>Các hàm gọi đến có được thông báo khi có lỗi không?</t>
  </si>
  <si>
    <t>updateBlacklist nuốt lỗi Keycloak (UserServiceImpl.java:250-254) nên API vẫn trả 'Tài khoản đã bị khóa' trong khi user còn đăng nhập được; tương tự adminDeleteUser (UserServiceImpl.java:394-398) và adminUpdateUser (UserServiceImpl.java:372-379).</t>
  </si>
  <si>
    <t>Quản lý tài nguyên</t>
  </si>
  <si>
    <t>Các bộ nhớ được cấp phát có được giải phóng không?</t>
  </si>
  <si>
    <t>Java/Spring dùng GC, không có cấp phát thủ công. Không thấy cache tự quản lý trong bộ nhớ ở user-service hay gateway.</t>
  </si>
  <si>
    <t>Toàn bộ các đối tượng (Database connections, Sockets, Files, etc.) có được giải phóng ngay cả trong trường hợp có lỗi không?</t>
  </si>
  <si>
    <t>Dùng try-with-resources cho Response của Keycloak (KeycloakAdminClient.java:69), InputStream MinIO (MinioStorageServiceImpl.java:55) và file JSON tỉnh/thành (LocationService.java:38); kết nối DB do Spring quản lý. Riêng client Keycloak không được close() khi tắt ứng dụng (không có @PreDestroy).</t>
  </si>
  <si>
    <t>Có đối tượng nào được giải phóng &gt; 1 lần không?</t>
  </si>
  <si>
    <t>Không thấy close/delete lặp lại trên cùng một tài nguyên.</t>
  </si>
  <si>
    <t>Thread Safeness</t>
  </si>
  <si>
    <t>Việc thay đổi giá trị của các biến dùng trong nhiều thread có được đồng bộ không?</t>
  </si>
  <si>
    <t>synchronized(keycloakUserId.intern()) nằm bên trong @Transactional (UserServiceImpl.java:32-36, :153-156) nên khóa được nhả trước khi commit; request song song vẫn có thể insert trùng, và khóa chỉ có tác dụng trong một JVM. redeemForOrder kiểm tra idempotency theo orderId khi chưa khóa (LoyaltyPointServiceImpl.java:157-168) và bảng loyalty_point_transactions không có unique (order_id, source_type), nên hai request đồng thời có thể trừ điểm 2 lần.</t>
  </si>
  <si>
    <t>Các đối tượng dùng trong nhiều thread có được đồng bộ không?</t>
  </si>
  <si>
    <t>Bean singleton không giữ trạng thái thay đổi; client Keycloak (KeycloakAdminClient.java:40) và WebClient.Builder chỉ gán một lần lúc khởi tạo. adjustPoints khóa hàng user bằng findByIdForUpdate (LoyaltyPointServiceImpl.java:40, UserRepository.java:55-57).</t>
  </si>
  <si>
    <t>Có giải phóng các lock theo đúng thứ tự không?</t>
  </si>
  <si>
    <t>Khóa monitor theo keycloakUserId được nhả khi ra khỏi khối synchronized, trước khi transaction bao ngoài commit (UserServiceImpl.java:36 so với :32), nên thứ tự nhả khóa và kết thúc transaction bị đảo.</t>
  </si>
  <si>
    <t>Có khả năng xảy ra deadlock hoặc tranh chấp lock không?</t>
  </si>
  <si>
    <t>Ít khả năng deadlock vì chỉ có một khóa cho mỗi user. Có tranh chấp: thread giữ monitor trong lúc chờ DB (UserServiceImpl.java:36-55), và mọi thao tác điểm của cùng user phải xếp hàng qua PESSIMISTIC_WRITE (UserRepository.java:55).</t>
  </si>
  <si>
    <t>Các cấu trúc điều khiển</t>
  </si>
  <si>
    <t>Các điều kiện kết thúc vòng lặp có chính xác không?</t>
  </si>
  <si>
    <t>Vòng lặp chủ yếu là for-each/stream trên collection hữu hạn (LocationService.java:42-66, KeycloakAdminClient.java:133-136).</t>
  </si>
  <si>
    <t>Code có bị lặp vô hạn không định trước không?</t>
  </si>
  <si>
    <t>Không có while/đệ quy không giới hạn trong các file đã xem.</t>
  </si>
  <si>
    <t>Các vòng lặp lồng nhau có được giảm đến mức ít nhất?</t>
  </si>
  <si>
    <t>Chỉ có vòng tỉnh→phường trong LocationService.java:42-66, là cần thiết. Tuy vậy mỗi phường save() riêng (LocationService.java:59), nên khi khởi động lần đầu sinh hàng nghìn câu INSERT; dùng saveAll sẽ tốt hơn.</t>
  </si>
  <si>
    <t>Performance</t>
  </si>
  <si>
    <t>Có xảy ra trường hợp trùng lặp cả một object trong khi có thể tham chiếu đến nó không?</t>
  </si>
  <si>
    <t>Việc copy entity sang DTO là có chủ đích. Code dựng DTO bị lặp giữa mapToProfileResponse và mapToAdminDetail (UserServiceImpl.java:523-558), nhưng đây là lặp code chứ không nhân bản object.</t>
  </si>
  <si>
    <t>Code có ảnh hưởng đến kích thước, tốc độ hoặc bộ nhớ sử dụng không?</t>
  </si>
  <si>
    <t>searchUsers dùng LOWER(...) LIKE '%x%' trên 4 cột (UserRepository.java:30-38) nên quét toàn bảng; adminGetUserStats chạy 6 câu count (UserServiceImpl.java:476-483); show-sql: true (user-service application.yml:19) in mọi câu SQL ra log.</t>
  </si>
  <si>
    <t>Code đã được viết tối ưu chưa?</t>
  </si>
  <si>
    <t>Các điểm ở câu trên. Thêm nữa activeUsers = total − blacklisted (UserServiceImpl.java:488) bỏ qua user active=false, còn newUsersThisWeek/Month luôn là 0 (UserServiceImpl.java:490-491).</t>
  </si>
  <si>
    <t>Các hàm</t>
  </si>
  <si>
    <t>Các biến của hàm có được xác minh rõ ràng trong code không?</t>
  </si>
  <si>
    <t>PointUpdateRequest không có ràng buộc Bean Validation nào (sourceType/calculationMode là chuỗi tự do, PointUpdateRequest.java:14-31). CreateUserRequest.customerTier không validate (CreateUserRequest.java:30), trong khi TierUpdateRequest có @Pattern. Tham số size của lịch sử điểm không có giới hạn trên (UserController.java:123).</t>
  </si>
  <si>
    <t>Các mảng có được kiểm tra trường hợp ngoài khoảng không?</t>
  </si>
  <si>
    <t>maskForPublic kiểm tra độ dài ≤ 6 trước khi cắt code point (UserController.java:164-167); substring có Math.min (UserServiceImpl.java:503).</t>
  </si>
  <si>
    <t>Các biến có được khai báo trước khi sử dụng không?</t>
  </si>
  <si>
    <t>Trình biên dịch Java bắt buộc điều này; không thấy biến dùng trước khi gán.</t>
  </si>
  <si>
    <t>Thủ tục/hàm/class có dài quá không? có thể làm đơn giản bằng cách tách ra thành những thủ tục/hàm/class nhỏ hơn không?</t>
  </si>
  <si>
    <t>UserServiceImpl 559 dòng nên tách thành ProfileSyncService và AdminUserService. getCurrentUser dài 76 dòng (UserServiceImpl.java:31-108), có thể tách thành findOrLink() và syncClaims().</t>
  </si>
  <si>
    <t>[PH1] Service downstream có lấy danh tính người dùng từ JWT đã xác thực thay vì tin header X-User-Id không?</t>
  </si>
  <si>
    <t>UserController.java:39 đọc @RequestHeader X-User-Id và không so với jwt.sub. Gateway có xóa header giả (UserHeaderFilter.java:63), nhưng nếu gọi thẳng cổng 8085 (docker-compose.yml:303) thì bất kỳ token hợp lệ nào cũng mạo danh được người khác.</t>
  </si>
  <si>
    <t>[PH1] Gateway có chặn được mọi đường vào API nội bộ không?</t>
  </si>
  <si>
    <t>Discovery locator đang bật (api-gateway application.yml:18-21) nên có route tự động /user-service/**; path /user-service/api/internal/** không khớp denyAll('/api/internal/**') (gateway SecurityConfig.java:47), chỉ còn lớp X-Internal-Api-Key ở service với giá trị mặc định 'dev-internal-api-key' (user-service application.yml:61).</t>
  </si>
  <si>
    <t>[PH1] Bí mật (client secret, API key, mật khẩu) có tránh hard-code không?</t>
  </si>
  <si>
    <t>Client secret Keycloak nằm làm giá trị mặc định @Value (KeycloakAdminClient.java:37); application.yml có INTERNAL_API_KEY mặc định (:61) và MinIO secret mặc định (:48).</t>
  </si>
  <si>
    <t>[PH1] Thao tác phân quyền và đồng bộ DB–Keycloak có giữ trạng thái nhất quán khi một phía lỗi không?</t>
  </si>
  <si>
    <t>adminCreateUser tạo user Keycloak trước, nếu save DB lỗi thì không có bù trừ (UserServiceImpl.java:277-296). setUserRoles xóa mọi realm role hiện có, kể cả default-roles-ecommerce-realm (gồm ROLE_CUSTOMER, offline_access), rồi âm thầm bỏ qua tên role không tồn tại (KeycloakAdminClient.java:133-147).</t>
  </si>
  <si>
    <t>[PH1] Cấu hình realm và vòng đời tài khoản có đủ biện pháp bảo vệ đăng nhập không?</t>
  </si>
  <si>
    <t>ecommerce-realm-realm.json đặt bruteForceProtected=false, passwordPolicy=null, verifyEmail=false. Tài khoản bị xóa mềm (active=false) vẫn được liên kết lại theo email khi đăng ký lại (UserServiceImpl.java:43-51), và getCurrentUser không kiểm tra active/isBlacklisted.</t>
  </si>
  <si>
    <t>* Điểm mạnh:
- Phân tầng rõ, ủy quyền xác thực cho Keycloak (OIDC/JWT) và kiểm tra JWT ở cả gateway lẫn user-service.
- Gateway xóa mọi header X-User-* do client gửi trước khi tự gắn từ JWT (UserHeaderFilter.java:63), rate limit theo user/IP bằng Redis.
- Có bảo vệ cạnh tranh khi trừ điểm bằng PESSIMISTIC_WRITE kèm comment giải thích (UserRepository.java:49-57); redeem/refund có idempotency theo orderId.
- InternalApiKeyFilter của user-service fail-closed khi chưa cấu hình key; hồ sơ công khai che username (maskForPublic).
- GlobalExceptionHandler trả mã lỗi rõ (NOT_FOUND, INVALID_PARAM, KEYCLOAK_SYNC_FAILED, DATA_CONFLICT).</t>
  </si>
  <si>
    <t>1. Lấy keycloakUserId từ JwtAuthenticationToken (jwt.getSubject()) ở user-service thay vì header X-User-Id, hoặc kiểm tra header khớp với sub.
2. Tắt spring.cloud.gateway.discovery.locator.enabled hoặc denyAll thêm '/*/api/internal/**'; bỏ giá trị mặc định của INTERNAL_API_KEY và client-secret trong code/yml.
3. Bỏ synchronized(intern()); dựa vào unique constraint keycloak_user_id và bắt DataIntegrityViolationException rồi đọc lại. Thêm unique (order_id, source_type) cho loyalty_point_transactions.
4. Khi Keycloak lỗi ở khóa/xóa/sửa user, trả lỗi (KeycloakSyncException) thay vì báo thành công; thêm bù trừ (xóa user Keycloak) khi adminCreateUser lỗi ở bước DB.
5. setUserRoles chỉ thêm/bớt trong tập ROLE_ADMIN/ROLE_STAFF/ROLE_CUSTOMER, giữ default-roles; báo lỗi khi có tên role không tồn tại.
6. Bật bruteForceProtected, đặt passwordPolicy và verifyEmail trong realm; chặn liên kết email với bản ghi active=false.
7. Tách UserServiceImpl, sửa thống kê activeUsers/newUsers, tắt show-sql, giới hạn size phân trang, và cập nhật các comment đã lỗi thời.</t>
  </si>
  <si>
    <t>Module + Function List</t>
  </si>
  <si>
    <t>ID</t>
  </si>
  <si>
    <t>Mô tả</t>
  </si>
  <si>
    <t>Phân hệ: PH1 – Tài khoản, xác thực &amp; phân quyền</t>
  </si>
  <si>
    <t>FR_01</t>
  </si>
  <si>
    <t>Đăng nhập, đăng ký &amp; đăng xuất</t>
  </si>
  <si>
    <t>Đăng nhập/đăng ký qua Keycloak (theme techstore), đăng xuất, kiểm tra thông tin sai</t>
  </si>
  <si>
    <t>FR_02</t>
  </si>
  <si>
    <t>Hồ sơ cá nhân &amp; sổ địa chỉ</t>
  </si>
  <si>
    <t>Xem tổng quan hồ sơ, cập nhật họ tên/SĐT, thêm/xóa địa chỉ nhận hàng, responsive</t>
  </si>
  <si>
    <t>FR_03</t>
  </si>
  <si>
    <t>Phân quyền truy cập</t>
  </si>
  <si>
    <t>Chặn khách chưa đăng nhập, chặn khách hàng vào /admin, quyền STAFF so với ADMIN</t>
  </si>
  <si>
    <t>FR_04</t>
  </si>
  <si>
    <t>Quản lý khách hàng (Admin)</t>
  </si>
  <si>
    <t>Tab Customers: tìm kiếm, đổi hạng, đặt lại mật khẩu, tạo người dùng</t>
  </si>
  <si>
    <t>TEST CASE OVERVIEW</t>
  </si>
  <si>
    <t>Feature ID</t>
  </si>
  <si>
    <t>Feature Name</t>
  </si>
  <si>
    <t>Total</t>
  </si>
  <si>
    <t>Pending</t>
  </si>
  <si>
    <t>Pass</t>
  </si>
  <si>
    <t>Fail</t>
  </si>
  <si>
    <t>Errors</t>
  </si>
  <si>
    <t>Pass Rate</t>
  </si>
  <si>
    <t>UI/UX</t>
  </si>
  <si>
    <t>Function</t>
  </si>
  <si>
    <t>Negative</t>
  </si>
  <si>
    <t>Errors in UI/UX</t>
  </si>
  <si>
    <t>Errors in Function</t>
  </si>
  <si>
    <t>Errors in Negative</t>
  </si>
  <si>
    <t>Function ID</t>
  </si>
  <si>
    <t>Feature</t>
  </si>
  <si>
    <t>Assignee</t>
  </si>
  <si>
    <t>ĐÁNH GIÁ VÀ PHÂN TÍCH KẾT QUẢ KIỂM THỬ:</t>
  </si>
  <si>
    <t>1. TỔNG QUAN KẾT QUẢ</t>
  </si>
  <si>
    <t>1. TỔNG QUAN KẾT QUẢ
- Tổng cộng 25 test case được thực hiện, trong đó 21 Pass (84%) và 4 Fail (16%), không có Pending.
- Phân loại theo nhóm: UI/UX 5, Function 7, Negative 13.
Đăng nhập, đăng ký và đăng xuất qua Keycloak cùng cơ chế chặn route hoạt động tốt. Lỗi tập trung ở việc lưu hồ sơ, kiểm tra SĐT trong sổ địa chỉ, mã lỗi phân quyền và responsive.</t>
  </si>
  <si>
    <t>2. PHÂN TÍCH KẾT QUẢ</t>
  </si>
  <si>
    <t>2. PHÂN TÍCH KẾT QUẢ
Nhóm UI/UX (5 test case): 4 Pass, 1 Fail. Ở 375px trang hồ sơ rộng 394px, có cuộn ngang do thanh tiện ích header tràn (UI_PH1_FR02_008).
Nhóm Function (7 test case): 6 Pass, 1 Fail. Đổi họ tên báo "Cập nhật hồ sơ thành công." nhưng tải lại thì trở về tên cũ (UI_PH1_FR02_002). Đăng nhập, đăng xuất, thêm/xóa địa chỉ, STAFF vào /admin, tìm kiếm và đổi hạng thành viên (admin) đều đạt.
Nhóm Negative (13 test case): 11 Pass, 2 Fail.
- Sổ địa chỉ lưu SĐT "abcxyz" (UI_PH1_FR02_007).
- STAFF đổi hạng bị chặn nhưng nhận HTTP 500 và thông báo "Đã xảy ra lỗi hệ thống" thay vì 403/không có quyền (UI_PH1_FR03_005).
Điểm tích cực: sai mật khẩu và chuỗi SQL injection đều bị từ chối; form đăng ký chặn SĐT sai định dạng và mật khẩu nhập lại không khớp, không tạo user; họ tên chứa thẻ &lt;img onerror&gt; hiển thị dạng text; khách chưa đăng nhập và khách hàng không vào được trang cần quyền; STAFF không thấy nút xóa sản phẩm; đặt lại mật khẩu không khớp bị chặn ở client.</t>
  </si>
  <si>
    <t>3. PHÂN TÍCH NGUYÊN NHÂN GỐC</t>
  </si>
  <si>
    <t>3. PHÂN TÍCH NGUYÊN NHÂN GỐC
- user-service đồng bộ hồ sơ từ header/token Keycloak (X-User-Name) mỗi lần gọi GET /users/me, nên ghi đè fullName vừa lưu bằng PUT /users/me.
- Thiếu kiểm tra định dạng SĐT ở form sổ địa chỉ (FE) và trong AddressRequest (BE chỉ có @NotBlank), trong khi hồ sơ đã có @Pattern.
- GlobalExceptionHandler (catch Exception) của user-service bắt AccessDeniedException từ @PreAuthorize và trả 500 (F2); FE hiển thị thông điệp chung.
- Header không thu gọn các mục tiện ích ở màn hình dưới 400px.</t>
  </si>
  <si>
    <t>4. MỨC ĐỘ NGHIÊM TRỌNG</t>
  </si>
  <si>
    <t>4. MỨC ĐỘ NGHIÊM TRỌNG
- Trung bình (Medium): người dùng không đổi được họ tên dù được báo thành công; SĐT sai định dạng trong sổ địa chỉ có thể đi vào đơn hàng.
- Thấp (Low): mã lỗi 500 và thông báo chung khi bị từ chối quyền (dữ liệu không bị thay đổi); header tràn ngang ở 375px.</t>
  </si>
  <si>
    <t>Objective</t>
  </si>
  <si>
    <t>Type</t>
  </si>
  <si>
    <t>Data test</t>
  </si>
  <si>
    <t>Step</t>
  </si>
  <si>
    <t>Expected Result</t>
  </si>
  <si>
    <t>Result</t>
  </si>
  <si>
    <t>Note</t>
  </si>
  <si>
    <t>FR_01 – Đăng nhập, đăng ký &amp; đăng xuất</t>
  </si>
  <si>
    <t>UI_PH1_FR01_001</t>
  </si>
  <si>
    <t>Kiểm tra giao diện trang đăng nhập Keycloak</t>
  </si>
  <si>
    <t>URL: /login</t>
  </si>
  <si>
    <t>1. Mở http://localhost:5173/login (tự chuyển sang Keycloak :8083).
2. Quan sát bố cục form.
3. Nhập mật khẩu "abc", tích "Hiển thị mật khẩu".</t>
  </si>
  <si>
    <t>Hiển thị tiêu đề "Đăng nhập AuraTech", ô "Số điện thoại hoặc Email" và "Mật khẩu" đúng placeholder, nút "Đăng nhập", liên kết "Quên mật khẩu?" và "Đăng ký ngay"; tích "Hiển thị mật khẩu" thì mật khẩu hiện dạng chữ.</t>
  </si>
  <si>
    <t>UI_PH1_FR01_002</t>
  </si>
  <si>
    <t>Đăng nhập thành công bằng tài khoản khách hàng</t>
  </si>
  <si>
    <t>customer / 12345678</t>
  </si>
  <si>
    <t>1. Mở /login.
2. Nhập tên đăng nhập và mật khẩu.
3. Bấm "Đăng nhập".</t>
  </si>
  <si>
    <t>Quay về trang chủ "/", hiện toast "Đăng nhập thành công! Chào mừng ... quay trở lại.", header đổi "Đăng nhập" thành "Tài khoản".</t>
  </si>
  <si>
    <t>UI_PH1_FR01_003</t>
  </si>
  <si>
    <t>Đăng nhập với mật khẩu sai</t>
  </si>
  <si>
    <t>customer / SaiMatKhau!99</t>
  </si>
  <si>
    <t>1. Mở /login.
2. Nhập đúng tên đăng nhập, sai mật khẩu.
3. Bấm "Đăng nhập".</t>
  </si>
  <si>
    <t>Ở lại trang Keycloak, hiển thị thông báo sai tên đăng nhập hoặc mật khẩu, không đăng nhập.</t>
  </si>
  <si>
    <t>Bằng chứng: Thông báo hiển thị: Invalid username or password.</t>
  </si>
  <si>
    <t>UI_PH1_FR01_004</t>
  </si>
  <si>
    <t>Đăng nhập bằng chuỗi SQL injection</t>
  </si>
  <si>
    <t>Username: ' OR '1'='1' -- ; Password: ' OR '1'='1</t>
  </si>
  <si>
    <t>1. Mở /login.
2. Nhập chuỗi SQL injection vào cả hai ô.
3. Bấm "Đăng nhập".</t>
  </si>
  <si>
    <t>Bị từ chối như thông tin sai, ở lại trang đăng nhập, không có lỗi hệ thống.</t>
  </si>
  <si>
    <t>UI_PH1_FR01_005</t>
  </si>
  <si>
    <t>Kiểm tra giao diện trang đăng ký</t>
  </si>
  <si>
    <t>URL: /register</t>
  </si>
  <si>
    <t>1. Mở http://localhost:5173/register.
2. Quan sát các trường của form.</t>
  </si>
  <si>
    <t>Có đủ ô Họ, Tên, Số điện thoại, Email (type=email), Mật khẩu, Nhập lại mật khẩu với placeholder đúng và nút "Hoàn tất đăng ký".</t>
  </si>
  <si>
    <t>UI_PH1_FR01_006</t>
  </si>
  <si>
    <t>Đăng ký với số điện thoại sai định dạng</t>
  </si>
  <si>
    <t>SĐT: abc123; Họ/Tên/Email/Mật khẩu hợp lệ</t>
  </si>
  <si>
    <t>1. Mở /register.
2. Điền form với SĐT "abc123".
3. Bấm "Hoàn tất đăng ký".</t>
  </si>
  <si>
    <t>Form bị chặn, báo SĐT phải bắt đầu bằng 0 và có 10–11 chữ số; không tạo tài khoản.</t>
  </si>
  <si>
    <t>UI_PH1_FR01_007</t>
  </si>
  <si>
    <t>Đăng ký với mật khẩu nhập lại không khớp</t>
  </si>
  <si>
    <t>Mật khẩu: abc12345; Nhập lại: xyz98765; SĐT, email ngẫu nhiên</t>
  </si>
  <si>
    <t>1. Mở /register.
2. Điền form, hai ô mật khẩu khác nhau.
3. Bấm "Hoàn tất đăng ký".
4. Kiểm tra qua API admin không có user mới.</t>
  </si>
  <si>
    <t>Báo "Mật khẩu nhập lại không trùng khớp", ở lại trang đăng ký, không tạo user.</t>
  </si>
  <si>
    <t>Bằng chứng: Thông báo: Mật khẩu nhập lại không trùng khớp! Vui lòng kiểm tra lại.</t>
  </si>
  <si>
    <t>UI_PH1_FR01_008</t>
  </si>
  <si>
    <t>Đăng xuất rồi truy cập trang cần đăng nhập</t>
  </si>
  <si>
    <t>customer (phiên đăng nhập mới)</t>
  </si>
  <si>
    <t>1. Đăng nhập customer.
2. Vào /profile, bấm "Đăng xuất".
3. Mở /cart.</t>
  </si>
  <si>
    <t>Sau đăng xuất quay về "/", header hiện "Đăng nhập"; mở /cart bị chuyển sang trang đăng nhập Keycloak.</t>
  </si>
  <si>
    <t>FR_02 – Hồ sơ cá nhân &amp; sổ địa chỉ</t>
  </si>
  <si>
    <t>UI_PH1_FR02_001</t>
  </si>
  <si>
    <t>Kiểm tra giao diện tổng quan hồ sơ</t>
  </si>
  <si>
    <t>customer, /profile</t>
  </si>
  <si>
    <t>1. Đăng nhập customer.
2. Mở /profile.</t>
  </si>
  <si>
    <t>Hiện ảnh đại diện, họ tên, thẻ thống kê (Đơn hàng, Tích lũy, Điểm thưởng), mục "Đơn hàng gần đây", "Thông tin hồ sơ" và đủ menu bên trái.</t>
  </si>
  <si>
    <t>UI_PH1_FR02_002</t>
  </si>
  <si>
    <t>Cập nhật họ tên thành công và lưu bền</t>
  </si>
  <si>
    <t>Họ tên mới: "hai Thanh UI" (khôi phục sau test)</t>
  </si>
  <si>
    <t>1. Mở /profile?tab=account.
2. Sửa ô Họ tên.
3. Bấm "LƯU THAY ĐỔI".
4. Tải lại trang.</t>
  </si>
  <si>
    <t>Hiện "Cập nhật hồ sơ thành công."; sau khi tải lại vẫn hiển thị họ tên mới.</t>
  </si>
  <si>
    <t>Hiện "Cập nhật hồ sơ thành công." nhưng tải lại trang thì họ tên trở về "hai Thanh". Kiểm chứng API: PUT /users/me trả fullName mới, nhưng GET /users/me ngay sau đó trả lại tên cũ (hồ sơ bị ghi đè bằng tên trong token Keycloak mỗi lần tải).</t>
  </si>
  <si>
    <t>UI_PH1_FR02_003</t>
  </si>
  <si>
    <t>Cập nhật số điện thoại sai định dạng</t>
  </si>
  <si>
    <t>SĐT: abc123</t>
  </si>
  <si>
    <t>1. Mở /profile?tab=account.
2. Nhập SĐT "abc123".
3. Bấm "LƯU THAY ĐỔI".</t>
  </si>
  <si>
    <t>Báo lỗi số điện thoại không hợp lệ, không lưu; SĐT trên server giữ nguyên.</t>
  </si>
  <si>
    <t>Bằng chứng: Thông báo lỗi: Dữ liệu gửi lên chưa hợp lệ phoneNumber: Số điện thoại không hợp lệ</t>
  </si>
  <si>
    <t>UI_PH1_FR02_004</t>
  </si>
  <si>
    <t>Họ tên chứa mã HTML/script hiển thị dạng text (XSS)</t>
  </si>
  <si>
    <t>Họ tên: &lt;img src=x onerror=alert(1)&gt;XSS</t>
  </si>
  <si>
    <t>1. Mở /profile?tab=account.
2. Nhập họ tên chứa thẻ img onerror.
3. Bấm "LƯU THAY ĐỔI", quan sát tiêu đề hồ sơ.</t>
  </si>
  <si>
    <t>Tên hiển thị nguyên văn dạng chữ, không chạy script, không có hộp thoại alert, không chèn thẻ img vào trang.</t>
  </si>
  <si>
    <t>Bằng chứng: PUT trả fullName=&lt;img src=x onerror=alert(1)&gt;XSS; tiêu đề h2 hiển thị nguyên văn dạng text: true; không có hộp thoại alert, không chèn thẻ img.</t>
  </si>
  <si>
    <t>UI_PH1_FR02_005</t>
  </si>
  <si>
    <t>Thêm và xóa địa chỉ nhận hàng</t>
  </si>
  <si>
    <t>Người nhận: UI Test Nguoi Nhan; SĐT 0987654321; Tỉnh/Phường: lựa chọn đầu tiên; Địa chỉ: Số 1 Đường Kiểm Thử</t>
  </si>
  <si>
    <t>1. Mở /profile?tab=addresses.
2. Điền form, chọn tỉnh rồi phường/xã.
3. Bấm "THÊM ĐỊA CHỈ".
4. Bấm "Xóa" ở thẻ địa chỉ vừa thêm.</t>
  </si>
  <si>
    <t>Địa chỉ mới xuất hiện trong sổ địa chỉ; bấm Xóa thì địa chỉ biến mất.</t>
  </si>
  <si>
    <t>UI_PH1_FR02_006</t>
  </si>
  <si>
    <t>Thêm địa chỉ khi bỏ trống trường bắt buộc</t>
  </si>
  <si>
    <t>Tất cả các ô để trống</t>
  </si>
  <si>
    <t>1. Mở /profile?tab=addresses.
2. Bấm "THÊM ĐỊA CHỈ" khi form trống.</t>
  </si>
  <si>
    <t>Trình duyệt chặn gửi form (trường bắt buộc), không gọi API thêm địa chỉ.</t>
  </si>
  <si>
    <t>UI_PH1_FR02_007</t>
  </si>
  <si>
    <t>Thêm địa chỉ với số điện thoại sai định dạng</t>
  </si>
  <si>
    <t>Người nhận: UI Test SDT Sai; SĐT: abcxyz; các ô khác hợp lệ</t>
  </si>
  <si>
    <t>1. Mở /profile?tab=addresses.
2. Điền form với SĐT "abcxyz".
3. Bấm "THÊM ĐỊA CHỈ".</t>
  </si>
  <si>
    <t>Báo lỗi số điện thoại không hợp lệ, không lưu địa chỉ.</t>
  </si>
  <si>
    <t>Địa chỉ có SĐT "abcxyz" vẫn được lưu và hiện trong sổ địa chỉ: form không kiểm tra định dạng và BE (AddressRequest) chỉ kiểm tra @NotBlank. Địa chỉ test đã được xóa sau ca. Bằng chứng: Địa chỉ với SĐT "abcxyz" vẫn được lưu và hiển thị trong sổ địa chỉ.</t>
  </si>
  <si>
    <t>UI_PH1_FR02_008</t>
  </si>
  <si>
    <t>Hiển thị trang hồ sơ trên màn hình 375px</t>
  </si>
  <si>
    <t>Viewport 375×800</t>
  </si>
  <si>
    <t>1. Đặt kích thước màn hình 375×800.
2. Mở /profile.
3. Đo độ rộng nội dung trang.</t>
  </si>
  <si>
    <t>Menu bên trái được thay bằng nút "Xem tất cả"; trang không bị cuộn ngang (độ rộng nội dung ≤ 375px).</t>
  </si>
  <si>
    <t>Nút "Xem tất cả" hiển thị đúng, nhưng trang rộng 394px &gt; 375px nên có cuộn ngang. Phần tràn là thanh tiện ích của header (nav "Tiện ích" với Tra cứu/Yêu thích/Giỏ hàng/Tài khoản), cạnh phải ở khoảng 394px. Bằng chứng: scrollWidth=394; phần tử tràn: nav.flex.items-center.gap-1[394] "local_shippingTra cứufavoriteY" ; a.p-1.5.md:p-2.text-white[394] "account_circleTài khoản" ; span.material-symbols-outlined.text-[20px].md:text-lg[383] "account_circle"</t>
  </si>
  <si>
    <t>FR_03 – Phân quyền truy cập</t>
  </si>
  <si>
    <t>UI_PH1_FR03_001</t>
  </si>
  <si>
    <t>Khách chưa đăng nhập mở trang hồ sơ</t>
  </si>
  <si>
    <t>Trình duyệt không có phiên đăng nhập; URL /profile</t>
  </si>
  <si>
    <t>1. Mở /profile khi chưa đăng nhập.</t>
  </si>
  <si>
    <t>Bị chuyển sang trang đăng nhập Keycloak.</t>
  </si>
  <si>
    <t>UI_PH1_FR03_002</t>
  </si>
  <si>
    <t>Khách hàng mở trang quản trị</t>
  </si>
  <si>
    <t>customer (ROLE_CUSTOMER); URL /admin</t>
  </si>
  <si>
    <t>1. Đăng nhập customer.
2. Mở /admin.</t>
  </si>
  <si>
    <t>Bị đẩy về trang chủ "/", không thấy menu quản trị.</t>
  </si>
  <si>
    <t>UI_PH1_FR03_003</t>
  </si>
  <si>
    <t>Nhân viên truy cập trang quản trị</t>
  </si>
  <si>
    <t>staff (ROLE_STAFF)</t>
  </si>
  <si>
    <t>1. Đăng nhập staff.
2. Mở /admin, quan sát menu.</t>
  </si>
  <si>
    <t>Vào được /admin, thấy các mục Dashboard, Order Management, Customers, Product List, Quản Lý Tồn Kho, Transaction.</t>
  </si>
  <si>
    <t>UI_PH1_FR03_004</t>
  </si>
  <si>
    <t>Nhân viên không thấy nút xóa sản phẩm</t>
  </si>
  <si>
    <t>staff; tab Product List</t>
  </si>
  <si>
    <t>1. Đăng nhập staff.
2. Mở tab Product List.
3. Quan sát cột Thao tác.</t>
  </si>
  <si>
    <t>Có nút "Chỉnh sửa" nhưng không có nút "Xóa" (chỉ ADMIN được xóa sản phẩm).</t>
  </si>
  <si>
    <t>UI_PH1_FR03_005</t>
  </si>
  <si>
    <t>Nhân viên đổi hạng thành viên bị từ chối</t>
  </si>
  <si>
    <t>staff; user qa_cust2 (GOLD) → SILVER</t>
  </si>
  <si>
    <t>1. Đăng nhập staff, mở tab Customers.
2. Tìm "qa_cust2" (Enter), chọn dòng.
3. Bấm nút hạng "SILVER".</t>
  </si>
  <si>
    <t>Thao tác bị từ chối với thông báo không có quyền (HTTP 403); hạng của qa_cust2 giữ nguyên.</t>
  </si>
  <si>
    <t>Hạng không đổi (đúng), nhưng API trả HTTP 500 và giao diện báo "Lỗi: Đã xảy ra lỗi hệ thống. Vui lòng thử lại sau." thay vì thông báo không có quyền (403). AccessDeniedException bị GlobalExceptionHandler của user-service bắt thành 500 (Finding F2). Bằng chứng: HTTP 500; alert: Lỗi: Đã xảy ra lỗi hệ thống. Vui lòng thử lại sau.; hạng sau thao tác: GOLD</t>
  </si>
  <si>
    <t>FR_04 – Quản lý khách hàng (Admin)</t>
  </si>
  <si>
    <t>UI_PH1_FR04_001</t>
  </si>
  <si>
    <t>Kiểm tra giao diện tab Quản lý khách hàng</t>
  </si>
  <si>
    <t>admin; tab Customers</t>
  </si>
  <si>
    <t>1. Đăng nhập admin.
2. Mở tab Customers.</t>
  </si>
  <si>
    <t>Tiêu đề "Quản Lý Khách Hàng", KPI "Tổng số người dùng", bảng có cột Tên/Email/Điện thoại/Hạng/Trạng thái/Thao tác, nút "Thêm User".</t>
  </si>
  <si>
    <t>UI_PH1_FR04_002</t>
  </si>
  <si>
    <t>Tìm kiếm người dùng theo username</t>
  </si>
  <si>
    <t>Từ khóa: qa_cust2 (nhấn Enter)</t>
  </si>
  <si>
    <t>1. Mở tab Customers.
2. Nhập "qa_cust2" vào ô tìm kiếm, nhấn Enter.</t>
  </si>
  <si>
    <t>Bảng chỉ còn các dòng khớp qa_cust2.</t>
  </si>
  <si>
    <t>UI_PH1_FR04_003</t>
  </si>
  <si>
    <t>Admin đổi hạng thành viên</t>
  </si>
  <si>
    <t>qa_cust2: GOLD → SILVER (khôi phục GOLD sau test)</t>
  </si>
  <si>
    <t>1. Mở tab Customers, tìm và chọn qa_cust2.
2. Bấm nút hạng "SILVER".
3. Kiểm tra hạng qua API.</t>
  </si>
  <si>
    <t>Alert "Đã cập nhật hạng thành viên thành SILVER!"; API trả hạng SILVER.</t>
  </si>
  <si>
    <t>UI_PH1_FR04_004</t>
  </si>
  <si>
    <t>Đặt lại mật khẩu với mật khẩu xác nhận không khớp</t>
  </si>
  <si>
    <t>Mật khẩu mới: abc12345; Xác nhận: xyz12345</t>
  </si>
  <si>
    <t>1. Chọn qa_cust2, bấm "Đặt lại mật khẩu".
2. Nhập hai mật khẩu khác nhau.
3. Bấm "Đặt lại mật khẩu".</t>
  </si>
  <si>
    <t>Alert "Mật khẩu xác nhận không khớp!", không gọi API reset-password.</t>
  </si>
  <si>
    <t>UNIT TESTING REPORT</t>
  </si>
  <si>
    <t>Project: TECHSTORE_2026 | Phân hệ: PH1 – Tài khoản, xác thực &amp; phân quyền | Framework: JUnit 5 + Mockito (Spring Boot 3.2.5, Java 17)</t>
  </si>
  <si>
    <t>Framework</t>
  </si>
  <si>
    <t>JUnit 5 + Mockito (Spring Boot 3.2.5, Java 17)</t>
  </si>
  <si>
    <t>Coverage tool</t>
  </si>
  <si>
    <t>JaCoCo 0.8.11 (CLI, không sửa pom)</t>
  </si>
  <si>
    <t>Database</t>
  </si>
  <si>
    <t>MariaDB (mock repository)</t>
  </si>
  <si>
    <t>Ngôn ngữ</t>
  </si>
  <si>
    <t>Java 17</t>
  </si>
  <si>
    <t>Thư mục test</t>
  </si>
  <si>
    <t>BE/user-service/src/test/java/com/ecommerce/userservice/</t>
  </si>
  <si>
    <t>Lệnh chạy</t>
  </si>
  <si>
    <t>mvn -q -pl user-service -am org.jacoco:jacoco-maven-plugin:0.8.11:prepare-agent test org.jacoco:jacoco-maven-plugin:0.8.11:report -DfailIfNoTests=false -Dsurefire.failIfNoSpecifiedTests=false  (BugCheck: mvn -q -pl user-service -am test -Dtest=*BugCheck ...)</t>
  </si>
  <si>
    <t>SCOPE OF TESTING</t>
  </si>
  <si>
    <t>CÁC FILE / HÀM ĐƯỢC KIỂM THỬ</t>
  </si>
  <si>
    <t>File</t>
  </si>
  <si>
    <t>Class / Hàm</t>
  </si>
  <si>
    <t>LoyaltyPointPolicy.java</t>
  </si>
  <si>
    <t>tierMultiplier(), calculateEarnFromOrderSpend(), calculateMaxRedeemablePoints(), calculateDiscountFromPoints()</t>
  </si>
  <si>
    <t>Quy tắc tích điểm 10.000đ = 1 điểm × hệ số hạng, đổi 1 điểm = 1.000đ, giới hạn đổi theo số dư và giá trị đơn.</t>
  </si>
  <si>
    <t>LoyaltyPointServiceImpl.java</t>
  </si>
  <si>
    <t>adjustPoints(), redeemForOrder(), refundForOrder()</t>
  </si>
  <si>
    <t>Cộng/trừ điểm FIXED và ORDER_SPEND, chặn số dư âm, đổi điểm idempotent theo orderId, hoàn điểm đúng 1 lần.</t>
  </si>
  <si>
    <t>AddressServiceImpl.java</t>
  </si>
  <si>
    <t>addAddress(), deleteAddress()</t>
  </si>
  <si>
    <t>Địa chỉ mặc định duy nhất, kiểm tra chủ sở hữu khi xóa.</t>
  </si>
  <si>
    <t>UserServiceImpl.java</t>
  </si>
  <si>
    <t>getCurrentUser(), adminCreateUser(), adminUpdateUser(), adminDeleteUser(), updateBlacklist(), adminResetPassword()</t>
  </si>
  <si>
    <t>Tự tạo hồ sơ khi đăng nhập lần đầu, liên kết theo email, quản trị user với KeycloakAdminClient được mock.</t>
  </si>
  <si>
    <t>GlobalExceptionHandler.java</t>
  </si>
  <si>
    <t>@ExceptionHandler mapping (AccessDeniedException)</t>
  </si>
  <si>
    <t>Chỉ kiểm tra ánh xạ lỗi phân quyền 403 (F2) bằng ExceptionHandlerMethodResolver, lớp BugCheck.</t>
  </si>
  <si>
    <t>LÝ DO CHỌN TẦNG SERVICE ĐỂ KIỂM THỬ</t>
  </si>
  <si>
    <t>Logic nghiệp vụ nằm ở service/domain</t>
  </si>
  <si>
    <t>Controller chỉ đọc header X-User-Id rồi chuyển tiếp; mọi quy tắc điểm thưởng, liên kết tài khoản, đồng bộ Keycloak đều ở UserServiceImpl / LoyaltyPointServiceImpl / LoyaltyPointPolicy.</t>
  </si>
  <si>
    <t>Cô lập phụ thuộc ngoài</t>
  </si>
  <si>
    <t>Keycloak Admin API, Kafka (UserEventProducer), MinIO và MariaDB được thay bằng Mockito mock nên test chạy nhanh, tất định, không cần hạ tầng.</t>
  </si>
  <si>
    <t>Kiểm được nhánh lỗi khó tái hiện qua API</t>
  </si>
  <si>
    <t>Keycloak lỗi giữa chừng, lưu DB lỗi sau khi Keycloak đã tạo user, gọi đổi điểm lặp lại... chỉ dựng được dễ dàng ở mức unit.</t>
  </si>
  <si>
    <t>CÁC FILE KHÔNG CẦN KIỂM THỬ</t>
  </si>
  <si>
    <t>Lý do không test</t>
  </si>
  <si>
    <t>UserController.java / AdminUserController.java / InternalUserController.java / LocationController.java</t>
  </si>
  <si>
    <t>Tầng web mỏng; đã phủ bằng kiểm thử API (Postman/Newman) theo api_inventory PH1.</t>
  </si>
  <si>
    <t>KeycloakAdminClient.java</t>
  </si>
  <si>
    <t>Wrapper gọi Keycloak Admin REST thật; được mock trong unit test, cần test tích hợp với Keycloak.</t>
  </si>
  <si>
    <t>MinioStorageServiceImpl.java</t>
  </si>
  <si>
    <t>Upload file lên MinIO (I/O ngoài), cần test tích hợp.</t>
  </si>
  <si>
    <t>LocationService.java</t>
  </si>
  <si>
    <t>Chỉ truy vấn danh mục tỉnh/phường, không có rẽ nhánh nghiệp vụ đáng kể.</t>
  </si>
  <si>
    <t>InternalApiKeyFilter.java / SecurityConfig.java</t>
  </si>
  <si>
    <t>Cấu hình bảo mật; kiểm ở mức API (401/403).</t>
  </si>
  <si>
    <t>UserServiceImpl.adminGetUserStats()</t>
  </si>
  <si>
    <t>Ghi nhận khi review: newUsersThisWeek/Month luôn = 0 và activeUsers = total - blacklisted (tính cả user đã xóa mềm). Repository không có truy vấn tương ứng để mock nên không viết unit test; đề xuất ghi nhận như quan sát.</t>
  </si>
  <si>
    <t>KẾT QUẢ ĐỘ PHỦ (COVERAGE)</t>
  </si>
  <si>
    <t>Class / Module</t>
  </si>
  <si>
    <t>Package</t>
  </si>
  <si>
    <t>Line coverage</t>
  </si>
  <si>
    <t>Branch coverage</t>
  </si>
  <si>
    <t>Dòng phủ / tổng</t>
  </si>
  <si>
    <t>LoyaltyPointPolicy</t>
  </si>
  <si>
    <t>com.ecommerce.userservice.domain</t>
  </si>
  <si>
    <t>22/22</t>
  </si>
  <si>
    <t>LoyaltyPointServiceImpl</t>
  </si>
  <si>
    <t>com.ecommerce.userservice.service.impl</t>
  </si>
  <si>
    <t>114/144</t>
  </si>
  <si>
    <t>AddressServiceImpl</t>
  </si>
  <si>
    <t>30/35</t>
  </si>
  <si>
    <t>UserServiceImpl</t>
  </si>
  <si>
    <t>130/308</t>
  </si>
  <si>
    <t>Tổng (các lớp trong phạm vi)</t>
  </si>
  <si>
    <t>Tính gộp trên các lớp nghiệp vụ trong scope (liệt kê dưới), gồm cả lớp ẩn danh bên trong (TransactionSynchronization...), không gồm lớp DTO lồng do Lombok sinh; nguồn: target/site/jacoco/jacoco.csv của lần chạy thật (lệnh mặc định, chỉ các lớp *Test; lớp *BugCheck chạy riêng không đo coverage).</t>
  </si>
  <si>
    <t>UNIT TEST CASES</t>
  </si>
  <si>
    <t>Test Case ID</t>
  </si>
  <si>
    <t>File / Class</t>
  </si>
  <si>
    <t>File Script Test</t>
  </si>
  <si>
    <t>Function Name</t>
  </si>
  <si>
    <t>Người PT</t>
  </si>
  <si>
    <t>Test Objective</t>
  </si>
  <si>
    <t>Precondition</t>
  </si>
  <si>
    <t>Input</t>
  </si>
  <si>
    <t>Expected Output</t>
  </si>
  <si>
    <t>Pass/Fail</t>
  </si>
  <si>
    <t>Notes (CheckDB / Rollback)</t>
  </si>
  <si>
    <t>TC_PH1_POLICY_01</t>
  </si>
  <si>
    <t>BE/user-service/src/test/java/com/ecommerce/userservice/domain/LoyaltyPointPolicyTest.java</t>
  </si>
  <si>
    <t>tierMultiplier()</t>
  </si>
  <si>
    <t>Kiểm tra hệ số nhân điểm theo hạng thành viên</t>
  </si>
  <si>
    <t>tier = MEMBER, SILVER, gold, VIP, null, DIAMOND</t>
  </si>
  <si>
    <t>1.0, 1.2, 1.5, 2.0, 1.0, 1.0 (không phân biệt hoa thường, hạng lạ/null = 1.0)</t>
  </si>
  <si>
    <t>PASS</t>
  </si>
  <si>
    <t>CheckDB: không (hàm thuần, không I/O)
Rollback: không cần</t>
  </si>
  <si>
    <t>TC_PH1_POLICY_02</t>
  </si>
  <si>
    <t>calculateEarnFromOrderSpend()</t>
  </si>
  <si>
    <t>Kiểm tra công thức tích điểm từ giá trị đơn và các giá trị biên</t>
  </si>
  <si>
    <t>1.250.000đ GOLD
9.999đ VIP
10.000đ MEMBER
0đ / -50.000đ / null</t>
  </si>
  <si>
    <t>187 điểm (125 × 1.5 làm tròn xuống); 0; 1; 0</t>
  </si>
  <si>
    <t>TC_PH1_POLICY_03</t>
  </si>
  <si>
    <t>calculateMaxRedeemablePoints(), calculateDiscountFromPoints()</t>
  </si>
  <si>
    <t>Kiểm tra giới hạn số điểm đổi tối đa và quy đổi điểm sang tiền</t>
  </si>
  <si>
    <t>số dư 500, đơn 300.000 / 2.000.000 / 999đ / null; số dư 0
đổi 200 / 0 / -5 điểm</t>
  </si>
  <si>
    <t>max = 300 / 500 / 0 / 0 / 0; giảm 200.000đ / 0 / 0</t>
  </si>
  <si>
    <t>TC_PH1_POINT_01</t>
  </si>
  <si>
    <t>BE/user-service/src/test/java/com/ecommerce/userservice/service/LoyaltyPointServiceImplTest.java</t>
  </si>
  <si>
    <t>adjustPoints()</t>
  </si>
  <si>
    <t>Cộng điểm FIXED và ghi lịch sử giao dịch</t>
  </si>
  <si>
    <t>User id=1 có 500 điểm (mock findByIdForUpdate)</t>
  </si>
  <si>
    <t>mode=FIXED
pointAmount=+100
campaignId=5</t>
  </si>
  <si>
    <t>Số dư 600; lưu user; lưu giao dịch delta=100, balanceAfter=600, referenceId='campaign:5', sourceType=CAMPAIGN</t>
  </si>
  <si>
    <t>CheckDB: không (repository mock)
Rollback: không cần</t>
  </si>
  <si>
    <t>TC_PH1_POINT_02</t>
  </si>
  <si>
    <t>Từ chối điều chỉnh FIXED với số điểm 0 hoặc null</t>
  </si>
  <si>
    <t>User id=1 có 500 điểm</t>
  </si>
  <si>
    <t>mode=FIXED, pointAmount=0
mode=FIXED, pointAmount=null</t>
  </si>
  <si>
    <t>IllegalArgumentException; không lưu user, không lưu giao dịch</t>
  </si>
  <si>
    <t>TC_PH1_POINT_03</t>
  </si>
  <si>
    <t>Chặn trừ điểm vượt số dư; user không tồn tại</t>
  </si>
  <si>
    <t>User 1 có 500 điểm; user 2 không tồn tại</t>
  </si>
  <si>
    <t>userId=1, FIXED -600
userId=2, FIXED +10</t>
  </si>
  <si>
    <t>IllegalArgumentException 'Số dư điểm không đủ', số dư giữ 500; ResourceNotFoundException cho user 2</t>
  </si>
  <si>
    <t>TC_PH1_POINT_04</t>
  </si>
  <si>
    <t>Tích điểm theo giá trị đơn (ORDER_SPEND) có bonus; từ chối orderAmount &lt;= 0</t>
  </si>
  <si>
    <t>User hạng VIP, 0 điểm</t>
  </si>
  <si>
    <t>mode='order_spend', orderAmount=1.000.000, bonus=10
mode=ORDER_SPEND, orderAmount=0</t>
  </si>
  <si>
    <t>Cộng 210 điểm (100 × 2.0 + 10), mode chuẩn hóa ORDER_SPEND; orderAmount=0 -&gt; IllegalArgumentException</t>
  </si>
  <si>
    <t>TC_PH1_POINT_05</t>
  </si>
  <si>
    <t>redeemForOrder()</t>
  </si>
  <si>
    <t>Đổi điểm lấy giảm giá cho đơn hàng</t>
  </si>
  <si>
    <t>User 1 có 500 điểm; đơn 10 chưa từng đổi điểm</t>
  </si>
  <si>
    <t>orderId=10
pointsToRedeem=200
orderAmount=300.000</t>
  </si>
  <si>
    <t>Giảm 200.000đ, còn 300 điểm; giao dịch REDEMPTION delta=-200, orderId=10</t>
  </si>
  <si>
    <t>TC_PH1_POINT_06</t>
  </si>
  <si>
    <t>Chặn đổi điểm vượt giới hạn theo giá trị đơn</t>
  </si>
  <si>
    <t>User 1 có 500 điểm</t>
  </si>
  <si>
    <t>orderId=11
pointsToRedeem=200
orderAmount=150.000 (tối đa 150 điểm)</t>
  </si>
  <si>
    <t>IllegalArgumentException 'Chỉ có thể dùng tối đa 150 điểm'; không trừ điểm</t>
  </si>
  <si>
    <t>TC_PH1_POINT_07</t>
  </si>
  <si>
    <t>Gọi đổi điểm lặp lại cho cùng đơn (retry) không trừ điểm 2 lần</t>
  </si>
  <si>
    <t>Đã có giao dịch REDEMPTION delta=-100, balanceAfter=400 cho đơn 12</t>
  </si>
  <si>
    <t>orderId=12, pointsToRedeem=100, orderAmount=500.000</t>
  </si>
  <si>
    <t>Trả lại kết quả cũ (100 điểm, giảm 100.000đ, số dư 400); không khóa/không lưu thêm</t>
  </si>
  <si>
    <t>TC_PH1_POINT_08</t>
  </si>
  <si>
    <t>refundForOrder()</t>
  </si>
  <si>
    <t>Hoàn điểm khi hủy đơn chỉ thực hiện đúng 1 lần</t>
  </si>
  <si>
    <t>Đơn 13 đã đổi 100 điểm; user còn 400 điểm</t>
  </si>
  <si>
    <t>refundForOrder(1, 13) gọi 2 lần</t>
  </si>
  <si>
    <t>Lần 1: +100, số dư 500; lần 2: pointsApplied=0, số dư giữ 500; chỉ 1 giao dịch được lưu</t>
  </si>
  <si>
    <t>TC_PH1_ADDR_01</t>
  </si>
  <si>
    <t>BE/user-service/src/test/java/com/ecommerce/userservice/service/AddressServiceImplTest.java</t>
  </si>
  <si>
    <t>addAddress()</t>
  </si>
  <si>
    <t>Thêm địa chỉ mặc định thì bỏ cờ mặc định của địa chỉ cũ trước</t>
  </si>
  <si>
    <t>User 7 đã có địa chỉ</t>
  </si>
  <si>
    <t>isDefault=true, recipient='Nguyễn Văn A', phone=0912345678</t>
  </si>
  <si>
    <t>Gọi unsetDefaultByUserId(7) TRƯỚC save(); địa chỉ mới isDefault=true, id=100</t>
  </si>
  <si>
    <t>TC_PH1_ADDR_02</t>
  </si>
  <si>
    <t>Thêm địa chỉ thường không ảnh hưởng địa chỉ cũ</t>
  </si>
  <si>
    <t>User 7</t>
  </si>
  <si>
    <t>isDefault=null</t>
  </si>
  <si>
    <t>Không gọi unsetDefault; lưu userId=7, isDefault=false</t>
  </si>
  <si>
    <t>TC_PH1_ADDR_03</t>
  </si>
  <si>
    <t>deleteAddress()</t>
  </si>
  <si>
    <t>Kiểm tra quyền sở hữu khi xóa địa chỉ (chống IDOR)</t>
  </si>
  <si>
    <t>Địa chỉ 5 thuộc user 7</t>
  </si>
  <si>
    <t>user 8 xóa địa chỉ 5
user 7 xóa địa chỉ 5</t>
  </si>
  <si>
    <t>User 8: ResourceNotFoundException, không xóa; user 7: xóa thành công</t>
  </si>
  <si>
    <t>TC_PH1_PROFILE_01</t>
  </si>
  <si>
    <t>BE/user-service/src/test/java/com/ecommerce/userservice/service/UserServiceImplTest.java</t>
  </si>
  <si>
    <t>getCurrentUser()</t>
  </si>
  <si>
    <t>Tự tạo hồ sơ khi đăng nhập lần đầu, token thiếu thông tin</t>
  </si>
  <si>
    <t>Chưa có hồ sơ cho keycloakId 'kc-abcdef123'</t>
  </si>
  <si>
    <t>keycloakUserId='kc-abcdef123', email/username/fullName = null</t>
  </si>
  <si>
    <t>Tạo user MEMBER, email 'kc-abcdef123@placeholder.com', username 'user_kc-abcde', 0 điểm; phát UserRegistered</t>
  </si>
  <si>
    <t>TC_PH1_PROFILE_02</t>
  </si>
  <si>
    <t>Đăng nhập bằng phương thức khác (Google/password) cùng email -&gt; liên kết hồ sơ cũ</t>
  </si>
  <si>
    <t>Hồ sơ id=9, keycloakId 'kc-old', GOLD, 120 điểm, username là SĐT, phone trống</t>
  </si>
  <si>
    <t>keycloakUserId='kc-new', email='a@mail.com'</t>
  </si>
  <si>
    <t>Dùng lại hồ sơ 9 (đổi keycloakId sang kc-new), giữ GOLD/120 điểm, phone tự điền 0912345678; không phát UserRegistered</t>
  </si>
  <si>
    <t>TC_PH1_ADMIN_01</t>
  </si>
  <si>
    <t>adminCreateUser()</t>
  </si>
  <si>
    <t>Admin tạo người dùng mới</t>
  </si>
  <si>
    <t>Keycloak (mock) trả id 'kc-77', roles [ROLE_CUSTOMER]</t>
  </si>
  <si>
    <t>username=newuser, email=new@mail.com, password=secret123, customerTier=null</t>
  </si>
  <si>
    <t>User id 77, tier MEMBER, active, không bị khóa, roles=[ROLE_CUSTOMER]; phát UserRegistered</t>
  </si>
  <si>
    <t>TC_PH1_ADMIN_02</t>
  </si>
  <si>
    <t>adminUpdateUser()</t>
  </si>
  <si>
    <t>Chặn đổi email trùng với tài khoản khác</t>
  </si>
  <si>
    <t>User 1 email a@mail.com; user 2 email b@mail.com</t>
  </si>
  <si>
    <t>userId=1, email=b@mail.com</t>
  </si>
  <si>
    <t>IllegalArgumentException 'Email đã được sử dụng...'; không lưu DB, không gọi Keycloak updateUser</t>
  </si>
  <si>
    <t>TC_PH1_ADMIN_03</t>
  </si>
  <si>
    <t>adminDeleteUser()</t>
  </si>
  <si>
    <t>Xóa người dùng là xóa mềm, vẫn chạy khi Keycloak lỗi</t>
  </si>
  <si>
    <t>User 1 active; Keycloak deleteUser ném lỗi</t>
  </si>
  <si>
    <t>userId=1</t>
  </si>
  <si>
    <t>active=false, save(user); không gọi delete() cứng</t>
  </si>
  <si>
    <t>TC_PH1_ADMIN_04</t>
  </si>
  <si>
    <t>updateBlacklist()</t>
  </si>
  <si>
    <t>Khóa tài khoản đồng bộ vô hiệu hóa đăng nhập Keycloak</t>
  </si>
  <si>
    <t>User 1 chưa bị khóa</t>
  </si>
  <si>
    <t>userId=1, blacklisted=true</t>
  </si>
  <si>
    <t>isBlacklisted=true được lưu; gọi keycloakAdminClient.setEnabled('kc-1', false)</t>
  </si>
  <si>
    <t>TC_PH1_ADMIN_05</t>
  </si>
  <si>
    <t>adminResetPassword()</t>
  </si>
  <si>
    <t>Đặt lại mật khẩu thất bại trên Keycloak phải báo lỗi</t>
  </si>
  <si>
    <t>Keycloak setPassword ném 'timeout'</t>
  </si>
  <si>
    <t>userId=1, newPassword=newpass1</t>
  </si>
  <si>
    <t>KeycloakSyncException (HTTP 502) chứa 'timeout'</t>
  </si>
  <si>
    <t>TC_PH1_POINT_09</t>
  </si>
  <si>
    <t>BE/user-service/src/test/java/com/ecommerce/userservice/service/LoyaltyPointServiceImplBugCheck.java</t>
  </si>
  <si>
    <t>calculationMode không hợp lệ phải bị từ chối</t>
  </si>
  <si>
    <t>User 1 có 100 điểm</t>
  </si>
  <si>
    <t>calculationMode='BONUS_X', pointAmount=500</t>
  </si>
  <si>
    <t>IllegalArgumentException; không lưu giao dịch</t>
  </si>
  <si>
    <t>FAIL</t>
  </si>
  <si>
    <t>TC_PH1_ADMIN_06</t>
  </si>
  <si>
    <t>BE/user-service/src/test/java/com/ecommerce/userservice/service/UserServiceImplBugCheck.java</t>
  </si>
  <si>
    <t>Bù trừ (rollback) tài khoản Keycloak khi lưu DB thất bại</t>
  </si>
  <si>
    <t>Keycloak tạo xong 'kc-orphan'; userRepository.save ném DataIntegrityViolationException (trùng email)</t>
  </si>
  <si>
    <t>username=dup, email=dup@mail.com</t>
  </si>
  <si>
    <t>Ném lỗi và gọi keycloakAdminClient.deleteUser('kc-orphan')</t>
  </si>
  <si>
    <t>TC_PH1_ADMIN_07</t>
  </si>
  <si>
    <t>Khóa tài khoản khi Keycloak lỗi không được báo thành công</t>
  </si>
  <si>
    <t>Keycloak setEnabled ném lỗi</t>
  </si>
  <si>
    <t>KeycloakSyncException (giống adminResetPassword/adminSetUserRoles)</t>
  </si>
  <si>
    <t>TC_PH1_AUTHZ_01</t>
  </si>
  <si>
    <t>BE/user-service/src/test/java/com/ecommerce/userservice/exception/GlobalExceptionHandlerBugCheck.java</t>
  </si>
  <si>
    <t>@ExceptionHandler resolution</t>
  </si>
  <si>
    <t>STAFF gọi API ADMIN (AccessDeniedException từ @PreAuthorize) phải nhận 403</t>
  </si>
  <si>
    <t>Không cần Spring context; dùng ExceptionHandlerMethodResolver</t>
  </si>
  <si>
    <t>new AccessDeniedException('Access Denied')</t>
  </si>
  <si>
    <t>ResponseEntity status 403</t>
  </si>
  <si>
    <t>Tổng số ca</t>
  </si>
  <si>
    <t>Tỷ lệ PASS</t>
  </si>
  <si>
    <t>LỖI PHÁT HIỆN QUA UNIT TEST (lớp *BugCheck)</t>
  </si>
  <si>
    <t>Mô tả lỗi</t>
  </si>
  <si>
    <t>Bằng chứng</t>
  </si>
  <si>
    <t>adjustPoints chấp nhận calculationMode bất kỳ: giá trị lạ ('BONUS_X') rơi vào nhánh default và bị xử lý như FIXED (cộng 500 điểm), đồng thời lưu mode rác vào lịch sử giao dịch.</t>
  </si>
  <si>
    <t>BE/user-service/src/main/java/com/ecommerce/userservice/service/impl/LoyaltyPointServiceImpl.java:66 (default -&gt; {...}) và :242 normalizeMode()</t>
  </si>
  <si>
    <t>adminCreateUser tạo user trên Keycloak trước rồi mới lưu DB nhưng không có bước bù trừ: nếu lưu DB lỗi (trùng email/username trong DB) thì tài khoản Keycloak vẫn tồn tại (mồ côi, đăng nhập được, không có hồ sơ).</t>
  </si>
  <si>
    <t>BE/user-service/src/main/java/com/ecommerce/userservice/service/impl/UserServiceImpl.java:277 (createUser) và :296 (save) - không có try/catch xóa user Keycloak</t>
  </si>
  <si>
    <t>updateBlacklist nuốt lỗi Keycloak (chỉ log.warn): API báo 'Tài khoản đã bị khóa' trong khi user vẫn đăng nhập được. Không nhất quán với adminResetPassword/adminSetUserRoles vốn ném KeycloakSyncException.</t>
  </si>
  <si>
    <t>BE/user-service/src/main/java/com/ecommerce/userservice/service/impl/UserServiceImpl.java:250-254</t>
  </si>
  <si>
    <t>GlobalExceptionHandler có @ExceptionHandler(Exception.class) bắt cả AccessDeniedException của @PreAuthorize -&gt; STAFF gọi API chỉ dành cho ADMIN nhận HTTP 500 thay vì 403 (Finding F2).</t>
  </si>
  <si>
    <t>BE/user-service/src/main/java/com/ecommerce/userservice/exception/GlobalExceptionHandler.java:67</t>
  </si>
  <si>
    <t>BÁO CÁO KIỂM THỬ API VỚI POSTMAN</t>
  </si>
  <si>
    <t>Người kiểm thử:</t>
  </si>
  <si>
    <t>Công cụ test:</t>
  </si>
  <si>
    <t>Postman v2.1 collection, chạy bằng Newman 6.2.3</t>
  </si>
  <si>
    <t>Ngày thực hiện:</t>
  </si>
  <si>
    <t>Base URL:</t>
  </si>
  <si>
    <t>http://localhost:8080 (API Gateway)</t>
  </si>
  <si>
    <t>Phân hệ:</t>
  </si>
  <si>
    <t>Collection:</t>
  </si>
  <si>
    <t>TechStore-API.postman_collection.json</t>
  </si>
  <si>
    <t>Báo cáo HTML:</t>
  </si>
  <si>
    <t>reports/run*.html (newman-reporter-htmlextra)</t>
  </si>
  <si>
    <t>1. TỔNG HỢP KẾT QUẢ KIỂM THỬ API</t>
  </si>
  <si>
    <t>Tổng số Test Cases</t>
  </si>
  <si>
    <t>Đạt (Pass)</t>
  </si>
  <si>
    <t>Không đạt (Fail)</t>
  </si>
  <si>
    <t>Tỷ lệ Pass</t>
  </si>
  <si>
    <t>Tỷ lệ Fail</t>
  </si>
  <si>
    <t>API Path</t>
  </si>
  <si>
    <t>Method</t>
  </si>
  <si>
    <t>Mục tiêu kiểm thử (Test Objective)</t>
  </si>
  <si>
    <t>Headers &amp; Auth</t>
  </si>
  <si>
    <t>Tham số / Request Body</t>
  </si>
  <si>
    <t>Kết quả mong đợi (Expected Response)</t>
  </si>
  <si>
    <t>Kết quả thực tế (Actual Response)</t>
  </si>
  <si>
    <t>Trạng thái</t>
  </si>
  <si>
    <t>Ghi chú / Bug ID</t>
  </si>
  <si>
    <t>NHÓM: XÁC THỰC (KEYCLOAK)</t>
  </si>
  <si>
    <t>API_PH1_001</t>
  </si>
  <si>
    <t>{{kc}}/realms/ecommerce-realm/protocol/openid-connect/token</t>
  </si>
  <si>
    <t>POST</t>
  </si>
  <si>
    <t>Lấy token thành công với tài khoản hợp lệ</t>
  </si>
  <si>
    <t>Không (public)</t>
  </si>
  <si>
    <t>grant_type=password
client_id=ecommerce-frontend
username=customer
password=***</t>
  </si>
  <si>
    <t>HTTP 200; trả access_token, refresh_token, token_type=Bearer</t>
  </si>
  <si>
    <t>HTTP 200  (468 ms)
{"access_token":"eyJhbGciOiJSUzI1NiIsInR5cCIgOiAiSldUIiwia2lkIiA6ICJwQ1FyZXhXeTBtckFocDZPSTZZOWhqeE9HZC1PRVZoaVVfZlVUYWJVcFI0In0.eyJleHAiOjE3OTIyNDczMjgsImlhdCI6MTc5MjI0NjQyOCwianRpIjoiYWNmM2NiNjItOWE</t>
  </si>
  <si>
    <t>API_PH1_002</t>
  </si>
  <si>
    <t>Từ chối đăng nhập sai mật khẩu</t>
  </si>
  <si>
    <t>HTTP 401; error=invalid_grant</t>
  </si>
  <si>
    <t>HTTP 401  (349 ms)
{"error": "invalid_grant"}</t>
  </si>
  <si>
    <t>API_PH1_003</t>
  </si>
  <si>
    <t>Từ chối đăng nhập tài khoản không tồn tại</t>
  </si>
  <si>
    <t>grant_type=password
client_id=ecommerce-frontend
username=khong_ton_tai_xyz
password=***</t>
  </si>
  <si>
    <t>HTTP 401  (10 ms)
{"error": "invalid_grant"}</t>
  </si>
  <si>
    <t>API_PH1_004</t>
  </si>
  <si>
    <t>{{kc}}/realms/ecommerce-realm/protocol/openid-connect/userinfo</t>
  </si>
  <si>
    <t>GET</t>
  </si>
  <si>
    <t>Lấy thông tin userinfo bằng token hợp lệ</t>
  </si>
  <si>
    <t>Bearer &lt;Customer_Token, scope=openid&gt;</t>
  </si>
  <si>
    <t>—</t>
  </si>
  <si>
    <t>HTTP 200; preferred_username=customer</t>
  </si>
  <si>
    <t>HTTP 200  (51 ms)
{}</t>
  </si>
  <si>
    <t>NHÓM: HỒ SƠ</t>
  </si>
  <si>
    <t>API_PH1_005</t>
  </si>
  <si>
    <t>/api/v1/users/me</t>
  </si>
  <si>
    <t>Xem hồ sơ của chính mình</t>
  </si>
  <si>
    <t>Bearer &lt;Customer_Token&gt;</t>
  </si>
  <si>
    <t>HTTP 200; code=SUCCESS; data.username=customer</t>
  </si>
  <si>
    <t>HTTP 200  (37 ms)
{"code": "SUCCESS", "message": "Thành công", "data.id": 3}</t>
  </si>
  <si>
    <t>API_PH1_006</t>
  </si>
  <si>
    <t>Chặn xem hồ sơ khi không có token</t>
  </si>
  <si>
    <t>HTTP 401 Unauthorized</t>
  </si>
  <si>
    <t>HTTP 401  (5 ms)
(body rỗng)</t>
  </si>
  <si>
    <t>API_PH1_007</t>
  </si>
  <si>
    <t>PUT</t>
  </si>
  <si>
    <t>Cập nhật họ tên và SĐT hợp lệ</t>
  </si>
  <si>
    <t>{
 "fullName": "Khách Hàng QA",
 "phoneNumber": "0912345678"
}</t>
  </si>
  <si>
    <t>HTTP 200; data.fullName cập nhật</t>
  </si>
  <si>
    <t>HTTP 200  (21 ms)
{"code": "SUCCESS", "message": "Profile updated successfully", "data.id": 3}</t>
  </si>
  <si>
    <t>API_PH1_008</t>
  </si>
  <si>
    <t>Từ chối SĐT sai định dạng</t>
  </si>
  <si>
    <t>{
 "phoneNumber": "abc123"
}</t>
  </si>
  <si>
    <t>HTTP 400; code=VALIDATION_FAILED</t>
  </si>
  <si>
    <t>HTTP 400  (18 ms)
{"code": "VALIDATION_FAILED", "message": "Dữ liệu gửi lên chưa hợp lệ"}</t>
  </si>
  <si>
    <t>API_PH1_009</t>
  </si>
  <si>
    <t>Từ chối avatarUrl không phải http(s)</t>
  </si>
  <si>
    <t>{
 "avatarUrl": "ftp://evil.example/a.png"
}</t>
  </si>
  <si>
    <t>HTTP 400  (17 ms)
{"code": "VALIDATION_FAILED", "message": "Dữ liệu gửi lên chưa hợp lệ"}</t>
  </si>
  <si>
    <t>NHÓM: ĐỊA CHỈ</t>
  </si>
  <si>
    <t>API_PH1_010</t>
  </si>
  <si>
    <t>/api/v1/public/locations/provinces</t>
  </si>
  <si>
    <t>Lấy danh sách tỉnh/thành</t>
  </si>
  <si>
    <t>HTTP 200; danh sách tỉnh không rỗng</t>
  </si>
  <si>
    <t>HTTP 200  (23 ms)
{"code":"SUCCESS","message":"Thành công","data":[{"code":92,"name":"Thành phố Cần Thơ"},{"code":48,"name":"Thành phố Đà Nẵng"},{"code":1,"name":"Thành phố Hà Nội"},{"code":31,"name":"Thành phố Hải Phò</t>
  </si>
  <si>
    <t>API_PH1_011</t>
  </si>
  <si>
    <t>/api/v1/public/locations/provinces/{{provCode}}/wards</t>
  </si>
  <si>
    <t>Lấy danh sách phường/xã theo tỉnh</t>
  </si>
  <si>
    <t>HTTP 200; danh sách phường/xã</t>
  </si>
  <si>
    <t>HTTP 200  (45 ms)
{"code":"SUCCESS","message":"Thành công","data":[{"code":31150,"name":"Phường An Bình","provinceCode":92},{"code":31168,"name":"Phường Bình Thủy","provinceCode":92},{"code":31120,"name":"Phường Cái Kh</t>
  </si>
  <si>
    <t>API_PH1_012</t>
  </si>
  <si>
    <t>/api/v1/public/locations/provinces/999999/wards</t>
  </si>
  <si>
    <t>Tỉnh không tồn tại trả 404</t>
  </si>
  <si>
    <t>HTTP 404; code=NOT_FOUND</t>
  </si>
  <si>
    <t>HTTP 404  (21 ms)
{"code": "NOT_FOUND", "message": "Province not found with code : '999999'"}</t>
  </si>
  <si>
    <t>API_PH1_013</t>
  </si>
  <si>
    <t>/api/v1/users/me/addresses</t>
  </si>
  <si>
    <t>Thêm địa chỉ hợp lệ</t>
  </si>
  <si>
    <t>{
 "recipientName": "Khách QA",
 "phoneNumber": "0912345678",
 "province": "Hà Nội",
 "districtWard": "Phường Trung Hòa",
 "detailAddress": "12 Trần Duy Hưng",
 "isDefault": true
}</t>
  </si>
  <si>
    <t>HTTP 200; trả địa chỉ mới, isDefault=true</t>
  </si>
  <si>
    <t>HTTP 200  (33 ms)
{"code": "SUCCESS", "message": "Address added successfully", "data.id": 3}</t>
  </si>
  <si>
    <t>API_PH1_014</t>
  </si>
  <si>
    <t>Từ chối địa chỉ thiếu tên người nhận</t>
  </si>
  <si>
    <t>{
 "phoneNumber": "0912345678",
 "province": "Hà Nội",
 "districtWard": "Trung Hòa",
 "detailAddress": "12 TDH"
}</t>
  </si>
  <si>
    <t>HTTP 400; code=VALIDATION_FAILED (recipientName)</t>
  </si>
  <si>
    <t>HTTP 400  (20 ms)
{"code": "VALIDATION_FAILED", "message": "Dữ liệu gửi lên chưa hợp lệ"}</t>
  </si>
  <si>
    <t>API_PH1_015</t>
  </si>
  <si>
    <t>Danh sách địa chỉ chứa địa chỉ vừa thêm</t>
  </si>
  <si>
    <t>HTTP 200; danh sách chứa địa chỉ vừa thêm</t>
  </si>
  <si>
    <t>HTTP 200  (33 ms)
{"code": "SUCCESS", "message": "Thành công", "data": "[1 phần tử]"}</t>
  </si>
  <si>
    <t>API_PH1_016</t>
  </si>
  <si>
    <t>/api/v1/users/me/addresses/{{addrId}}</t>
  </si>
  <si>
    <t>DELETE</t>
  </si>
  <si>
    <t>Không xóa được địa chỉ của người khác</t>
  </si>
  <si>
    <t>Bearer &lt;Customer2_Token&gt;</t>
  </si>
  <si>
    <t>HTTP 404 (hoặc 403); địa chỉ của khách 1 không bị xóa</t>
  </si>
  <si>
    <t>HTTP 404  (26 ms)
{"code": "NOT_FOUND", "message": "Address not found with id : '3'"}</t>
  </si>
  <si>
    <t>API_PH1_017</t>
  </si>
  <si>
    <t>Xóa địa chỉ của chính mình</t>
  </si>
  <si>
    <t>HTTP 200; địa chỉ bị xóa</t>
  </si>
  <si>
    <t>HTTP 200  (21 ms)
{"code": "SUCCESS", "message": "Address deleted successfully"}</t>
  </si>
  <si>
    <t>NHÓM: QUẢN TRỊ NGƯỜI DÙNG</t>
  </si>
  <si>
    <t>API_PH1_018</t>
  </si>
  <si>
    <t>/api/v1/admin/users?size=5</t>
  </si>
  <si>
    <t>Admin xem danh sách người dùng</t>
  </si>
  <si>
    <t>Bearer &lt;Admin_Token&gt;</t>
  </si>
  <si>
    <t>HTTP 200; Page người dùng</t>
  </si>
  <si>
    <t>HTTP 200  (24 ms)
{"code":"SUCCESS","message":"Thành công","data":{"content":[{"id":1,"keycloakUserId":"433d18e7-feaa-44b4-9274-1975f023a7f5","username":"admin","email":"admin@gmail.com","fullName":"admin system","phon</t>
  </si>
  <si>
    <t>API_PH1_019</t>
  </si>
  <si>
    <t>Staff xem danh sách người dùng</t>
  </si>
  <si>
    <t>Bearer &lt;Staff_Token&gt;</t>
  </si>
  <si>
    <t>HTTP 200</t>
  </si>
  <si>
    <t>HTTP 200  (22 ms)
{"code":"SUCCESS","message":"Thành công","data":{"content":[{"id":1,"keycloakUserId":"433d18e7-feaa-44b4-9274-1975f023a7f5","username":"admin","email":"admin@gmail.com","fullName":"admin system","phon</t>
  </si>
  <si>
    <t>NHÓM: PHÂN QUYỀN</t>
  </si>
  <si>
    <t>API_PH1_020</t>
  </si>
  <si>
    <t>/api/v1/admin/users</t>
  </si>
  <si>
    <t>Customer bị chặn khỏi API quản trị</t>
  </si>
  <si>
    <t>HTTP 403 Forbidden (gateway)</t>
  </si>
  <si>
    <t>HTTP 403  (5 ms)
(body rỗng)</t>
  </si>
  <si>
    <t>API_PH1_021</t>
  </si>
  <si>
    <t>/api/v1/admin/users/{{cust2_dbId}}/tier</t>
  </si>
  <si>
    <t>Admin đổi hạng khách hàng sang GOLD</t>
  </si>
  <si>
    <t>{
 "tier": "GOLD"
}</t>
  </si>
  <si>
    <t>HTTP 200; hạng mới = GOLD</t>
  </si>
  <si>
    <t>HTTP 200  (24 ms)
{"code": "SUCCESS", "message": "Cập nhật hạng thành viên thành công"}</t>
  </si>
  <si>
    <t>API_PH1_022</t>
  </si>
  <si>
    <t>Từ chối hạng không hợp lệ</t>
  </si>
  <si>
    <t>{
 "tier": "PLATINUM"
}</t>
  </si>
  <si>
    <t>HTTP 400; VALIDATION_FAILED</t>
  </si>
  <si>
    <t>HTTP 400  (13 ms)
{"code": "VALIDATION_FAILED", "message": "Dữ liệu gửi lên chưa hợp lệ"}</t>
  </si>
  <si>
    <t>API_PH1_023</t>
  </si>
  <si>
    <t>Staff không được đổi hạng khách (chỉ ADMIN)</t>
  </si>
  <si>
    <t>{
 "tier": "SILVER"
}</t>
  </si>
  <si>
    <t>HTTP 403 Forbidden</t>
  </si>
  <si>
    <t>HTTP 500  (18 ms)
{"code": "INTERNAL_ERROR", "message": "Đã xảy ra lỗi hệ thống. Vui lòng thử lại sau."}
Không đạt: HTTP status ∈ 403</t>
  </si>
  <si>
    <t>Bug: HTTP status ∈ 403: expected [ 403 ] to include 500</t>
  </si>
  <si>
    <t>API_PH1_024</t>
  </si>
  <si>
    <t>/api/v1/admin/users/roles</t>
  </si>
  <si>
    <t>Staff không được xem danh sách vai trò (chỉ ADMIN)</t>
  </si>
  <si>
    <t>HTTP 500  (14 ms)
{"code": "INTERNAL_ERROR", "message": "Đã xảy ra lỗi hệ thống. Vui lòng thử lại sau."}
Không đạt: HTTP status ∈ 403</t>
  </si>
  <si>
    <t>API_PH1_025</t>
  </si>
  <si>
    <t>/api/v1/admin/users/{{cust2_dbId}}/blacklist</t>
  </si>
  <si>
    <t>Từ chối khóa tài khoản khi thiếu cờ blacklisted</t>
  </si>
  <si>
    <t>{
 "reason": "test"
}</t>
  </si>
  <si>
    <t>HTTP 400  (25 ms)
{"code": "VALIDATION_FAILED", "message": "Dữ liệu gửi lên chưa hợp lệ"}</t>
  </si>
  <si>
    <t>API_PH1_026</t>
  </si>
  <si>
    <t>Admin khóa tài khoản khách hàng</t>
  </si>
  <si>
    <t>{
 "blacklisted": true,
 "reason": "Kiểm thử"
}</t>
  </si>
  <si>
    <t>HTTP 200; 'Tài khoản đã bị khóa'</t>
  </si>
  <si>
    <t>HTTP 200  (84 ms)
{"code": "SUCCESS", "message": "Tài khoản đã bị khóa"}</t>
  </si>
  <si>
    <t>API_PH1_027</t>
  </si>
  <si>
    <t>Admin mở khóa tài khoản khách hàng</t>
  </si>
  <si>
    <t>{
 "blacklisted": false
}</t>
  </si>
  <si>
    <t>HTTP 200; mở khóa thành công</t>
  </si>
  <si>
    <t>HTTP 200  (77 ms)
{"code": "SUCCESS", "message": "Tài khoản đã được mở khóa"}</t>
  </si>
  <si>
    <t>API_PH1_028</t>
  </si>
  <si>
    <t>Tạo người dùng trùng username trả 409</t>
  </si>
  <si>
    <t>{
 "username": "qa_cust2",
 "email": "qa_cust2b@techstore.test",
 "fullName": "Trùng",
 "password": "12345678"
}</t>
  </si>
  <si>
    <t>HTTP 409 Conflict (username đã tồn tại)</t>
  </si>
  <si>
    <t>HTTP 500  (55 ms)
{"code": "INTERNAL_ERROR", "message": "Đã xảy ra lỗi hệ thống. Vui lòng thử lại sau."}
Không đạt: HTTP status ∈ 409</t>
  </si>
  <si>
    <t>Bug: HTTP status ∈ 409: expected [ 409 ] to include 500</t>
  </si>
  <si>
    <t>API_PH1_029</t>
  </si>
  <si>
    <t>Từ chối tạo người dùng email sai định dạng</t>
  </si>
  <si>
    <t>{
 "username": "qa_bad_email",
 "email": "khong-phai-email",
 "fullName": "X",
 "password": "12345678"
}</t>
  </si>
  <si>
    <t>HTTP 400; VALIDATION_FAILED (email)</t>
  </si>
  <si>
    <t>HTTP 400  (21 ms)
{"code": "VALIDATION_FAILED", "message": "Dữ liệu gửi lên chưa hợp lệ"}</t>
  </si>
  <si>
    <t>API_PH1_030</t>
  </si>
  <si>
    <t>/api/v1/users/public/{{cust_kcId}}</t>
  </si>
  <si>
    <t>Hồ sơ công khai che username</t>
  </si>
  <si>
    <t>HTTP 200; username được che (vd 'cu***er')</t>
  </si>
  <si>
    <t>HTTP 200  (17 ms)
{"code": "SUCCESS", "message": "Thành công"}</t>
  </si>
  <si>
    <t>NHÓM: BẢO MẬT</t>
  </si>
  <si>
    <t>API_PH1_031</t>
  </si>
  <si>
    <t>Giả mạo header X-User-Roles không vượt quyền</t>
  </si>
  <si>
    <t>Bearer &lt;Customer_Token&gt;
X-User-Roles: ROLE_ADMIN</t>
  </si>
  <si>
    <t>HTTP 403; gateway bỏ header X-User-* từ client</t>
  </si>
  <si>
    <t>HTTP 403  (7 ms)
(body rỗng)</t>
  </si>
  <si>
    <t>API_PH1_032</t>
  </si>
  <si>
    <t>/api/internal/users/1</t>
  </si>
  <si>
    <t>Chặn gọi API nội bộ qua gateway</t>
  </si>
  <si>
    <t>HTTP 403 (denyAll /api/internal/**)</t>
  </si>
  <si>
    <t>API_PH1_033</t>
  </si>
  <si>
    <t>/user-service/api/internal/users/1</t>
  </si>
  <si>
    <t>Chặn gọi API nội bộ qua route tự động /user-service/**</t>
  </si>
  <si>
    <t>HTTP 401/403/404; không lộ dữ liệu nội bộ</t>
  </si>
  <si>
    <t>HTTP 401  (9 ms)
{"code": "UNAUTHORIZED", "message": "Invalid internal API key"}</t>
  </si>
  <si>
    <t>API_PH1_034</t>
  </si>
  <si>
    <t>Token giả bị từ chối</t>
  </si>
  <si>
    <t>Không (public)
Authorization: Bearer eyJhbGciOiJSUzI1NiJ9.e30.sai</t>
  </si>
  <si>
    <t>HTTP 401</t>
  </si>
  <si>
    <t>HTTP 401  (4 ms)
(body rỗng)</t>
  </si>
  <si>
    <t>BÁO CÁO THIẾT LẬP VÀ THỰC THI KIỂM THỬ TỰ ĐỘNG (AUTOMATED TESTING)</t>
  </si>
  <si>
    <t>Framework UT:</t>
  </si>
  <si>
    <t>JUnit 5 + Mockito (Spring Boot 3.2.5, Java 17), Playwright 1.64</t>
  </si>
  <si>
    <t>Công cụ test API:</t>
  </si>
  <si>
    <t>Newman 6.2.3 / Postman CLI</t>
  </si>
  <si>
    <t>Môi trường:</t>
  </si>
  <si>
    <t>Localhost (Docker Desktop, Windows 11)</t>
  </si>
  <si>
    <t>1. TỔNG HỢP KẾT QUẢ CHẠY TEST AUTO</t>
  </si>
  <si>
    <t>Phân loại</t>
  </si>
  <si>
    <t>Tổng số test cases</t>
  </si>
  <si>
    <t>Tỷ lệ Đạt (%)</t>
  </si>
  <si>
    <t>Lệnh thực thi tự động (CLI Command)</t>
  </si>
  <si>
    <t>Unit Test (Đơn vị – tầng service)</t>
  </si>
  <si>
    <t>API Test (Tích hợp – Postman/Newman)</t>
  </si>
  <si>
    <t>newman run TechStore-API.postman_collection.json -e TechStore-Local.postman_environment.json --folder "&lt;phân hệ&gt;"</t>
  </si>
  <si>
    <t>UI Auto Test (Giao diện – Playwright)</t>
  </si>
  <si>
    <t>npx playwright test ui/PH1.spec.ts</t>
  </si>
  <si>
    <t>Tên Tệp Test (File Name)</t>
  </si>
  <si>
    <t>Test Case ID / Test Block</t>
  </si>
  <si>
    <t>Mã Assertions Tự Động (Automation Code)</t>
  </si>
  <si>
    <t>I. KIỂM THỬ ĐƠN VỊ TỰ ĐỘNG (UNIT AUTOMATION TESTING)</t>
  </si>
  <si>
    <t>Unit Test</t>
  </si>
  <si>
    <t>LoyaltyPointPolicyTest.java</t>
  </si>
  <si>
    <t>assertEquals(1.0, LoyaltyPointPolicy.tierMultiplier("MEMBER"));
assertEquals(1.2, LoyaltyPointPolicy.tierMultiplier("SILVER"));
assertEquals(1.5, LoyaltyPointPolicy.tierMultiplier("gold"));
assertEquals(2.0, LoyaltyPointPolicy.tierMultiplier("VIP"));
assertEquals(1.0, LoyaltyPointPolicy.tierMultiplier(null));</t>
  </si>
  <si>
    <t>assertEquals(187, LoyaltyPointPolicy.calculateEarnFromOrderSpend(new BigDecimal("1250000"), "GOLD"));
assertEquals(0, LoyaltyPointPolicy.calculateEarnFromOrderSpend(new BigDecimal("9999"), "VIP"));
assertEquals(1, LoyaltyPointPolicy.calculateEarnFromOrderSpend(new BigDecimal("10000"), "MEMBER"));
assertEquals(0, LoyaltyPointPolicy.calculateEarnFromOrderSpend(BigDecimal.ZERO, "VIP"));
assertEquals(0, LoyaltyPointPolicy.calculateEarnFromOrderSpend(new BigDecimal("-50000"), "VIP"));</t>
  </si>
  <si>
    <t>assertEquals(300, LoyaltyPointPolicy.calculateMaxRedeemablePoints(500, new BigDecimal("300000")));
assertEquals(500, LoyaltyPointPolicy.calculateMaxRedeemablePoints(500, new BigDecimal("2000000")));
assertEquals(0, LoyaltyPointPolicy.calculateMaxRedeemablePoints(0, new BigDecimal("300000")));
assertEquals(0, LoyaltyPointPolicy.calculateMaxRedeemablePoints(500, null));
assertEquals(0, LoyaltyPointPolicy.calculateMaxRedeemablePoints(500, new BigDecimal("999")));</t>
  </si>
  <si>
    <t>LoyaltyPointServiceImplTest.java</t>
  </si>
  <si>
    <t>assertEquals(100, res.getPointsApplied());
assertEquals(600, res.getNewPointBalance());
assertEquals(600, u.getLoyaltyPoints());
verify(userRepository).save(u);
verify(transactionRepository).save(tx.capture());</t>
  </si>
  <si>
    <t>assertThrows(IllegalArgumentException.class, () -&gt; loyaltyPointService.adjustPoints(1L, fixed(0)));
assertThrows(IllegalArgumentException.class, () -&gt; loyaltyPointService.adjustPoints(1L, fixed(null)));
verify(userRepository, never()).save(any());
verify(transactionRepository, never()).save(any());</t>
  </si>
  <si>
    <t>IllegalArgumentException ex = assertThrows(IllegalArgumentException.class,
assertTrue(ex.getMessage().contains("Số dư điểm không đủ"));
assertEquals(500, u.getLoyaltyPoints());
verify(userRepository, never()).save(any());
assertThrows(ResourceNotFoundException.class, () -&gt; loyaltyPointService.adjustPoints(2L, fixed(10)));</t>
  </si>
  <si>
    <t>assertEquals(210, res.getPointsApplied());
assertEquals(210, res.getNewPointBalance());
assertEquals("ORDER_SPEND", res.getCalculationMode());
assertThrows(IllegalArgumentException.class, () -&gt; loyaltyPointService.adjustPoints(1L, bad));</t>
  </si>
  <si>
    <t>assertEquals(200, res.getPointsRedeemed());
assertEquals(0, new BigDecimal("200000").compareTo(res.getDiscountAmount()));
assertEquals(300, res.getNewPointBalance());
verify(transactionRepository).save(tx.capture());
assertEquals(-200, tx.getValue().getDelta());</t>
  </si>
  <si>
    <t>IllegalArgumentException ex = assertThrows(IllegalArgumentException.class,
assertTrue(ex.getMessage().contains("150"));
verify(userRepository, never()).save(any());
verify(transactionRepository, never()).save(any());</t>
  </si>
  <si>
    <t>assertEquals(100, res.getPointsRedeemed());
assertEquals(400, res.getNewPointBalance());
assertEquals(0, new BigDecimal("100000").compareTo(res.getDiscountAmount()));
verify(userRepository, never()).findByIdForUpdate(anyLong());
verify(transactionRepository, never()).save(any());</t>
  </si>
  <si>
    <t>assertEquals(100, first.getPointsApplied());
assertEquals(500, first.getNewPointBalance());
assertEquals(0, second.getPointsApplied());
assertEquals(500, second.getNewPointBalance());
verify(transactionRepository, times(1)).save(any());</t>
  </si>
  <si>
    <t>AddressServiceImplTest.java</t>
  </si>
  <si>
    <t>order.verify(addressRepository).unsetDefaultByUserId(7L);
order.verify(addressRepository).save(any(Address.class));
assertEquals(100L, res.getId());
assertTrue(res.getIsDefault());</t>
  </si>
  <si>
    <t>verify(addressRepository, never()).unsetDefaultByUserId(any());
verify(addressRepository).save(saved.capture());
assertEquals(7L, saved.getValue().getUserId());
assertFalse(saved.getValue().getIsDefault());
assertFalse(res.getIsDefault());</t>
  </si>
  <si>
    <t>assertThrows(ResourceNotFoundException.class, () -&gt; addressService.deleteAddress(8L, 5L));
verify(addressRepository, never()).delete(any());
verify(addressRepository).delete(mine);</t>
  </si>
  <si>
    <t>UserServiceImplTest.java</t>
  </si>
  <si>
    <t>assertEquals(1L, res.getId());
assertEquals("kc-abcdef123@placeholder.com", res.getEmail());
assertEquals("user_kc-abcde", res.getUsername());
assertEquals("MEMBER", res.getCustomerTier());
assertEquals(0, res.getLoyaltyPoints());</t>
  </si>
  <si>
    <t>assertEquals(9L, res.getId());
assertEquals("kc-new", existing.getKeycloakUserId());
assertEquals("GOLD", res.getCustomerTier());
assertEquals(120, res.getLoyaltyPoints());
assertEquals("0912345678", res.getPhoneNumber());</t>
  </si>
  <si>
    <t>assertEquals(77L, res.getId());
assertEquals("kc-77", res.getKeycloakUserId());
assertEquals("MEMBER", res.getCustomerTier());
assertTrue(res.isActive());
assertFalse(res.isBlacklisted());</t>
  </si>
  <si>
    <t>IllegalArgumentException ex = assertThrows(IllegalArgumentException.class,
assertTrue(ex.getMessage().contains("Email đã được sử dụng"));
assertEquals("a@mail.com", target.getEmail());
verify(userRepository, never()).save(any());
verify(keycloakAdminClient, never()).updateUser(anyString(), any(), any());</t>
  </si>
  <si>
    <t>assertFalse(target.getActive());
verify(userRepository).save(target);
verify(userRepository, never()).delete(any());</t>
  </si>
  <si>
    <t>assertTrue(target.getIsBlacklisted());
verify(userRepository).save(target);
verify(keycloakAdminClient).setEnabled("kc-1", false);</t>
  </si>
  <si>
    <t>KeycloakSyncException ex = assertThrows(KeycloakSyncException.class,
assertTrue(ex.getMessage().contains("timeout"));
verify(keycloakAdminClient).setPassword(eq("kc-1"), pwd.capture());
assertEquals("newpass1", pwd.getValue());</t>
  </si>
  <si>
    <t>LoyaltyPointServiceImplBugCheck.java</t>
  </si>
  <si>
    <t>assertThrows(IllegalArgumentException.class, () -&gt; loyaltyPointService.adjustPoints(1L, req));
verify(transactionRepository, never()).save(any());</t>
  </si>
  <si>
    <t>UserServiceImplBugCheck.java</t>
  </si>
  <si>
    <t>assertThrows(DataIntegrityViolationException.class, () -&gt; userService.adminCreateUser(req));
verify(keycloakAdminClient).deleteUser("kc-orphan");</t>
  </si>
  <si>
    <t>assertThrows(KeycloakSyncException.class, () -&gt; userService.updateBlacklist(1L, true));</t>
  </si>
  <si>
    <t>GlobalExceptionHandlerBugCheck.java</t>
  </si>
  <si>
    <t>assertNotNull(method);
assertEquals(403, response.getStatusCode().value());</t>
  </si>
  <si>
    <t>II. KIỂM THỬ API TỰ ĐỘNG VỚI NEWMAN / POSTMAN CLI (INTEGRATION AUTOMATION TESTING)</t>
  </si>
  <si>
    <t>API Test</t>
  </si>
  <si>
    <t>pm.test('HTTP status ∈ ' + __exp.join('/'), () =&gt; pm.expect(__exp).to.include(pm.response.code));
pm.test('Có access_token, token_type Bearer', () =&gt; { pm.expect(j.access_token).to.be.a('string'); pm.expect(j.token_type).to.eql('Bearer'); });</t>
  </si>
  <si>
    <t>pm.test('HTTP status ∈ ' + __exp.join('/'), () =&gt; pm.expect(__exp).to.include(pm.response.code));
pm.test('error = invalid_grant', () =&gt; pm.expect(j.error).to.eql('invalid_grant'));</t>
  </si>
  <si>
    <t>pm.test('HTTP status ∈ ' + __exp.join('/'), () =&gt; pm.expect(__exp).to.include(pm.response.code));</t>
  </si>
  <si>
    <t>pm.test('HTTP status ∈ ' + __exp.join('/'), () =&gt; pm.expect(__exp).to.include(pm.response.code));
pm.test('preferred_username = customer', () =&gt; pm.expect(j.preferred_username).to.eql('customer'));</t>
  </si>
  <si>
    <t>pm.test('HTTP status ∈ ' + __exp.join('/'), () =&gt; pm.expect(__exp).to.include(pm.response.code));
pm.test('data.username = customer', () =&gt; pm.expect(j.data.username).to.eql('customer'));</t>
  </si>
  <si>
    <t>pm.test('HTTP status ∈ ' + __exp.join('/'), () =&gt; pm.expect(__exp).to.include(pm.response.code));
pm.test('Lưu đúng họ tên', () =&gt; pm.expect(j.data.fullName).to.eql('Khách Hàng QA'));</t>
  </si>
  <si>
    <t>pm.test('HTTP status ∈ ' + __exp.join('/'), () =&gt; pm.expect(__exp).to.include(pm.response.code));
pm.test('code = VALIDATION_FAILED', () =&gt; pm.expect(j.code).to.eql('VALIDATION_FAILED'));</t>
  </si>
  <si>
    <t>pm.test('HTTP status ∈ ' + __exp.join('/'), () =&gt; pm.expect(__exp).to.include(pm.response.code));
pm.test('Có ít nhất 1 tỉnh', () =&gt; pm.expect(j.data.length).to.be.above(0));</t>
  </si>
  <si>
    <t>pm.test('HTTP status ∈ ' + __exp.join('/'), () =&gt; pm.expect(__exp).to.include(pm.response.code));
pm.test('Có phường/xã', () =&gt; pm.expect(j.data.length).to.be.above(0));</t>
  </si>
  <si>
    <t>pm.test('HTTP status ∈ ' + __exp.join('/'), () =&gt; pm.expect(__exp).to.include(pm.response.code));
pm.test('isDefault = true', () =&gt; pm.expect(j.data.isDefault).to.eql(true));</t>
  </si>
  <si>
    <t>pm.test('HTTP status ∈ ' + __exp.join('/'), () =&gt; pm.expect(__exp).to.include(pm.response.code));
pm.test('Có addrId', () =&gt; pm.expect(j.data.map(a =&gt; a.id)).to.include(Number(pm.environment.get('addrId'))));</t>
  </si>
  <si>
    <t>pm.test('HTTP status ∈ ' + __exp.join('/'), () =&gt; pm.expect(__exp).to.include(pm.response.code));
pm.test('Có content', () =&gt; pm.expect(j.data.content).to.be.an('array'));</t>
  </si>
  <si>
    <t>pm.test('HTTP status ∈ ' + __exp.join('/'), () =&gt; pm.expect(__exp).to.include(pm.response.code));
pm.test('username bị che bằng ***', () =&gt; pm.expect(j.data.username).to.include('*'));</t>
  </si>
  <si>
    <t>III. KIỂM THỬ GIAO DIỆN TỰ ĐỘNG VỚI PLAYWRIGHT (UI AUTOMATION TESTING)</t>
  </si>
  <si>
    <t>UI Test</t>
  </si>
  <si>
    <t>ui/PH1.spec.ts</t>
  </si>
  <si>
    <t>KIỂM THỬ HIỆU NĂNG - PHÂN HỆ TÀI KHOẢN, XÁC THỰC &amp; PHÂN QUYỀN</t>
  </si>
  <si>
    <t>Công cụ:</t>
  </si>
  <si>
    <t>Grafana k6 v0.54.0 (CLI, constant-vus)</t>
  </si>
  <si>
    <t>http://localhost:8085 (user-service)</t>
  </si>
  <si>
    <t>Tài liệu cấu hình:</t>
  </si>
  <si>
    <t>scratchpad/qa/run_perf.py → perf/raw/&lt;module&gt;_&lt;n&gt;.js (+ summary JSON)</t>
  </si>
  <si>
    <t>I. DANH SÁCH KỊCH BẢN KIỂM THỬ HIỆU NĂNG (SCENARIOS)</t>
  </si>
  <si>
    <t>Scenario ID</t>
  </si>
  <si>
    <t>Tên Kịch bản</t>
  </si>
  <si>
    <t>Số lượng VUs (Users) / Cấu hình chạy</t>
  </si>
  <si>
    <t>SCEN_01</t>
  </si>
  <si>
    <t>Load Test: GET /api/v1/users/me, GET /api/v1/public/locations/provinces</t>
  </si>
  <si>
    <t>20 VUs / thời gian 30s (executor constant-vus)</t>
  </si>
  <si>
    <t>SCEN_02</t>
  </si>
  <si>
    <t>Stress Test: GET /api/v1/users/me</t>
  </si>
  <si>
    <t>50 VUs / thời gian 30s (executor constant-vus)</t>
  </si>
  <si>
    <t>II. BẢNG ĐỊNH NGHĨA METRICS &amp; THRESHOLDS</t>
  </si>
  <si>
    <t>Metric / Threshold</t>
  </si>
  <si>
    <t>Mô tả chức năng &amp; Vai trò trong kiểm thử</t>
  </si>
  <si>
    <t>Throughput (req/s)</t>
  </si>
  <si>
    <t>Số request xử lý mỗi giây (http_reqs/s). Thể hiện năng lực tải của API.</t>
  </si>
  <si>
    <t>Average Response Time (ms)</t>
  </si>
  <si>
    <t>Thời gian phản hồi trung bình (http_req_duration avg).</t>
  </si>
  <si>
    <t>p(90) / p(95) (ms)</t>
  </si>
  <si>
    <t>90% / 95% request có thời gian phản hồi ≤ giá trị này.</t>
  </si>
  <si>
    <t>Min / Max Response Time (ms)</t>
  </si>
  <si>
    <t>Thời gian phản hồi nhỏ nhất / lớn nhất ghi nhận.</t>
  </si>
  <si>
    <t>Error Rate (%)</t>
  </si>
  <si>
    <t>Tỉ lệ request lỗi (http_req_failed: mã ≥ 400 hoặc lỗi mạng). Mục tiêu 0%.</t>
  </si>
  <si>
    <t>check()</t>
  </si>
  <si>
    <t>Kiểm tra mã HTTP mong đợi (200) cho từng response — tương đương Response Assertion của JMeter.</t>
  </si>
  <si>
    <t>thresholds</t>
  </si>
  <si>
    <t>Ngưỡng tự động đánh Fail kịch bản khi p95 hoặc tỉ lệ lỗi vượt ngưỡng — tương đương Duration Assertion.</t>
  </si>
  <si>
    <t>Summary (handleSummary)</t>
  </si>
  <si>
    <t>Xuất JSON tổng hợp các chỉ số làm bằng chứng (perf/raw/*.json).</t>
  </si>
  <si>
    <t>III. DANH SÁCH CÁC API KHÔNG KIỂM THỬ HIỆU NĂNG</t>
  </si>
  <si>
    <t>API Method &amp; Endpoint</t>
  </si>
  <si>
    <t>Lý do không đưa vào kịch bản test tải</t>
  </si>
  <si>
    <t>POST/PUT/DELETE /api/v1/admin/users/**</t>
  </si>
  <si>
    <t>Thao tác quản trị tần suất thấp, có ghi Keycloak (tác dụng phụ).</t>
  </si>
  <si>
    <t>PUT /api/v1/users/me, /addresses</t>
  </si>
  <si>
    <t>Ghi dữ liệu cá nhân, tần suất thấp.</t>
  </si>
  <si>
    <t>KẾT QUẢ CHI TIẾT TỪNG KỊCH BẢN</t>
  </si>
  <si>
    <t>Tên Kịch bản / Endpoint</t>
  </si>
  <si>
    <t>Loại Test</t>
  </si>
  <si>
    <t>#VUs</t>
  </si>
  <si>
    <t>Duration
(s)</t>
  </si>
  <si>
    <t>p(90)
(ms)</t>
  </si>
  <si>
    <t>Tổng
Req</t>
  </si>
  <si>
    <t>Avg
(ms)</t>
  </si>
  <si>
    <t>p(95)
(ms)</t>
  </si>
  <si>
    <t>Min
(ms)</t>
  </si>
  <si>
    <t>Max
(ms)</t>
  </si>
  <si>
    <t>Throughput
(req/s)</t>
  </si>
  <si>
    <t>Error
Rate (%)</t>
  </si>
  <si>
    <t>PASS
/FAIL</t>
  </si>
  <si>
    <t>GET /api/v1/users/me (hồ sơ của tôi)</t>
  </si>
  <si>
    <t>Load Test</t>
  </si>
  <si>
    <t>GET /api/v1/public/locations/provinces</t>
  </si>
  <si>
    <t>GET /api/v1/users/me (tải nặng)</t>
  </si>
  <si>
    <t>Stress Test</t>
  </si>
  <si>
    <t>TOTAL</t>
  </si>
  <si>
    <t>ALL</t>
  </si>
  <si>
    <t>Tổng cộng kịch bản</t>
  </si>
  <si>
    <t>Tổng hợp</t>
  </si>
  <si>
    <t>NGƯỠNG THAM CHIẾU</t>
  </si>
  <si>
    <t>Scenario</t>
  </si>
  <si>
    <t>Ngưỡng Response Time</t>
  </si>
  <si>
    <t>Ngưỡng Error Rate</t>
  </si>
  <si>
    <t>p95 &lt; 500 ms</t>
  </si>
  <si>
    <t>&lt; 1%</t>
  </si>
  <si>
    <t>p95 &lt; 1500 ms</t>
  </si>
  <si>
    <t>NHẬN XÉT KẾT QUẢ</t>
  </si>
  <si>
    <t>3 kịch bản, 3 đạt ngưỡng.</t>
  </si>
  <si>
    <t>ĐÁNH GIÁ KẾT QUẢ KIỂM THỬ</t>
  </si>
  <si>
    <t>Phân hệ/Module</t>
  </si>
  <si>
    <t>Người kiểm thử</t>
  </si>
  <si>
    <t>Ngày kiểm thử</t>
  </si>
  <si>
    <t>Số lượng testcase</t>
  </si>
  <si>
    <t>Thiết bị test</t>
  </si>
  <si>
    <t>Laptop Windows 11, RAM 24 GB, Chromium (Playwright) / Newman / k6</t>
  </si>
  <si>
    <t>1. Tổng hợp kết quả kiểm thử</t>
  </si>
  <si>
    <t>Loại kiểm thử</t>
  </si>
  <si>
    <t>Tổng số ca test</t>
  </si>
  <si>
    <t>Không thực hiện</t>
  </si>
  <si>
    <t>Đánh giá chung / Ghi chú</t>
  </si>
  <si>
    <t>Kiểm thử Giao diện (UI &amp; Function)</t>
  </si>
  <si>
    <t>4 ca giao diện không đạt.</t>
  </si>
  <si>
    <t>Kiểm thử tích hợp API (Postman/Newman)</t>
  </si>
  <si>
    <t>34 ca, 3 ca không đạt — chủ yếu sai mã lỗi HTTP / phân quyền / bảo mật (xem sheet API).</t>
  </si>
  <si>
    <t>Kiểm thử Đơn vị tự động (Unit)</t>
  </si>
  <si>
    <t>Line coverage tầng service 58.2%, branch 48.9%. 4 ca BugCheck ghi nhận lỗi.</t>
  </si>
  <si>
    <t>Kiểm thử Hiệu năng (k6) – số kịch bản</t>
  </si>
  <si>
    <t>TỔNG (không gồm hiệu năng)</t>
  </si>
  <si>
    <t>2. Tóm tắt các lỗi/phát hiện chính:</t>
  </si>
  <si>
    <t>1. API_PH1_023: Staff không được đổi hạng khách (chỉ ADMIN) — mong đợi HTTP 403 Forbidden; thực tế HTTP 500.
2. API_PH1_024: Staff không được xem danh sách vai trò (chỉ ADMIN) — mong đợi HTTP 403 Forbidden; thực tế HTTP 500.
3. API_PH1_028: Tạo người dùng trùng username trả 409 — mong đợi HTTP 409 Conflict (username đã tồn tại); thực tế HTTP 500.
4. TC_PH1_POINT_09: adjustPoints chấp nhận calculationMode bất kỳ: giá trị lạ ('BONUS_X') rơi vào nhánh default và bị xử lý như FIXED (cộng 500 điểm), đồng thời lưu mode rác vào lịch sử giao dịch.
5. TC_PH1_ADMIN_06: adminCreateUser tạo user trên Keycloak trước rồi mới lưu DB nhưng không có bước bù trừ: nếu lưu DB lỗi (trùng email/username trong DB) thì tài khoản Keycloak vẫn tồn tại (mồ côi, đăng nhập được, không có hồ sơ).
6. TC_PH1_ADMIN_07: updateBlacklist nuốt lỗi Keycloak (chỉ log.warn): API báo 'Tài khoản đã bị khóa' trong khi user vẫn đăng nhập được. Không nhất quán với adminResetPassword/adminSetUserRoles vốn ném KeycloakSyncException.
7. TC_PH1_AUTHZ_01: GlobalExceptionHandler có @ExceptionHandler(Exception.class) bắt cả AccessDeniedException của @PreAuthorize -&gt; STAFF gọi API chỉ dành cho ADMIN nhận HTTP 500 thay vì 403 (Finding F2).
8. UI_PH1_FR02_002: Cập nhật họ tên thành công và lưu bền — Hiện "Cập nhật hồ sơ thành công." nhưng tải lại trang thì họ tên trở về "hai Thanh". Kiểm chứng API: PUT /users/me trả fullName mới, nhưng GET /users/me ngay sau đó trả lại tên cũ (hồ sơ bị ghi đè bằng tên trong token Keycloak mỗi lần tải).
9. UI_PH1_FR02_007: Thêm địa chỉ với số điện thoại sai định dạng — Địa chỉ có SĐT "abcxyz" vẫn được lưu và hiện trong sổ địa chỉ: form không kiểm tra định dạng và BE (AddressRequest) chỉ kiểm tra @NotBlank. Địa chỉ test đã được xóa sau ca. Bằng chứng: Địa chỉ với SĐT "abcxyz" vẫn được lưu và hiển thị trong sổ địa chỉ.
10. UI_PH1_FR02_008: Hiển thị trang hồ sơ trên màn hình 375px — Nút "Xem tất cả" hiển thị đúng, nhưng trang rộng 394px &gt; 375px nên có cuộn ngang. Phần tràn là thanh tiện ích của header (nav "Tiện ích" với Tra cứu/Yêu thích/Giỏ hàng/Tài khoản), cạnh phải ở khoảng 394px. Bằng chứng: scrollWidth=394; phần tử tràn: nav.flex.items-center.gap-1[394] "local_shippingTra cứufavoriteY" ; a.p-1.5.md:p-2.text-white[394] "account_circleTài khoản" ; span.material-symbols-outlined.text-[20px].md:text-lg[383] "account_circle"
11. UI_PH1_FR03_005: Nhân viên đổi hạng thành viên bị từ chối — Hạng không đổi (đúng), nhưng API trả HTTP 500 và giao diện báo "Lỗi: Đã xảy ra lỗi hệ thống. Vui lòng thử lại sau." thay vì thông báo không có quyền (403). AccessDeniedException bị GlobalExceptionHandler của user-service bắt thành 500 (Finding F2). Bằng chứng: HTTP 500; alert: Lỗi: Đã xảy ra lỗi hệ thống. Vui lòng thử lại sau.; hạng sau thao tác: GOLD</t>
  </si>
  <si>
    <t>3. Đánh giá tổng quan:</t>
  </si>
  <si>
    <t>Ưu điểm:
- Phân tầng rõ, ủy quyền xác thực cho Keycloak (OIDC/JWT) và kiểm tra JWT ở cả gateway lẫn user-service.
- Gateway xóa mọi header X-User-* do client gửi trước khi tự gắn từ JWT (UserHeaderFilter.java:63), rate limit theo user/IP bằng Redis.
- Có bảo vệ cạnh tranh khi trừ điểm bằng PESSIMISTIC_WRITE kèm comment giải thích (UserRepository.java:49-57); redeem/refund có idempotency theo orderId.
- InternalApiKeyFilter của user-service fail-closed khi chưa cấu hình key; hồ sơ công khai che username (maskForPublic).
- GlobalExceptionHandler trả mã lỗi rõ (NOT_FOUND, INVALID_PARAM, KEYCLOAK_SYNC_FAILED, DATA_CONFLICT).</t>
  </si>
  <si>
    <t>Hạn chế:
- Không file nào có header tác giả/ngày/bản quyền; file bắt đầu thẳng bằng package (vd UserServiceImpl.java:1, UserHeaderFilter.java:1).
- Chỉ một số trường entity có chú thích (User.java:38-55: customerTier, segmentationLabel, isBlacklisted, loyaltyPoints). Các trường cấu hình trong KeycloakAdminClient.java:28-38 và DTO như CreateUserRequest.java không có ghi chú.
- KeycloakAdminClient và AdminUserController có Javadoc từng hàm, nhưng UserServiceImpl, LoyaltyPointServiceImpl, AddressServiceImpl không có Javadoc cho hàm public nào.
- UserServiceImpl.java:58-63 nói user có thể được getUserByKeycloakId() tạo với dữ liệu placeholder, nhưng hàm này nay chỉ ném lỗi (UserServiceImpl.java:167-173). user-service SecurityConfig.java:37-38 vẫn ghi 'nên thêm IP whitelist' dù InternalApiKeyFilter đã có.
- Javadoc user-service SecurityConfig.java:17-24 nói tầng 2 'verify lại JWT' để an toàn khi bypass Gateway, nhưng controller lấy danh tính từ header X-User-Id (UserController.java:39) chứ không từ sub của JWT, nên lời giải thích này gây hiểu sai.
- Future của kafkaTemplate.send không được kiểm tra (UserEventProducer.java:37). getUserRealmRoles trả List rỗng khi lỗi (KeycloakAdminClient.java:126-129) nên setUserRoles (KeycloakAdminClient.java:142-147) không phân biệt được 'không có role' với 'gọi Keycloak lỗi'.</t>
  </si>
  <si>
    <t>4. Đề xuất</t>
  </si>
  <si>
    <t>5. Kết luận cá nhân</t>
  </si>
  <si>
    <t>Phân hệ Tài khoản, xác thực &amp; phân quyền đáp ứng các luồng nghiệp vụ chính khi kiểm thử trên môi trường local; các lỗi phát hiện tập trung ở xử lý ngoại lệ (mã lỗi HTTP), phân quyền chi tiết và một số điểm bảo mật/độ bền đã liệt kê ở mục 2. Cần sửa các lỗi mức Cao trước khi triển khai.</t>
  </si>
  <si>
    <t>Người lập báo cáo: 
Ngày: 17/10/2026</t>
  </si>
  <si>
    <t>3 Use Case tổng quan (Manage Category &amp; Product, Search Products, Review Product) + 11 UC phân rã (§3.2: 6, §3.3: 6, trừ trùng Search Products); 2 kịch bản chi tiết (CHUONG_II §1.1, §1.2); 3 tài liệu kỹ thuật (~900 dòng)</t>
  </si>
  <si>
    <t>docs/services/02_PRODUCT_CATALOG_SERVICE.md (v1.1.0, rà soát 2026-10-11); docs/AI/text-search.md; docs/AI/visual-search.md; docs/system_roles_permissions.md §2.2; CHUONG_I_DAC_TA.md §1 (từ khoá 9-13, 26-27, 35-39, 55-56, 58), §2 Bước 3 Chức năng 1-2, Bước 4-5, §3.1 (Manage Category &amp; Product, Search Products, Review Product), §3.2, §3.3; CHUONG_II_PHA_PHAN_TICH.md §1.1 (Edit Product), §1.2 (Search Products), §2 mục b; đối chiếu RA_SOAT_BAO_CAO_VS_CODE.md A8, A17, B20-B21, C7, C17, C19-C20, E1-E12</t>
  </si>
  <si>
    <t>Markdown trong repo, không có mã hiệu, người lập/duyệt hay ngày ban hành chính thức. 02 chỉ ghi 'Version: 1.1.0'; text-search/visual-search chỉ ghi 'Cập nhật 2026-10-11 theo commit ea338a1'.</t>
  </si>
  <si>
    <t>Không theo mẫu SRS nào: 02 là tài liệu thiết kế (I–X), hai file AI là tài liệu kỹ thuật kèm số đo, Chương II là bảng HTML kịch bản.</t>
  </si>
  <si>
    <t>Chỉ có heading và dòng Port/DB/Version (02). Không có công ty, logo, mã dự án hay mã hiệu.</t>
  </si>
  <si>
    <t>Không có bảng; 02 chỉ có một dòng ghi chú 'Rà soát 2026-10-11: đã sửa port gRPC, CSDL, ApiResponse, bổ sung endpoint mục 7.3'.</t>
  </si>
  <si>
    <t>02 là v1.1.0 nhưng thay đổi chỉ ghi gộp trong một câu, không tách theo phiên bản.</t>
  </si>
  <si>
    <t>Không có bảng để đối chiếu. Câu ghi chú rà soát ở 02 đúng với code (gRPC 9089, MariaDB, ApiResponse).</t>
  </si>
  <si>
    <t>text-search.md và visual-search.md đều có câu 'Tài liệu kỹ thuật của chức năng tìm kiếm … trong AI/search-service'; 02 §I.1.1 nêu nhiệm vụ của service.</t>
  </si>
  <si>
    <t>02 §1.1 có bảng nhóm chức năng; text-search/visual-search có bảng 'Trạng thái cài đặt' tách rõ phần đã làm và chưa làm; Chương I Bước 2 nêu phạm vi theo tác nhân.</t>
  </si>
  <si>
    <t>Chương I §1 định nghĩa Category, Product Variant, Attribute, Full-text/Semantic/Image Search (mục 9-13, 36-39). EAV (02 §5.1), RRF (text-search §4) và matchScore (visual-search §6) được giải thích tại chỗ. Riêng các metric Hit@10, Tie@1, CatP@5, MRR chỉ định nghĩa ở search-evaluation.md.</t>
  </si>
  <si>
    <t>Chỉ có link inline tới search-evaluation.md; không có mục tài liệu tham khảo, không trích dẫn bài báo CLIP, e5, RRF. Link puml trong Chương I §3.2-3.3 trỏ tới file:/// trên máy cá nhân (RA_SOAT A17).</t>
  </si>
  <si>
    <t>text-search.md có 'Lưu ý quan trọng: trang tìm kiếm của website chưa gọi endpoint này'; visual-search.md §9 nêu giới hạn giao thức đo và §10 'Vấn đề đã biết'.</t>
  </si>
  <si>
    <t>Chỉ có các heading đánh số, không có đoạn mô tả cấu trúc tài liệu.</t>
  </si>
  <si>
    <t>Chương II §1.1 (nhân viên sửa sản phẩm) và §1.2 (khách tìm bằng chữ/ảnh) mô tả từng bước; Chương I Bước 3 Chức năng 1-2; visual-search §1 có sơ đồ pipeline.</t>
  </si>
  <si>
    <t>02 §1.1 và §VII (7.1-7.3) liệt kê API; Chương I §3.2-3.3 liệt kê các UC phân rã.</t>
  </si>
  <si>
    <t>02 §1.1 nhóm theo Catalog / Product / EAV / Hình ảnh / Review / Tìm kiếm / Cache / gRPC; tìm kiếm văn bản và ảnh được tách thành 2 tài liệu.</t>
  </si>
  <si>
    <t>Chương II §1.1 bước 19 phát ProductUpdatedEvent, code không có (RA_SOAT C7). Chương I Chức năng 2 và Chương II §1.2 mô tả web dùng tìm kiếm lai, nhưng FE gọi /public/products/search của product-service (RA_SOAT A8; text-search 'Lưu ý quan trọng'). Ngoại lệ 12.1 ghi giới hạn 5MB, code là 10MB (config.py:52). 02 §7.2 xếp POST /admin/attributes vào Admin/Staff, code chỉ cho ADMIN (AdminAttributeController.java:21-22).</t>
  </si>
  <si>
    <t>Chương II §1.1 actor Manager Staff, §1.2 Customer/Guest; system_roles §2.2 ghi CUSTOMER/STAFF/ADMIN cho từng endpoint.</t>
  </si>
  <si>
    <t>system_roles §2.2 ghi rõ STAFF được tạo/sửa, chỉ ADMIN được xóa. Tuy vậy actor 'Manager Staff' ở Chương II §1.1 không phải role có thật (RA_SOAT A4).</t>
  </si>
  <si>
    <t>02 §II-III có sơ đồ cache/ES, §VIII có ERD; visual-search §1 có sơ đồ pipeline; Chương I §3.2-3.3 có biểu đồ UC.</t>
  </si>
  <si>
    <t>Không mô tả đặc điểm (trình độ, thiết bị, tần suất) của nhân viên hay khách hàng.</t>
  </si>
  <si>
    <t>02 header (port 8089/9089, MariaDB 10.11); visual-search: chạy CPU-only, YOLO mặc định tắt; text-search §5: gateway giới hạn 30 giây.</t>
  </si>
  <si>
    <t>visual-search §10 và text-search §5 nêu phụ thuộc vào việc build index thủ công (build_index.py) và PRELOAD_MODELS; 02 §3.2 nêu fallback khi Elasticsearch ngoại tuyến.</t>
  </si>
  <si>
    <t>Không có mã yêu cầu; yêu cầu nằm rải trong bảng endpoint và các bước kịch bản.</t>
  </si>
  <si>
    <t>Chương III/II mô tả hybrid e5-base + kNN Elasticsearch (RA_SOAT E10, E12), trong khi text-search/visual-search mô tả e5-large + FAISS. 02 §7.2 và system_roles §2.2 mâu thuẫn về quyền tạo attribute. 02 §1.2 ghi '95% request &lt; 1ms' nhưng không có số đo.</t>
  </si>
  <si>
    <t>Không có độ ưu tiên.</t>
  </si>
  <si>
    <t>UC chỉ có tên (Edit Product, Search by Image, Crop &amp; Extract Features), không có mã.</t>
  </si>
  <si>
    <t>Dẫn chiếu sang search-evaluation.md §3.1/§3.2/§5.2 thì đúng, nhưng link puml ở Chương I §3.2-3.3 trỏ file:///d:/Downloads/... (RA_SOAT A17).</t>
  </si>
  <si>
    <t>text-search §6 và visual-search §9 có số đo (MRR 0.968, Tie@1 36.7%, p50 111 ms) nhưng không đặt ngưỡng đạt/không đạt.</t>
  </si>
  <si>
    <t>UC Review Product và quản lý danh mục/thương hiệu không có kịch bản; wishlist không có UC; Chương II §1.1 thiếu luật về SKU trùng, slug trùng, xóa biến thể đang có đơn.</t>
  </si>
  <si>
    <t>Bảng 'Trạng thái cài đặt' ghi rõ 'Thiết kế, chưa cài đặt' (re-ranking, DINOv2, IVF/HNSW) và 'Đã cài đặt, chưa đo' (YOLO, multimodal).</t>
  </si>
  <si>
    <t>Có số đo độ trễ và độ chính xác nhưng là kết quả đo, không phải yêu cầu có ngưỡng và dung sai; con số ở 02 §1.2 (tỷ lệ 99:1, 95%, &lt; 1ms) không có cơ sở đo.</t>
  </si>
  <si>
    <t>Chương II §1.2 ngoại lệ 16.1 'không nhận diện được vật thể' cần YOLO, mà YOLO đang tắt và code dùng lại ảnh gốc (RA_SOAT C19); Trade-In mở rộng Search Products (RA_SOAT B24) không có trong code.</t>
  </si>
  <si>
    <t>02 chủ yếu là giải pháp (cache-aside, TransactionSynchronization, proto gRPC, schema, Docker); hai file AI mô tả thuật toán và cấu hình model.</t>
  </si>
  <si>
    <t>Chương II §1.1 có ngoại lệ 5.1, 16.1, 16.2, 18.1; §1.2 có 8.1, 12.1, 16.1; visual-search §6 liệt kê 422/400/503/500; 02 §3.2 mô tả fallback ES → MariaDB.</t>
  </si>
  <si>
    <t>02 có schema EAV (§5.2), ERD (§VIII), API (§VII), gRPC (§IV); hai file AI nêu model, số chiều vector, loại index.</t>
  </si>
  <si>
    <t>Phần chính đã chạy; các mục chưa làm được đánh dấu rõ. Ngoại lệ 16.1 chỉ thực hiện được khi bật YOLO.</t>
  </si>
  <si>
    <t>Công thức RRF score = Σ 1/(k+rank), k = 60 (text-search §4); pipeline CLIP → FAISS IndexFlatIP và matchScore = (score+1)/2×100 (visual-search §4, §6); điểm sản phẩm tương tự 0.6 × ảnh + 0.4 × text (text-search §5).</t>
  </si>
  <si>
    <t>Kịch bản có dữ liệu cụ thể (giá 28990000, SKU-ROG-G16-01 ở §1.1) và có số đo tái lập được (seed 42, 200 sản phẩm).</t>
  </si>
  <si>
    <t>Thông báo trong Chương II khác code: 16.1 bắt buộc mô tả, nhưng code chỉ @NotBlank tên và slug (ProductDto.java:22-26, RA_SOAT C20); 16.2 'số nguyên dương' khác 'Giá niêm yết phải lớn hơn 0' (ProductDto.java:33). Lỗi search-service chỉ là mã HTTP + detail.</t>
  </si>
  <si>
    <t>Kịch bản §1.1 và §1.2 ánh xạ về UC Edit Product / Search Products của Chương I §3.2-3.3. Endpoint trong 02 thì chưa được ánh xạ tới UC.</t>
  </si>
  <si>
    <t>system_roles §2.2 và 02 §7.2 phân quyền theo role (xóa chỉ ADMIN); 02 §1.1 yêu cầu xác thực đã mua hàng mới được đánh giá.</t>
  </si>
  <si>
    <t>RBAC qua JWT, kiểm tra lịch sử mua trước khi đánh giá, API nội bộ bị gateway chặn. Không có yêu cầu ẩn dữ liệu nhạy cảm như giá vốn, dù code đang trả costPrice ở API public.</t>
  </si>
  <si>
    <t>Không đề cập sao lưu DB, ảnh MinIO hay FAISS index.</t>
  </si>
  <si>
    <t>Chương II mô tả các thành phần UI nhưng không đặt yêu cầu usability (số bước, thời gian thao tác, khả năng tiếp cận).</t>
  </si>
  <si>
    <t>02 §3.2: fallback MariaDB khi ES lỗi; visual-search §6: service vẫn chạy và trả 503 khi chưa có index.</t>
  </si>
  <si>
    <t>text-search §6 (BM25 p50 15-38 ms, Hybrid 353-406 ms), visual-search §9 (p50 111 ms), 02 §1.2 (mục tiêu cache &lt; 1ms).</t>
  </si>
  <si>
    <t>02 §1.2: '10.000 lượt GET/phút', tỷ lệ đọc/ghi 99:1; faiss_store mô tả catalog 'vài nghìn sản phẩm'; tập đo 200 SP và 431 SP (visual-search §9).</t>
  </si>
  <si>
    <t>Không có yêu cầu về giám sát, log hay quy trình build lại index (visual-search §10 tự nhận là chưa có lịch).</t>
  </si>
  <si>
    <t>02: MariaDB 10.11, Redis, Elasticsearch, MinIO, gRPC 9089; text-search: multilingual-e5-large 1024 chiều + FAISS IndexFlatIP; visual-search: CLIP ViT-B/32 512 chiều, CPU-only.</t>
  </si>
  <si>
    <t>Chương II §1.1 mô tả Admin Sidebar, bảng cột STT/Mã SP/Ảnh…, popup xác nhận; §1.2 mô tả ô tìm kiếm, modal upload và công cụ cắt ảnh.</t>
  </si>
  <si>
    <t>MinIO (02 §VI), Elasticsearch (02 §III), tải ảnh từ CDN khi build index (visual-search §2).</t>
  </si>
  <si>
    <t>gRPC GetPriceInfo (02 §IV), /api/internal/products/price-info và /bulk (02 §7.3), kiểm tra đủ điều kiện đánh giá với order-service (02 §1.1), search-service đọc thẳng MariaDB product để lấy metadata (visual-search §1).</t>
  </si>
  <si>
    <t>REST/JSON với envelope ApiResponse {code, message, data} (02 §7.3), gRPC/Protobuf, multipart upload, Kafka (product-viewed-events, product-reviewed-events).</t>
  </si>
  <si>
    <t>Không đề cập.</t>
  </si>
  <si>
    <t>Model tiền huấn luyện CLIP ViT-B/32, intfloat/multilingual-e5-large, YOLOv8 (Ultralytics); Elasticsearch, MinIO.</t>
  </si>
  <si>
    <t>Có nêu tên model, số chiều, chế độ (text-search §2, visual-search §3, §5) và phiên bản hạ tầng. Chưa nêu giấy phép sử dụng.</t>
  </si>
  <si>
    <t>Có vấn đề bản quyền thực tế: ảnh sản phẩm được tải về từ CDN bên ngoài để build index (visual-search §2, HTTP_USER_AGENT bot ở config.py:42-45); YOLOv8 của Ultralytics dùng giấy phép AGPL-3.0.</t>
  </si>
  <si>
    <t>Không tài liệu nào đề cập giấy phép model hay quyền sử dụng ảnh sản phẩm.</t>
  </si>
  <si>
    <t>Không có tiêu chuẩn ngoài nào được viện dẫn (gRPC/Protobuf chỉ là công nghệ).</t>
  </si>
  <si>
    <t>Không áp dụng tiêu chuẩn ngoài.</t>
  </si>
  <si>
    <t>Điểm mạnh: text-search.md và visual-search.md trung thực, có bảng trạng thái cài đặt, số đo tái lập được và mục 'Vấn đề đã biết'; 02 mô tả đầy đủ EAV, cache, gRPC, API và đã được rà soát lại; Chương II có 2 kịch bản chi tiết với dữ liệu cụ thể và luồng ngoại lệ. Điểm yếu: không có kiểm soát tài liệu, mã yêu cầu, độ ưu tiên hay tiêu chí nghiệm thu; kịch bản Chương II/III lệch code (ProductUpdatedEvent, tìm kiếm lai trên web, kNN Elasticsearch, giới hạn 5MB, bắt buộc mô tả); UC Review Product, quản lý danh mục/thương hiệu và wishlist chưa được đặc tả; thiếu yêu cầu về che dữ liệu nhạy cảm (giá vốn), toàn vẹn khi xóa, đồng bộ index, và bản quyền ảnh/giấy phép model.</t>
  </si>
  <si>
    <t>1. Thêm trang thông tin tài liệu và bảng lịch sử thay đổi; gán mã UC/FR và độ ưu tiên.
2. Sửa kịch bản Chương II §1.1-1.2 theo code: bỏ ProductUpdatedEvent, ghi đúng là web dùng /public/products/search (Elasticsearch), tìm ảnh dùng CLIP + FAISS, giới hạn 10MB, khi YOLO tắt thì dùng ảnh gốc, mô tả không bắt buộc.
3. Viết kịch bản cho Review Product (điều kiện đã mua, 1 đánh giá/sản phẩm/đơn, nhân viên trả lời), quản lý danh mục/thương hiệu và Wishlist.
4. Đặt NFR có ngưỡng (vd p95 tìm ảnh ≤ 1s, Hit@10 ≥ x%) làm tiêu chí nghiệm thu; bỏ các số chưa đo ở 02 §1.2.
5. Bổ sung yêu cầu: API public không trả giá vốn và sản phẩm ẩn; quy tắc xóa sản phẩm/danh mục; lịch build lại FAISS và cách đồng bộ index ES.
6. Thống nhất quyền tạo attribute giữa 02 §7.2 và system_roles §2.2; thêm mục tài liệu tham khảo (CLIP, e5, RRF) và ghi chú giấy phép (AGPL YOLOv8, bản quyền ảnh).</t>
  </si>
  <si>
    <t>product-service (BE/product-service/src/main/java/com/ecommerce/productservice/), AI/search-service (app/, Dockerfile) + AI/shared-common/shared_common/database.py</t>
  </si>
  <si>
    <t>41 file đã xem: product-service 29 (7 service/impl, 7 controller, SecurityConfig, InternalApiKeyFilter, CacheConfig, FeignInternalApiConfig, OrderClient, GlobalExceptionHandler, ProductDto, ProductReviewDto, ProductReview, WishlistItem, ProductRepository, ProductReviewRepository, ProductGrpcServerService, 2 event producer, application.yml), search-service 12 (search.py, main.py, config.py, 7 module services, Dockerfile, shared_common/database.py); khoảng 3.900 dòng Java + 1.100 dòng Python</t>
  </si>
  <si>
    <t>Phân tầng controller/service/repository rõ; Python có type hint và docstring. Tuy nhiên ProductServiceImpl.java dài 880 dòng và lặp nguyên khối 'index ES + evict cache' 6 lần (ProductServiceImpl.java:222-269, :415-469, :498-549), làm giảm khả năng đọc.</t>
  </si>
  <si>
    <t>Đa số theo quy ước Java/PEP 8. Còn vài chỗ lệch: tên lớp đầy đủ thay vì import (ProductController.java:27, :120-124), ép kiểu raw Map không kiểm tra (ProductServiceImpl.java:699, :702), ném RuntimeException chung cho trường hợp không tìm thấy (ProductController.java:62, CategoryServiceImpl.java:59).</t>
  </si>
  <si>
    <t>Phần lớn có nghĩa (existingVariantsBySku, incomingSkus). Riêng các tên viết tắt pavs, vovs (ProductServiceImpl.java:570-572, :604-608) khó hiểu nếu không đọc entity.</t>
  </si>
  <si>
    <t>Java và Python đều thụt 4 khoảng trắng, đồng nhất.</t>
  </si>
  <si>
    <t>Java dùng K&amp;R nhất quán; một số if một dòng không có ngoặc (ProductServiceImpl.java:434-435) nhưng vẫn rõ ràng.</t>
  </si>
  <si>
    <t>Không file Java/Python nào có header tác giả/bản quyền (vd ProductServiceImpl.java:1, search.py:1).</t>
  </si>
  <si>
    <t>ProductDto chỉ ghi chú attributes/specsRaw/images (ProductDto.java:29-30, :53); entity ProductReview không có ghi chú trường nào. config.py của search-service thì có comment theo nhóm cho từng biến môi trường (config.py:14-55).</t>
  </si>
  <si>
    <t>Số magic lặp lại: Duration.ofDays(7) xuất hiện 3 lần (WishlistServiceImpl.java:63, :118, :160), pool = top_k * 3 (hybrid_search.py:46), max(top_k * 20, 200) (faiss_store.py:156). Phía Python, các tham số RRF_K, MM_*_WEIGHT, MAX_UPLOAD_MB đã được đặt tên trong config.py.</t>
  </si>
  <si>
    <t>Service Java gần như không có Javadoc (createProduct, updateProduct, addReview). Python thì ngược lại: hầu hết hàm có docstring (faiss_store.py, visual_search.py, catalog.py).</t>
  </si>
  <si>
    <t>Công thức RRF (hybrid_search.py:12-15), lý do lấy dư khi tìm FAISS (faiss_store.py:154-155), self-injection để @Cacheable có tác dụng (ProductServiceImpl.java:52-55), lý do evict slug cache (ProductServiceImpl.java:232-236), BUG FIX isWishlisted (WishlistServiceImpl.java:138-143).</t>
  </si>
  <si>
    <t>Đã grep product-service và search-service/app: không có code bị comment-out, không có TODO/FIXME.</t>
  </si>
  <si>
    <t>Javadoc ProductGrpcServerService.java:22-26 ghi gRPC 'Replaces: REST endpoint GET /api/internal/products/price-info' trong khi endpoint đó vẫn tồn tại (InternalProductController.java:18). Log ở ReviewServiceImpl.java:65 ghi 'Tạm thời bỏ qua bước check để hỗ trợ test' nhưng hành vi này vẫn còn trong bản chạy thật.</t>
  </si>
  <si>
    <t>Phần lớn rõ và đúng với code (CacheConfig.java:31-38 giải thích serializer gắn kiểu, ProductController.java:48-51 giải thích header X-Track-View). Hai comment lỗi thời đã nêu ở câu trên là ngoại lệ.</t>
  </si>
  <si>
    <t>Nhiều comment nói lý do: vì sao ghép nền trắng cho PNG trong suốt (image_loader.py:23-24), vì sao dùng UTC cho sự kiện xem (ProductViewEventProducer.java:34-36), vì sao không bật CORS ở service (main.py:17-19).</t>
  </si>
  <si>
    <t>Đa số đúng (resolveCategoryIdsWithDescendants, reload_if_changed, reciprocal_rank_fusion). Ngoại lệ nhỏ: getProductById trả null thay vì ném lỗi (ProductServiceImpl.java:112-116), nên caller phải tự kiểm tra.</t>
  </si>
  <si>
    <t>getProductById trả null, controller ném RuntimeException nên ra 500 thay vì 404 (ProductController.java:60-63, :76-79). Future của kafkaTemplate.send không được kiểm tra (ProductEventProducer.java:38). catalog.get_products_by_ids trả {} khi DB lỗi (catalog.py:84-86) nên API tìm kiếm trả rỗng thay vì báo lỗi.</t>
  </si>
  <si>
    <t>GlobalExceptionHandler.java xử lý 404/400/409/validation/500. search.py ánh xạ InvalidImageError → 400, chưa có index → 503, lỗi khác → 500 (search.py:57-62, :89-93).</t>
  </si>
  <si>
    <t>ReviewServiceImpl.java:64-66 nuốt mọi lỗi khi gọi order-service rồi vẫn cho tạo đánh giá (fail-open). indexProduct nuốt lỗi Elasticsearch và không retry (SearchServiceImpl.java:87-89), nên index có thể lệch DB mãi mà caller không biết.</t>
  </si>
  <si>
    <t>_meta_cache chỉ kiểm tra TTL khi đọc, không bao giờ xóa entry hết hạn (catalog.py:29, :63-67). load_image_from_file đọc toàn bộ file upload vào RAM rồi mới kiểm tra giới hạn MB (image_loader.py:53 so với :41-42).</t>
  </si>
  <si>
    <t>catalog._query đóng kết nối trong finally (catalog.py:39-46); InputStream MinIO dùng try-with-resources (MinioStorageServiceImpl.java:57); FaissStore.save ghi file tạm rồi os.replace (faiss_store.py:132-138).</t>
  </si>
  <si>
    <t>Không thấy close/delete lặp trên cùng tài nguyên.</t>
  </si>
  <si>
    <t>Lazy-load model không có lock (text_search.py:28-33, visual_search.py:36-41); GET /search là hàm sync chạy trong threadpool nên các request đầu đồng thời có thể nạp e5-large (~2GB) nhiều lần. Phía Java, ratingAvg được tính lại theo kiểu đọc–ghi không khóa (ReviewServiceImpl.java:80-89) nên có thể mất cập nhật. Kiểm tra trùng đánh giá là check-then-insert (ReviewServiceImpl.java:45-51) trong khi product_reviews không có unique (ProductReview.java:12).</t>
  </si>
  <si>
    <t>FaissStore hoán đổi index/ids dưới threading.Lock (faiss_store.py:32, :68-71, :152-153); _meta_cache được bảo vệ bằng _meta_lock (catalog.py:30, :61, :88). Bean Spring không giữ trạng thái thay đổi.</t>
  </si>
  <si>
    <t>Mỗi lock đều dùng with và không lồng nhau (faiss_store.py:68, :95, :152; catalog.py:61, :88).</t>
  </si>
  <si>
    <t>Lock Python ngắn và không lồng nhau. Vấn đề chặn event loop của endpoint async được nêu ở phần Performance.</t>
  </si>
  <si>
    <t>Đúng khi cây danh mục không có chu trình. Tuy vậy BFS ở ProductServiceImpl.java:95-108 và vòng while ở CategoryServiceImpl.java:125-132 không có tập visited; createCategory (CategoryServiceImpl.java:65-80) cũng không kiểm tra parentId.</t>
  </si>
  <si>
    <t>Không xảy ra trong luồng bình thường vì updateCategory chặn chu trình (CategoryServiceImpl.java:97). Nếu dữ liệu DB có chu trình thì hai vòng lặp nêu trên sẽ không dừng.</t>
  </si>
  <si>
    <t>resolveCategoryIdsWithDescendants gọi findByParentId cho từng node, thành N+1 query (ProductServiceImpl.java:102). updateProduct xóa, flush rồi insert option value cho từng variant trong vòng lặp (ProductServiceImpl.java:336-352).</t>
  </si>
  <si>
    <t>getAttributesMap()/getAttributesByCodeMap() đọc lại toàn bộ bảng attributes mỗi lần convertToDto (ProductServiceImpl.java:574, :609, :863-866, :876-879) thay vì cache. Đoạn dựng ProductDocument bị lặp nguyên khối (SearchServiceImpl.java:47-61 và :69-83).</t>
  </si>
  <si>
    <t>Endpoint async def chạy YOLO + CLIP đồng bộ trên event loop (search.py:75-88, :97-111) với 1 worker uvicorn (Dockerfile:28), nên mỗi request ảnh chặn mọi request khác, kể cả /health. Fallback tìm bằng LIKE '%kw%' trên cột TEXT (ProductRepository.java:27). addReview tải toàn bộ review của sản phẩm để tính trung bình (ReviewServiceImpl.java:80-84). show-sql: true (application.yml:23).</t>
  </si>
  <si>
    <t>Ngoài các điểm trên: mỗi lần ghi sản phẩm xóa sạch cache products_list (ProductServiceImpl.java:242-245); getReviewsByProduct không phân trang (ReviewServiceImpl.java:96-100); search-service mở kết nối MariaDB mới cho mỗi truy vấn, không dùng pool (catalog.py:39-46). Điểm tốt: convertToDtoList gom batch theo IN, tránh N+1 (ProductServiceImpl.java:559-597).</t>
  </si>
  <si>
    <t>POST /products/reviews không có @Valid và ProductReviewDto không có ràng buộc (ProductController.java:113, ProductReviewDto.java:19): rating null gây NPE → 500, rating 99 vẫn được lưu. top_k không giới hạn (search.py:25, :78, :101, :120); size phân trang không giới hạn (ProductController.java:34, :43, :90).</t>
  </si>
  <si>
    <t>FaissStore bỏ qua pos &lt; 0, giới hạn k ≤ ntotal và kiểm tra số chiều (faiss_store.py:149-150, :156, :160-161); capitalize kiểm tra chuỗi rỗng (ProductServiceImpl.java:859).</t>
  </si>
  <si>
    <t>Java do compiler bắt buộc; Python không thấy biến dùng trước khi gán (vd rows được gán [] trong except, catalog.py:84-86).</t>
  </si>
  <si>
    <t>ProductServiceImpl 880 dòng; createProduct ~145 dòng (ProductServiceImpl.java:126-272), updateProduct ~200 dòng (ProductServiceImpl.java:274-472). Nên tách helper afterCommitSync(id, slugs) và VariantUpsertService. catalog.py 355 dòng gộp cả MariaDB, Elasticsearch và MongoDB.</t>
  </si>
  <si>
    <t>[PH2] API công khai có che dữ liệu nội bộ (giá vốn, sản phẩm đã ẩn) không?</t>
  </si>
  <si>
    <t>ProductDto trả costPrice của sản phẩm và variant qua /api/v1/public/products/** (ProductServiceImpl.java:649, :669). Khi active=null, danh sách trả cả sản phẩm ẩn (ProductController.java:32, ProductServiceImpl.java:69-73); getProductsByCategory (ProductServiceImpl.java:88-89) và tìm kiếm ES (SearchServiceImpl.java:31-33) cũng không lọc active.</t>
  </si>
  <si>
    <t>[PH2] Kiểm tra quyền đánh giá (đã mua hàng) có fail-closed khi order-service lỗi không?</t>
  </si>
  <si>
    <t>Mọi Exception khác IllegalStateException (timeout, 5xx, mất kết nối) đều bị bỏ qua và đánh giá vẫn được lưu (ReviewServiceImpl.java:62-66). Lời gọi Feign này còn nằm trong @Transactional (ReviewServiceImpl.java:39) nên giữ kết nối DB trong lúc chờ mạng.</t>
  </si>
  <si>
    <t>[PH2] Phân quyền STAFF/ADMIN có nhất quán giữa các đường đi không?</t>
  </si>
  <si>
    <t>POST /admin/attributes chỉ cho ADMIN (AdminAttributeController.java:21-22), nhưng STAFF tạo/sửa sản phẩm với mã thuộc tính mới sẽ tự sinh Attribute (ProductServiceImpl.java:731-739, :837-845).</t>
  </si>
  <si>
    <t>[PH2] Xóa sản phẩm/danh mục có giữ toàn vẹn dữ liệu liên quan không?</t>
  </si>
  <si>
    <t>deleteProduct xóa cứng nhưng không xóa wishlist_items vốn có FK product_id (WishlistItem.java:28-29), nên lỗi FK trả 500; review và product_similarities bị mồ côi. deleteCategory xóa thẳng, không kiểm tra danh mục con hay sản phẩm (CategoryServiceImpl.java:117-119).</t>
  </si>
  <si>
    <t>[PH2] Chỉ mục tìm kiếm có được đồng bộ khi dữ liệu thay đổi không?</t>
  </si>
  <si>
    <t>ES chỉ được index một lần sau commit, nuốt lỗi và không retry (SearchServiceImpl.java:65-90). FAISS phải build tay bằng scripts/build_index.py; metadata cache 5 phút (catalog.py:24) nên sản phẩm vừa ẩn vẫn có thể hiện tối đa 5 phút.</t>
  </si>
  <si>
    <t>* Điểm mạnh:
- Cache-aside Redis với serializer gắn kiểu (chống unsafe deserialization), evict sau commit qua TransactionSynchronization, tránh lệch cache khi rollback.
- convertToDtoList gom batch bằng IN, tránh N+1 cho danh sách sản phẩm; EAV có unique (product_id, attribute_id).
- Có fallback MariaDB khi Elasticsearch lỗi, cả ở product-service và search-service (_mark_es_down 30s).
- search-service: FaissStore thread-safe, tự reload khi index đổi, ghi file atomic; trả 503/400 rõ ràng; docstring tốt.
- Upload ảnh có kiểm tra MIME và làm sạch folder; sự kiện xem chỉ phát khi có X-Track-View (opt-in).</t>
  </si>
  <si>
    <t>1. Bỏ costPrice khỏi DTO public (dùng DTO riêng hoặc @JsonView) và luôn lọc active=true ở mọi endpoint/tìm kiếm công khai.
2. Chuyển kiểm tra quyền đánh giá sang fail-closed (trả 503 khi order-service lỗi), đưa lời gọi Feign ra ngoài transaction, cấu hình timeout Feign; thêm unique (user_id, product_id, order_id) và @Valid với @Min(1) @Max(5) cho rating.
3. Ném ResourceNotFoundException thay cho RuntimeException/null (ProductController, CategoryServiceImpl) để trả 404.
4. Khi xóa sản phẩm thì xóa wishlist/review liên quan (hoặc chuyển sang xóa mềm); chặn xóa danh mục còn con hoặc còn sản phẩm.
5. search-service: đổi endpoint ảnh sang def (threadpool) hoặc dùng run_in_threadpool; thêm lock khi lazy-load model; giới hạn top_k (le=100) và đọc file upload theo giới hạn byte; dùng connection pool có connect/read timeout.
6. Tách helper sync-after-commit trong ProductServiceImpl; cache bảng attributes; dùng 1 query đệ quy (CTE) hoặc cache cây danh mục thay cho N+1 BFS.
7. Khi STAFF gửi mã thuộc tính mới, báo lỗi thay vì tự tạo Attribute; thêm retry/outbox cho index ES và lịch build lại FAISS.</t>
  </si>
  <si>
    <t>Phân hệ: PH2 – Sản phẩm, danh mục, đánh giá &amp; tìm kiếm</t>
  </si>
  <si>
    <t>Danh mục &amp; bộ lọc sản phẩm</t>
  </si>
  <si>
    <t>Trang chủ, trang danh mục: sắp xếp, lọc giá, lọc thương hiệu, phân trang, responsive</t>
  </si>
  <si>
    <t>Chi tiết sản phẩm, đánh giá &amp; yêu thích</t>
  </si>
  <si>
    <t>Trang chi tiết: biến thể, tab bảo hành, điểm đánh giá, thêm giỏ khi chưa đăng nhập, sản phẩm không tồn tại, wishlist</t>
  </si>
  <si>
    <t>Tìm kiếm từ khóa &amp; hình ảnh</t>
  </si>
  <si>
    <t>Ô tìm kiếm header (product-service) và tìm bằng ảnh (ai-search-service :8001, CLIP + FAISS)</t>
  </si>
  <si>
    <t>Quản trị sản phẩm (Admin)</t>
  </si>
  <si>
    <t>Tab Product List và Add Products: hiển thị, tìm kiếm, kiểm tra dữ liệu khi đăng bán</t>
  </si>
  <si>
    <t>1. TỔNG QUAN KẾT QUẢ
- Tổng cộng 25 test case được thực hiện, trong đó 21 Pass (84%) và 4 Fail (16%), không có Pending.
- Phân loại theo nhóm: UI/UX 6, Function 10, Negative 9.
Trang chủ, chi tiết sản phẩm, tìm kiếm từ khóa và tìm bằng ảnh (ai-search-service :8001) hoạt động ổn định. Lỗi tập trung ở bộ lọc mức giá, điểm đánh giá, xử lý sản phẩm không tồn tại và header ở màn hình hẹp.</t>
  </si>
  <si>
    <t>2. PHÂN TÍCH KẾT QUẢ
Nhóm UI/UX (6 test case): 5 Pass, 1 Fail. Trang danh mục ở 375px bị cuộn ngang do thanh tiện ích header tràn tới 394px (UI_PH2_FR01_007).
Nhóm Function (10 test case): 8 Pass, 2 Fail.
- Bấm mức giá "2 – 10 triệu" bị ghi đè ngay về "Tất cả" (minPrice=0&amp;maxPrice=1000000000), danh sách vẫn có sản phẩm 29.890.000đ (UI_PH2_FR01_004).
- Điểm cạnh tên sản phẩm hiện 0 dù có 4 đánh giá, trung bình 4.5 (UI_PH2_FR02_004).
Sắp xếp giá, lọc thương hiệu, chọn biến thể, tab bảo hành, wishlist, tìm "iphone" (99/100 kết quả đúng) và tìm bằng ảnh đều đạt.
Nhóm Negative (9 test case): 8 Pass, 1 Fail. Mở /product/999999 chỉ báo "Đã xảy ra lỗi hệ thống", không báo "Không tìm thấy sản phẩm" (UI_PH2_FR02_006).
Điểm tích cực: từ khóa XSS hiển thị dạng text; tìm kiếm rỗng bị chặn; tệp không phải ảnh bị từ chối; Add Products chặn thiếu danh mục và giá khuyến mãi lớn hơn giá niêm yết; khách chưa đăng nhập thêm giỏ được yêu cầu đăng nhập.</t>
  </si>
  <si>
    <t>3. PHÂN TÍCH NGUYÊN NHÂN GỐC
- FilterPanel: ô nhập giá Từ/Đến (debounce 400 ms) gửi lại giá trị cũ sau khi bấm mức giá có sẵn, nên minPrice/maxPrice trên URL bị ghi đè.
- product-service không cập nhật ratingAvg khi có đánh giá mới, trong khi trang chi tiết lấy điểm từ product.rating thay vì tính từ danh sách đánh giá.
- product-service ném RuntimeException "Product not found" và GlobalExceptionHandler trả 500 thay vì 404 (F6), nên FE chỉ hiện được thông báo lỗi chung.
- Header không thu gọn các mục tiện ích (Tra cứu/Yêu thích/Giỏ hàng/Tài khoản) ở màn hình dưới 400px.</t>
  </si>
  <si>
    <t>4. MỨC ĐỘ NGHIÊM TRỌNG
- Trung bình (Medium): bộ lọc mức giá có sẵn không dùng được; điểm đánh giá luôn hiện 0 làm người mua hiểu sai chất lượng sản phẩm.
- Thấp (Low): thông báo lỗi chung khi mở sản phẩm không tồn tại; header tràn ngang ở màn hình 375px.</t>
  </si>
  <si>
    <t>FR_01 – Danh mục &amp; bộ lọc sản phẩm</t>
  </si>
  <si>
    <t>UI_PH2_FR01_001</t>
  </si>
  <si>
    <t>Kiểm tra giao diện trang chủ</t>
  </si>
  <si>
    <t>Khách chưa đăng nhập; URL /</t>
  </si>
  <si>
    <t>1. Mở trang chủ.
2. Quan sát header, banner, danh sách sản phẩm.</t>
  </si>
  <si>
    <t>Có ô tìm kiếm "Bạn muốn mua gì hôm nay ?", nút tìm bằng hình ảnh, nút "Danh mục", banner, thẻ sản phẩm và các liên kết Tra cứu/Yêu thích/Giỏ hàng/Đăng nhập.</t>
  </si>
  <si>
    <t>UI_PH2_FR01_002</t>
  </si>
  <si>
    <t>Trang danh mục tự chọn danh mục gốc và phân trang</t>
  </si>
  <si>
    <t>URL /category (không tham số)</t>
  </si>
  <si>
    <t>1. Mở /category.
2. Quan sát URL, tiêu đề, số sản phẩm, lưới sản phẩm.</t>
  </si>
  <si>
    <t>URL tự thêm activeCategory; hiện tiêu đề, "{n} sản phẩm", breadcrumb; mỗi trang tối đa 12 sản phẩm.</t>
  </si>
  <si>
    <t>UI_PH2_FR01_003</t>
  </si>
  <si>
    <t>Sắp xếp sản phẩm theo giá thấp đến cao</t>
  </si>
  <si>
    <t>Danh mục Điện thoại, Tablet; Sắp xếp: Giá thấp → cao</t>
  </si>
  <si>
    <t>1. Mở /category?activeCategory=dien-thoai.
2. Chọn "Giá thấp → cao".
3. Đọc giá các thẻ trên trang 1.</t>
  </si>
  <si>
    <t>URL có sort=price_asc; giá các sản phẩm tăng dần.</t>
  </si>
  <si>
    <t>Bằng chứng: Giá trang 1: 295000, 999000, 1000000, 1000000, 1000000, 1000000, 1000000, 1000000, 1000000, 1000000, 1000000, 1000000</t>
  </si>
  <si>
    <t>UI_PH2_FR01_004</t>
  </si>
  <si>
    <t>Lọc sản phẩm theo khoảng giá 2 – 10 triệu</t>
  </si>
  <si>
    <t>Danh mục Điện thoại, Tablet; mức giá "2 – 10 triệu"</t>
  </si>
  <si>
    <t>1. Mở /category?activeCategory=dien-thoai.
2. Trong "Khoảng giá" bấm "2 – 10 triệu".
3. Đọc giá các thẻ sản phẩm.</t>
  </si>
  <si>
    <t>URL giữ minPrice=2000000&amp;maxPrice=10000000, chip "Đang lọc:" hiện, mọi sản phẩm có giá trong khoảng 2.000.000–10.000.000đ.</t>
  </si>
  <si>
    <t>Sau khi bấm "2 – 10 triệu", URL đổi thành minPrice=2000000&amp;maxPrice=10000000 rồi ngay lập tức bị ghi đè thành minPrice=0&amp;maxPrice=1000000000 (do ô nhập giá Từ/Đến debounce 400 ms đẩy lại giá trị cũ). Danh sách vẫn có sản phẩm 29.890.000đ, 15.990.000đ... Bằng chứng: URL=http://localhost:5173/category?activeCategory=dien-thoai&amp;minPrice=0&amp;maxPrice=1000000000; giá: 29890000, 15990000, 3590000, 17590000, 6990000, 5890000, 10990000, 7990000, 13690000, 19990000, 22990000, 11190000</t>
  </si>
  <si>
    <t>UI_PH2_FR01_005</t>
  </si>
  <si>
    <t>Lọc theo thương hiệu và xóa chip lọc</t>
  </si>
  <si>
    <t>Thương hiệu: Samsung</t>
  </si>
  <si>
    <t>1. Mở /category?activeCategory=dien-thoai.
2. Tích ô "Samsung" trong mục Thương hiệu.
3. Bấm nút xóa ở chip lọc.</t>
  </si>
  <si>
    <t>URL có brand=Samsung, chỉ còn sản phẩm Samsung/Galaxy; xóa chip thì bỏ tham số brand.</t>
  </si>
  <si>
    <t>Bằng chứng: 10 sản phẩm -&gt; 169 sản phẩm</t>
  </si>
  <si>
    <t>UI_PH2_FR01_006</t>
  </si>
  <si>
    <t>Nhập khoảng giá "Từ" lớn hơn "Đến"</t>
  </si>
  <si>
    <t>Từ: 20.000.000; Đến: 1.000.000</t>
  </si>
  <si>
    <t>1. Mở trang danh mục Điện thoại.
2. Nhập Từ = 20000000, Đến = 1000000.
3. Chờ bộ lọc áp dụng.</t>
  </si>
  <si>
    <t>Không lỗi trang; hiện cảnh báo khoảng giá không hợp lệ hoặc trạng thái rỗng "Không tìm thấy sản phẩm".</t>
  </si>
  <si>
    <t>Bằng chứng: URL=http://localhost:5173/category?activeCategory=dien-thoai&amp;minPrice=20000000&amp;maxPrice=1000000; số thẻ SP=0; cảnh báo=0; trạng thái rỗng=1</t>
  </si>
  <si>
    <t>UI_PH2_FR01_007</t>
  </si>
  <si>
    <t>Trang danh mục trên màn hình 375px</t>
  </si>
  <si>
    <t>1. Đặt kích thước 375×800.
2. Mở trang danh mục Điện thoại.
3. Đo độ rộng nội dung.</t>
  </si>
  <si>
    <t>Hiện nút "Bộ lọc" thay cho cột lọc; trang không bị cuộn ngang (≤ 375px).</t>
  </si>
  <si>
    <t>Nút "Bộ lọc" hiển thị đúng nhưng trang rộng 394px &gt; 375px (cuộn ngang). Phần tràn là thanh tiện ích header (nav "Tiện ích", liên kết "Đăng nhập" kết thúc ở 394px). Bằng chứng: scrollWidth=394</t>
  </si>
  <si>
    <t>FR_02 – Chi tiết sản phẩm, đánh giá &amp; yêu thích</t>
  </si>
  <si>
    <t>UI_PH2_FR02_001</t>
  </si>
  <si>
    <t>Kiểm tra giao diện trang chi tiết sản phẩm</t>
  </si>
  <si>
    <t>Sản phẩm id 1 (Samsung Galaxy S26 Ultra)</t>
  </si>
  <si>
    <t>1. Mở /product/1.
2. Quan sát tên, giá, biến thể, nút mua, các tab.</t>
  </si>
  <si>
    <t>Hiện tên sản phẩm, giá 29.890.000đ, các biến thể màu, nút "MUA NGAY" và "Thêm vào giỏ", tab Mô tả/Thông số kỹ thuật/Bảo hành/Đánh giá (n).</t>
  </si>
  <si>
    <t>UI_PH2_FR02_002</t>
  </si>
  <si>
    <t>Chọn biến thể màu sắc</t>
  </si>
  <si>
    <t>Biến thể: Xanh Sky Blue</t>
  </si>
  <si>
    <t>1. Mở /product/1.
2. Bấm biến thể "Xanh Sky Blue".</t>
  </si>
  <si>
    <t>Nhãn nhóm biến thể hiện ": Xanh Sky Blue" (biến thể được chọn).</t>
  </si>
  <si>
    <t>UI_PH2_FR02_003</t>
  </si>
  <si>
    <t>Tab bảo hành hiển thị thời hạn</t>
  </si>
  <si>
    <t>Sản phẩm id 1 (warrantyPeriod = 12)</t>
  </si>
  <si>
    <t>1. Mở /product/1.
2. Bấm tab "Bảo hành".</t>
  </si>
  <si>
    <t>Hiện "Thời hạn bảo hành: 12 tháng".</t>
  </si>
  <si>
    <t>UI_PH2_FR02_004</t>
  </si>
  <si>
    <t>Điểm đánh giá trung bình khớp danh sách đánh giá</t>
  </si>
  <si>
    <t>Sản phẩm id 1 có 4 đánh giá (5, 5, 5, 3 sao)</t>
  </si>
  <si>
    <t>1. Lấy danh sách đánh giá qua API công khai.
2. Mở /product/1.
3. Đọc điểm trung bình cạnh tên sản phẩm.</t>
  </si>
  <si>
    <t>Điểm hiển thị bằng trung bình thực tế (4.5) và số đánh giá "(4 đánh giá)".</t>
  </si>
  <si>
    <t>Hiện "(4 đánh giá)" nhưng điểm cạnh tên sản phẩm là 0 và 0 sao (trung bình thực tế 4.5). Trang dùng product.rating, trong khi ratingAvg của sản phẩm trên server vẫn là 0.0 (không được cập nhật khi có đánh giá). Hành vi này đã được ghi nhận trong mục 13 của hướng dẫn test thủ công. Bằng chứng: 4 đánh giá, trung bình thực tế 4.5; điểm hiển thị cạnh tên SP: 0</t>
  </si>
  <si>
    <t>UI_PH2_FR02_005</t>
  </si>
  <si>
    <t>Khách chưa đăng nhập bấm "Thêm vào giỏ"</t>
  </si>
  <si>
    <t>Khách chưa đăng nhập; sản phẩm id 1</t>
  </si>
  <si>
    <t>1. Mở /product/1 khi chưa đăng nhập.
2. Bấm "Thêm vào giỏ".</t>
  </si>
  <si>
    <t>Hiện toast "Vui lòng đăng nhập để thêm sản phẩm vào giỏ hàng." rồi chuyển sang trang đăng nhập Keycloak.</t>
  </si>
  <si>
    <t>UI_PH2_FR02_006</t>
  </si>
  <si>
    <t>Mở sản phẩm không tồn tại</t>
  </si>
  <si>
    <t>URL /product/999999</t>
  </si>
  <si>
    <t>1. Mở /product/999999.</t>
  </si>
  <si>
    <t>Hiện "Không tìm thấy sản phẩm." và liên kết "Quay về trang chủ".</t>
  </si>
  <si>
    <t>Trang hiện "Đã xảy ra lỗi hệ thống. Vui lòng thử lại sau." kèm nút "Thử lại" thay vì thông báo không tìm thấy sản phẩm, vì GET /public/products/999999 trả HTTP 500 (RuntimeException "Product not found" không được map thành 404, Finding F6). Bằng chứng: Nội dung hiển thị: error_outline Đã xảy ra lỗi hệ thống. Vui lòng thử lại sau. Thử lại</t>
  </si>
  <si>
    <t>UI_PH2_FR02_007</t>
  </si>
  <si>
    <t>Thêm sản phẩm vào danh sách yêu thích</t>
  </si>
  <si>
    <t>customer; sản phẩm thứ 2 của danh mục Điện thoại</t>
  </si>
  <si>
    <t>1. Đăng nhập customer, mở trang danh mục.
2. Bấm "Yêu thích" trên thẻ sản phẩm.
3. Mở /wishlist.</t>
  </si>
  <si>
    <t>Nút đổi thành "Đã thích"; sản phẩm xuất hiện trong trang "Sản phẩm yêu thích" (dọn lại sau test).</t>
  </si>
  <si>
    <t>FR_03 – Tìm kiếm từ khóa &amp; hình ảnh</t>
  </si>
  <si>
    <t>UI_PH2_FR03_001</t>
  </si>
  <si>
    <t>Tìm kiếm từ khóa trên header</t>
  </si>
  <si>
    <t>Từ khóa: iphone</t>
  </si>
  <si>
    <t>1. Mở trang chủ.
2. Gõ "iphone" vào ô tìm kiếm, nhấn Enter.</t>
  </si>
  <si>
    <t>Chuyển tới /search?q=iphone, hiện "Kết quả tìm kiếm:", đa số kết quả chứa "iPhone".</t>
  </si>
  <si>
    <t>Bằng chứng: 100 thẻ, 99 thẻ chứa "iphone"</t>
  </si>
  <si>
    <t>UI_PH2_FR03_002</t>
  </si>
  <si>
    <t>Tìm kiếm với ô rỗng hoặc toàn khoảng trắng</t>
  </si>
  <si>
    <t>Từ khóa: "    "</t>
  </si>
  <si>
    <t>1. Mở trang chủ.
2. Nhập toàn khoảng trắng, nhấn Enter.</t>
  </si>
  <si>
    <t>Không điều hướng, vẫn ở trang chủ.</t>
  </si>
  <si>
    <t>UI_PH2_FR03_003</t>
  </si>
  <si>
    <t>Từ khóa chứa mã HTML/script hiển thị dạng text (XSS)</t>
  </si>
  <si>
    <t>Từ khóa: &lt;img src=x onerror=alert(1)&gt;</t>
  </si>
  <si>
    <t>1. Nhập từ khóa chứa thẻ img onerror vào ô tìm kiếm, nhấn Enter.
2. Quan sát trang kết quả.</t>
  </si>
  <si>
    <t>Từ khóa hiển thị nguyên văn trong tiêu đề, không chạy script, không có alert, không chèn thẻ img.</t>
  </si>
  <si>
    <t>UI_PH2_FR03_004</t>
  </si>
  <si>
    <t>Từ khóa không có kết quả</t>
  </si>
  <si>
    <t>URL /search?q=zzqxwv987654</t>
  </si>
  <si>
    <t>1. Mở /search?q=zzqxwv987654.</t>
  </si>
  <si>
    <t>Hiện "Không tìm thấy sản phẩm" và "Thử từ khóa khác hoặc điều chỉnh bộ lọc".</t>
  </si>
  <si>
    <t>UI_PH2_FR03_005</t>
  </si>
  <si>
    <t>Kiểm tra giao diện hộp thoại tìm kiếm bằng hình ảnh</t>
  </si>
  <si>
    <t>Ảnh fixtures/phone.jpg</t>
  </si>
  <si>
    <t>1. Bấm nút "Tìm bằng hình ảnh" trên header.
2. Chọn ảnh điện thoại.</t>
  </si>
  <si>
    <t>Hiện tiêu đề "Tìm kiếm bằng hình ảnh (Visual Search AI)", vùng kéo thả; sau khi chọn ảnh có ảnh xem trước và các nút "Vùng giữa", "Toàn ảnh", "Chọn ảnh khác", "Tìm kiếm sản phẩm".</t>
  </si>
  <si>
    <t>UI_PH2_FR03_006</t>
  </si>
  <si>
    <t>Tìm kiếm sản phẩm bằng ảnh điện thoại</t>
  </si>
  <si>
    <t>Ảnh fixtures/phone.jpg; ai-search-service :8001</t>
  </si>
  <si>
    <t>1. Mở hộp thoại tìm bằng ảnh, chọn ảnh.
2. Bấm "Tìm kiếm sản phẩm".</t>
  </si>
  <si>
    <t>Gọi POST /public/search/image thành công, chuyển tới /search?imageSearch=true, hiện "Sản phẩm tương đồng với ảnh tải lên" và thẻ sản phẩm có "Độ khớp: N%".</t>
  </si>
  <si>
    <t>Bằng chứng: HTTP 200</t>
  </si>
  <si>
    <t>UI_PH2_FR03_007</t>
  </si>
  <si>
    <t>Tìm bằng ảnh với tệp không phải ảnh</t>
  </si>
  <si>
    <t>Tệp fixtures/not_image.txt</t>
  </si>
  <si>
    <t>1. Mở hộp thoại tìm bằng ảnh.
2. Chọn tệp .txt.
3. Bấm "Tìm kiếm sản phẩm".</t>
  </si>
  <si>
    <t>Hiện thông báo "Tìm kiếm hình ảnh thất bại.", hộp thoại vẫn mở, không chuyển trang kết quả.</t>
  </si>
  <si>
    <t>Bằng chứng: Thông báo: Tìm kiếm hình ảnh thất bại.</t>
  </si>
  <si>
    <t>FR_04 – Quản trị sản phẩm (Admin)</t>
  </si>
  <si>
    <t>UI_PH2_FR04_001</t>
  </si>
  <si>
    <t>Kiểm tra giao diện danh sách sản phẩm (Admin)</t>
  </si>
  <si>
    <t>admin; tab Product List</t>
  </si>
  <si>
    <t>1. Đăng nhập admin.
2. Mở tab Product List.</t>
  </si>
  <si>
    <t>Hiện "Danh Sách Sản Phẩm Trong Kho", KPI Tổng sản phẩm/Đang kinh doanh/Tổng biến thể SKU, bảng có cột Sản phẩm/Danh mục/Thương hiệu/Giá bán/Trạng thái, nút Chỉnh sửa và Xóa.</t>
  </si>
  <si>
    <t>UI_PH2_FR04_002</t>
  </si>
  <si>
    <t>Tìm kiếm sản phẩm trong trang quản trị</t>
  </si>
  <si>
    <t>Từ khóa: iPhone Air</t>
  </si>
  <si>
    <t>1. Mở tab Product List.
2. Nhập "iPhone Air" vào ô "Tìm theo tên, mô tả...".</t>
  </si>
  <si>
    <t>Bảng chỉ còn các sản phẩm chứa "iPhone Air".</t>
  </si>
  <si>
    <t>Bằng chứng: 4 dòng, 4 dòng chứa "iPhone Air"</t>
  </si>
  <si>
    <t>UI_PH2_FR04_003</t>
  </si>
  <si>
    <t>Đăng bán sản phẩm khi chưa chọn danh mục</t>
  </si>
  <si>
    <t>Tên: UI Test SP Thieu Danh Muc; Giá: 1.000.000; không chọn danh mục</t>
  </si>
  <si>
    <t>1. Mở tab Add Products.
2. Nhập tên, giá; bỏ trống danh mục.
3. Bấm "Đăng Bán Ngay".</t>
  </si>
  <si>
    <t>Bị chặn với yêu cầu chọn danh mục (alert "Vui lòng chọn danh mục." hoặc kiểm tra bắt buộc của trình duyệt), không gọi API tạo sản phẩm.</t>
  </si>
  <si>
    <t>Bằng chứng: alert: ; select invalid (HTML5): 2</t>
  </si>
  <si>
    <t>UI_PH2_FR04_004</t>
  </si>
  <si>
    <t>Giá khuyến mãi lớn hơn giá niêm yết</t>
  </si>
  <si>
    <t>Giá niêm yết 1.000.000; Giá KM 2.000.000; danh mục Tivi; ảnh qua link</t>
  </si>
  <si>
    <t>1. Mở Add Products, điền tên/slug.
2. Nhập giá niêm yết 1.000.000, giá KM 2.000.000; chọn danh mục, thương hiệu; thêm ảnh bằng link.
3. Bấm "Đăng Bán Ngay".</t>
  </si>
  <si>
    <t>Alert "Giá khuyến mãi phải nhỏ hơn giá niêm yết", không tạo sản phẩm.</t>
  </si>
  <si>
    <t>Bằng chứng: alert: Giá khuyến mãi phải nhỏ hơn giá niêm yết</t>
  </si>
  <si>
    <t>Project: TECHSTORE_2026 | Phân hệ: PH2 – Sản phẩm, danh mục, đánh giá &amp; tìm kiếm | Framework: JUnit 5 + Mockito (Spring Boot 3.2.5, Java 17); pytest 9.1 + pytest-cov 7.1 (Python 3.10, image ai-search-service)</t>
  </si>
  <si>
    <t>JUnit 5 + Mockito (Spring Boot 3.2.5, Java 17); pytest 9.1 + pytest-cov 7.1 (Python 3.10, image ai-search-service)</t>
  </si>
  <si>
    <t>JaCoCo 0.8.11 (CLI, không sửa pom); coverage.py 7.16 qua pytest-cov (--cov-branch)</t>
  </si>
  <si>
    <t>MariaDB (mock repository); search-service: Elasticsearch/MariaDB/MongoDB mock, FAISS index nhỏ trong thư mục tạm, container --network none</t>
  </si>
  <si>
    <t>Java 17; Python 3.10</t>
  </si>
  <si>
    <t>BE/product-service/src/test/java/com/ecommerce/productservice/, AI/search-service/tests/</t>
  </si>
  <si>
    <t>mvn -q -pl product-service -am org.jacoco:jacoco-maven-plugin:0.8.11:prepare-agent test org.jacoco:jacoco-maven-plugin:0.8.11:report -DfailIfNoTests=false -Dsurefire.failIfNoSpecifiedTests=false  (BugCheck: mvn -q -pl product-service -am test -Dtest=*BugCheck ...) ; docker run --rm --network none -v A:/Graduation-Project/AI/search-service:/workspace/search-service -w /workspace/search-service ai-search-service sh -c "pip install pytest pytest-cov httpx (wheel offline) &amp;&amp; python -m pytest -p no:cacheprovider tests/ --junitxml=... --cov=app --cov-branch --cov-report=json"  (BugCheck: python -m pytest tests/bugcheck_ph2_search.py)</t>
  </si>
  <si>
    <t>ProductServiceImpl.java</t>
  </si>
  <si>
    <t>createProduct(), updateProduct(), getProductsByCategoryCacheable()</t>
  </si>
  <si>
    <t>Slug duy nhất, chuẩn hóa giá KM, resolve brand, lưu ảnh/tag/biến thể/thuộc tính EAV, upsert biến thể theo SKU, lấy sản phẩm cả danh mục con.</t>
  </si>
  <si>
    <t>ReviewServiceImpl.java</t>
  </si>
  <si>
    <t>addReview(), replyToReview()</t>
  </si>
  <si>
    <t>Bắt buộc orderId, chống đánh giá trùng, kiểm tra đủ điều kiện qua order-service, tính lại điểm TB, phản hồi 1 lần.</t>
  </si>
  <si>
    <t>CategoryServiceImpl.java</t>
  </si>
  <si>
    <t>createCategory(), updateCategory(), getCategoryById()</t>
  </si>
  <si>
    <t>Slug duy nhất, chặn cha là chính nó / chu trình.</t>
  </si>
  <si>
    <t>BrandServiceImpl.java</t>
  </si>
  <si>
    <t>createBrand(), updateBrand()</t>
  </si>
  <si>
    <t>Slug duy nhất khi tạo và khi đổi slug.</t>
  </si>
  <si>
    <t>SearchServiceImpl.java</t>
  </si>
  <si>
    <t>searchProducts()</t>
  </si>
  <si>
    <t>Elasticsearch, lỗi thì fallback DB và map ProductDocument (effectivePrice).</t>
  </si>
  <si>
    <t>WishlistServiceImpl.java</t>
  </si>
  <si>
    <t>addToWishlist(), isWishlisted()</t>
  </si>
  <si>
    <t>Không lưu trùng, đồng bộ/đọc dự phòng Redis set.</t>
  </si>
  <si>
    <t>AI search-service: app/services/hybrid_search.py</t>
  </si>
  <si>
    <t>reciprocal_rank_fusion(), HybridSearchService.search()</t>
  </si>
  <si>
    <t>Hợp nhất BM25 + dense bằng RRF (k=60), pool top_k×3, bỏ SP không active, lọc giá bao gồm biên, cắt top_k.</t>
  </si>
  <si>
    <t>AI search-service: app/services/catalog.py</t>
  </si>
  <si>
    <t>bm25_search(), _keyword_search_db(), _tokens(), suggest(), get_products_by_ids(), _effective_price()</t>
  </si>
  <si>
    <t>BM25 ES + fallback LIKE MariaDB khi ES down (tạm bỏ ES 30s), gợi ý khử trùng tối đa 5, cache metadata 300s, giá hiệu lực.</t>
  </si>
  <si>
    <t>AI search-service: app/api/endpoints/search.py</t>
  </si>
  <si>
    <t>GET /search, /search/suggest, POST /search/image</t>
  </si>
  <si>
    <t>query_understood (intent + keywords), lỗi 500 không lộ chi tiết, guard upload ảnh (422/503/400).</t>
  </si>
  <si>
    <t>AI search-service: app/services/image_loader.py</t>
  </si>
  <si>
    <t>load_image_from_bytes(), _normalize()</t>
  </si>
  <si>
    <t>Ảnh rỗng/không phải ảnh/vượt MAX_UPLOAD_MB, nền trong suốt -&gt; trắng.</t>
  </si>
  <si>
    <t>AI search-service: app/services/faiss_store.py, text_search.py</t>
  </si>
  <si>
    <t>build(), search(), save(), load(), reload_if_changed(), TextSearchService.search()</t>
  </si>
  <si>
    <t>Gộp theo SP giữ cosine cao nhất, lưu nguyên tử, từ chối index lệch chiều/map, nạp lại theo mtime tối đa 1 lần/30s, không nạp e5 khi chưa có index.</t>
  </si>
  <si>
    <t>Quy tắc catalog nằm ở service</t>
  </si>
  <si>
    <t>Validation slug, chu trình danh mục, chuẩn hóa giá, điều kiện đánh giá, fallback tìm kiếm đều nằm trong *ServiceImpl; controller chỉ map request/response.</t>
  </si>
  <si>
    <t>Mock được hạ tầng nặng</t>
  </si>
  <si>
    <t>Elasticsearch, Redis, Feign OrderClient, Kafka producer, CacheManager và 9 repository JPA được mock, không cần docker.</t>
  </si>
  <si>
    <t>Dựng được tình huống lỗi</t>
  </si>
  <si>
    <t>ES sập, order-service không phản hồi, Redis chưa warm cache... khó tái hiện ổn định qua API nhưng dễ dàng ở mức unit.</t>
  </si>
  <si>
    <t>AI search: logic xếp hạng nằm ở service</t>
  </si>
  <si>
    <t>Endpoint /search chỉ bọc envelope; RRF, lọc giá, fallback ES -&gt; MariaDB, reload FAISS đều là hàm Python thuần kiểm được với dữ liệu giả, không cần ES/MariaDB/model.</t>
  </si>
  <si>
    <t>ProductController / AdminProductController / CategoryController / BrandController / WishlistController / AdminReviewController</t>
  </si>
  <si>
    <t>Tầng web mỏng, đã phủ bằng kiểm thử API PH2.</t>
  </si>
  <si>
    <t>CatalogImportServiceImpl.java</t>
  </si>
  <si>
    <t>Import manifest lớn (442 dòng) nhiều phụ thuộc; ngoài phạm vi được giao (ưu tiên luồng CRUD/đánh giá/tìm kiếm). Đề xuất đợt sau.</t>
  </si>
  <si>
    <t>AttributeServiceImpl.java</t>
  </si>
  <si>
    <t>Ngoài phạm vi được giao cho đợt này.</t>
  </si>
  <si>
    <t>Upload MinIO - I/O ngoài, cần test tích hợp.</t>
  </si>
  <si>
    <t>ProductGrpcServerService.java</t>
  </si>
  <si>
    <t>Endpoint gRPC; cần test tích hợp với order-service.</t>
  </si>
  <si>
    <t>ProductServiceImpl.getAllProducts()/getProductsByCategory()</t>
  </si>
  <si>
    <t>Gọi qua proxy self (@Lazy @Autowired) để dùng @Cacheable, không khởi tạo được khi không có Spring context; đã test trực tiếp phần lõi getProductsByCategoryCacheable().</t>
  </si>
  <si>
    <t>AI search-service: visual_search.py (encode CLIP, multimodal), yolo_crop.py</t>
  </si>
  <si>
    <t>Cần tải model CLIP ViT-B/32 / YOLOv8 (hàng trăm MB, không có mạng trong container test); chỉ kiểm hàm thuần _to_match_score.</t>
  </si>
  <si>
    <t>AI search-service: scripts/build_index.py, evaluate.py, experiment_visual.py; image_loader.load_image_from_url()</t>
  </si>
  <si>
    <t>Script offline build/đánh giá index và tải ảnh từ CDN (mạng) — ngoài phạm vi unit test.</t>
  </si>
  <si>
    <t>AI search-service: catalog.get_similar_ids()/save_similarities() (MongoDB)</t>
  </si>
  <si>
    <t>Đọc/ghi product_similarities trên MongoDB thật; cần test tích hợp.</t>
  </si>
  <si>
    <t>ProductServiceImpl</t>
  </si>
  <si>
    <t>com.ecommerce.productservice.service.impl</t>
  </si>
  <si>
    <t>326/553</t>
  </si>
  <si>
    <t>ReviewServiceImpl</t>
  </si>
  <si>
    <t>64/73</t>
  </si>
  <si>
    <t>CategoryServiceImpl</t>
  </si>
  <si>
    <t>40/80</t>
  </si>
  <si>
    <t>BrandServiceImpl</t>
  </si>
  <si>
    <t>28/63</t>
  </si>
  <si>
    <t>SearchServiceImpl</t>
  </si>
  <si>
    <t>27/58</t>
  </si>
  <si>
    <t>WishlistServiceImpl</t>
  </si>
  <si>
    <t>29/73</t>
  </si>
  <si>
    <t>Phần AI search-service (pytest-cov)</t>
  </si>
  <si>
    <t>app/services/hybrid_search.py</t>
  </si>
  <si>
    <t>AI/search-service</t>
  </si>
  <si>
    <t>43/43</t>
  </si>
  <si>
    <t>app/services/catalog.py</t>
  </si>
  <si>
    <t>100/163</t>
  </si>
  <si>
    <t>app/services/faiss_store.py</t>
  </si>
  <si>
    <t>100/116</t>
  </si>
  <si>
    <t>app/services/image_loader.py</t>
  </si>
  <si>
    <t>38/78</t>
  </si>
  <si>
    <t>app/services/text_search.py</t>
  </si>
  <si>
    <t>21/39</t>
  </si>
  <si>
    <t>app/api/endpoints/search.py</t>
  </si>
  <si>
    <t>46/67</t>
  </si>
  <si>
    <t>Phần AI (search-service): pytest-cov --cov-branch JSON của lần chạy thật AI/search-service/tests/ (28 test); bugcheck_ph2_search.py chạy riêng. visual_search.py/yolo_crop.py không tính vào scope (cần model CLIP/YOLO).</t>
  </si>
  <si>
    <t>Test có sẵn trong repo (đã chạy lại, không tính vào bảng ca bên dưới): util/ProductPricingUtilsTest.java (3 test, có sẵn, không sửa) cũng chạy cùng lệnh và PASS; không tính vào danh sách case của PH2. | AI/search-service trước đó chưa có thư mục tests (thêm mới conftest.py + 2 file test).</t>
  </si>
  <si>
    <t>TC_PH2_PROD_01</t>
  </si>
  <si>
    <t>BE/product-service/src/test/java/com/ecommerce/productservice/service/ProductServiceImplTest.java</t>
  </si>
  <si>
    <t>createProduct()</t>
  </si>
  <si>
    <t>Chặn tạo sản phẩm trùng slug</t>
  </si>
  <si>
    <t>Đã có sản phẩm slug 'iphone-15'</t>
  </si>
  <si>
    <t>name='iPhone 15', slug='iphone-15', price=20.000.000, categoryId=3</t>
  </si>
  <si>
    <t>IllegalArgumentException 'Slug sản phẩm đã tồn tại'; không save, không index ES</t>
  </si>
  <si>
    <t>TC_PH2_PROD_02</t>
  </si>
  <si>
    <t>Chuẩn hóa giá KM không hợp lệ, resolve tên brand, giá trị mặc định, index ES và xóa cache slug</t>
  </si>
  <si>
    <t>Slug chưa tồn tại; brand 9 = 'Apple'</t>
  </si>
  <si>
    <t>price=20.000.000, salePrice=25.000.000, brandId=9, brand='sai-ten'</t>
  </si>
  <si>
    <t>salePrice lưu = null; brand='Apple'; active=true; length=0; indexProduct(50); evict cache 'iphone-15'</t>
  </si>
  <si>
    <t>TC_PH2_PROD_03</t>
  </si>
  <si>
    <t>Lưu đầy đủ ảnh, tag, biến thể và thuộc tính biến thể</t>
  </si>
  <si>
    <t>Slug chưa tồn tại; chưa có attribute 'color'</t>
  </si>
  <si>
    <t>images=[a.jpg,b.jpg], tags=[apple,flagship], variant sku=IP15-BLK, variantAttr={color:Đen}</t>
  </si>
  <si>
    <t>2 ảnh sortOrder 0,1 gắn productId 51; lưu 2 tag; biến thể active=true; tạo attribute 'color' kiểu 'select'; lưu option value</t>
  </si>
  <si>
    <t>TC_PH2_PROD_04</t>
  </si>
  <si>
    <t>updateProduct()</t>
  </si>
  <si>
    <t>Cập nhật sản phẩm không tồn tại</t>
  </si>
  <si>
    <t>Không có sản phẩm id 404</t>
  </si>
  <si>
    <t>id=404</t>
  </si>
  <si>
    <t>ResourceNotFoundException (HTTP 404); không save</t>
  </si>
  <si>
    <t>TC_PH2_PROD_05</t>
  </si>
  <si>
    <t>Chặn đổi slug sang slug của sản phẩm khác</t>
  </si>
  <si>
    <t>SP 1 slug 'old-slug'; SP 2 slug 'iphone-15'</t>
  </si>
  <si>
    <t>id=1, slug='iphone-15'</t>
  </si>
  <si>
    <t>IllegalArgumentException; không save</t>
  </si>
  <si>
    <t>TC_PH2_PROD_06</t>
  </si>
  <si>
    <t>Upsert biến thể theo SKU khi cập nhật</t>
  </si>
  <si>
    <t>SP 1 có biến thể KEEP (100) và DROP</t>
  </si>
  <si>
    <t>variants=[KEEP giá 150, NEW giá 200]</t>
  </si>
  <si>
    <t>KEEP cập nhật giá 150; DROP bị xóa; NEW được thêm với productId=1; xóa/ghi lại tag, ảnh; reindex ES</t>
  </si>
  <si>
    <t>TC_PH2_PROD_07</t>
  </si>
  <si>
    <t>getProductsByCategoryCacheable()</t>
  </si>
  <si>
    <t>Danh mục cha hiển thị cả sản phẩm của danh mục con/cháu</t>
  </si>
  <si>
    <t>Cây danh mục 1 -&gt; 2 -&gt; 3; SP 5 thuộc danh mục 3</t>
  </si>
  <si>
    <t>categoryId=1, page 0 size 10</t>
  </si>
  <si>
    <t>Truy vấn findByCategoryIdIn([1,2,3]); trả 1 sản phẩm id 5; hasNext=false</t>
  </si>
  <si>
    <t>TC_PH2_REVIEW_01</t>
  </si>
  <si>
    <t>BE/product-service/src/test/java/com/ecommerce/productservice/service/ReviewServiceImplTest.java</t>
  </si>
  <si>
    <t>addReview()</t>
  </si>
  <si>
    <t>Bắt buộc orderId khi đánh giá</t>
  </si>
  <si>
    <t>productId=5, userId=user-1, orderId=null, rating=5</t>
  </si>
  <si>
    <t>IllegalArgumentException chứa 'orderId'; không gọi order-service, không lưu</t>
  </si>
  <si>
    <t>TC_PH2_REVIEW_02</t>
  </si>
  <si>
    <t>Chống đánh giá trùng cho cùng sản phẩm + đơn hàng</t>
  </si>
  <si>
    <t>Đã có đánh giá (user-1, SP 5, đơn 100)</t>
  </si>
  <si>
    <t>productId=5, orderId=100</t>
  </si>
  <si>
    <t>IllegalStateException 'đã đánh giá' (HTTP 409); không lưu</t>
  </si>
  <si>
    <t>TC_PH2_REVIEW_03</t>
  </si>
  <si>
    <t>Chỉ người đã mua và nhận hàng mới được đánh giá</t>
  </si>
  <si>
    <t>order-service (mock) trả data=false</t>
  </si>
  <si>
    <t>IllegalStateException; không lưu, không phát sự kiện</t>
  </si>
  <si>
    <t>TC_PH2_REVIEW_04</t>
  </si>
  <si>
    <t>Đánh giá hợp lệ được lưu và cập nhật điểm trung bình sản phẩm</t>
  </si>
  <si>
    <t>Đủ điều kiện; SP 5 có các đánh giá 4 và 5 sao</t>
  </si>
  <si>
    <t>rating=5, imageUrls=[http://img/1.jpg, http://img/2.jpg]</t>
  </si>
  <si>
    <t>Lưu imageUrls dạng 'url1,url2'; ratingAvg=4.50; lưu product; phát ProductReviewed; trả id 77 với 2 ảnh</t>
  </si>
  <si>
    <t>TC_PH2_REVIEW_05</t>
  </si>
  <si>
    <t>replyToReview()</t>
  </si>
  <si>
    <t>Nhân viên chỉ phản hồi đánh giá 1 lần</t>
  </si>
  <si>
    <t>Review 1 chưa phản hồi; review 2 đã phản hồi</t>
  </si>
  <si>
    <t>reply(1,'staff-9','Cảm ơn bạn!')
reply(2,'staff-9','Lần 2')</t>
  </si>
  <si>
    <t>Review 1 có nội dung, staffReplierId, staffReplyAt; review 2 -&gt; IllegalStateException; chỉ 1 lần save</t>
  </si>
  <si>
    <t>TC_PH2_CAT_01</t>
  </si>
  <si>
    <t>BE/product-service/src/test/java/com/ecommerce/productservice/service/CategoryServiceImplTest.java</t>
  </si>
  <si>
    <t>createCategory()</t>
  </si>
  <si>
    <t>Slug danh mục duy nhất; mặc định active</t>
  </si>
  <si>
    <t>Đã có slug 'dien-thoai'</t>
  </si>
  <si>
    <t>slug='dien-thoai'
slug='laptop' (active=null)</t>
  </si>
  <si>
    <t>IllegalArgumentException cho 'dien-thoai'; 'laptop' lưu id 10, active=true</t>
  </si>
  <si>
    <t>TC_PH2_CAT_02</t>
  </si>
  <si>
    <t>updateCategory()</t>
  </si>
  <si>
    <t>Chặn đặt danh mục làm cha của chính nó</t>
  </si>
  <si>
    <t>Danh mục 5 tồn tại</t>
  </si>
  <si>
    <t>id=5, parentId=5</t>
  </si>
  <si>
    <t>IllegalArgumentException 'chính nó'; không save</t>
  </si>
  <si>
    <t>TC_PH2_CAT_03</t>
  </si>
  <si>
    <t>Chặn tạo chu trình trong cây danh mục</t>
  </si>
  <si>
    <t>Cây A(1) &lt;- B(2) &lt;- C(3)</t>
  </si>
  <si>
    <t>id=1 (A), parentId=3 (C)</t>
  </si>
  <si>
    <t>IllegalArgumentException 'chu trình'; không save</t>
  </si>
  <si>
    <t>TC_PH2_BRAND_01</t>
  </si>
  <si>
    <t>BE/product-service/src/test/java/com/ecommerce/productservice/service/BrandServiceImplTest.java</t>
  </si>
  <si>
    <t>Slug thương hiệu duy nhất khi tạo và khi đổi slug</t>
  </si>
  <si>
    <t>Đã có slug 'apple'; brand 2 'samsung' active</t>
  </si>
  <si>
    <t>create slug='apple'
update 2 slug='apple'
update 2 slug='samsung', name='Samsung VN', categoryIds=[1,2]</t>
  </si>
  <si>
    <t>2 lần đầu IllegalArgumentException; lần 3 cập nhật tên, giữ active=true, categoryIds=[1,2], không kiểm tra existsBySlug khi slug không đổi</t>
  </si>
  <si>
    <t>TC_PH2_SEARCH_01</t>
  </si>
  <si>
    <t>BE/product-service/src/test/java/com/ecommerce/productservice/service/SearchServiceImplTest.java</t>
  </si>
  <si>
    <t>Tìm kiếm dùng Elasticsearch khi sẵn sàng</t>
  </si>
  <si>
    <t>ES (mock) trả 1 kết quả</t>
  </si>
  <si>
    <t>keyword='iphone', page 0 size 10</t>
  </si>
  <si>
    <t>Trả đúng trang của ES; không truy vấn DB</t>
  </si>
  <si>
    <t>TC_PH2_SEARCH_02</t>
  </si>
  <si>
    <t>Fallback tìm trong DB khi Elasticsearch lỗi</t>
  </si>
  <si>
    <t>ES ném 'Connection refused'; DB có SP 7 giá 20.000.000, KM 18.000.000</t>
  </si>
  <si>
    <t>keyword='iphone'
keyword='  '</t>
  </si>
  <si>
    <t>1 kết quả id 7, effectivePrice=18.000.000, categoryId='3'; từ khóa rỗng -&gt; findByActive(true)</t>
  </si>
  <si>
    <t>TC_PH2_WISH_01</t>
  </si>
  <si>
    <t>BE/product-service/src/test/java/com/ecommerce/productservice/service/WishlistServiceImplTest.java</t>
  </si>
  <si>
    <t>addToWishlist()</t>
  </si>
  <si>
    <t>Thêm wishlist không trùng và đồng bộ Redis</t>
  </si>
  <si>
    <t>SP 5 đã có trong wishlist u1; SP 6 chưa có</t>
  </si>
  <si>
    <t>add(u1,5)
add(u1,6)</t>
  </si>
  <si>
    <t>SP 5: không save; SP 6: save DB, SADD user:u1:wishlist '6', TTL 7 ngày</t>
  </si>
  <si>
    <t>TC_PH2_WISH_02</t>
  </si>
  <si>
    <t>isWishlisted()</t>
  </si>
  <si>
    <t>Cache Redis chưa có key thì đọc DB và nạp lại cache</t>
  </si>
  <si>
    <t>Redis chưa có key user:u1:wishlist; DB có (u1, 5)</t>
  </si>
  <si>
    <t>isWishlisted(u1, 5)</t>
  </si>
  <si>
    <t>true; không gọi SISMEMBER; SADD '5' vào cache</t>
  </si>
  <si>
    <t>TC_PH2_PROD_08</t>
  </si>
  <si>
    <t>BE/product-service/src/test/java/com/ecommerce/productservice/service/ProductServiceImplBugCheck.java</t>
  </si>
  <si>
    <t>Chặn tạo sản phẩm thuộc danh mục không tồn tại</t>
  </si>
  <si>
    <t>Không có danh mục 999</t>
  </si>
  <si>
    <t>slug='ghost', price=100.000, categoryId=999</t>
  </si>
  <si>
    <t>Ném lỗi (400/404); không save sản phẩm</t>
  </si>
  <si>
    <t>TC_PH2_REVIEW_06</t>
  </si>
  <si>
    <t>BE/product-service/src/test/java/com/ecommerce/productservice/service/ReviewServiceImplBugCheck.java</t>
  </si>
  <si>
    <t>Số sao phải trong khoảng 1..5</t>
  </si>
  <si>
    <t>Đủ điều kiện đánh giá</t>
  </si>
  <si>
    <t>rating=7</t>
  </si>
  <si>
    <t>IllegalArgumentException; không lưu</t>
  </si>
  <si>
    <t>TC_PH2_REVIEW_07</t>
  </si>
  <si>
    <t>order-service lỗi kết nối thì không được bỏ qua kiểm tra đã mua</t>
  </si>
  <si>
    <t>orderClient ném 'Connection refused'</t>
  </si>
  <si>
    <t>productId=5, orderId=100, rating=5</t>
  </si>
  <si>
    <t>Ném lỗi (fail-closed); không lưu đánh giá</t>
  </si>
  <si>
    <t>TC_PH2_CAT_04</t>
  </si>
  <si>
    <t>BE/product-service/src/test/java/com/ecommerce/productservice/service/CategoryServiceImplBugCheck.java</t>
  </si>
  <si>
    <t>Chặn tạo danh mục con của danh mục cha không tồn tại</t>
  </si>
  <si>
    <t>slug='tai-nghe', parentId=999</t>
  </si>
  <si>
    <t>Ném lỗi; không save</t>
  </si>
  <si>
    <t>TC_PH2_CAT_05</t>
  </si>
  <si>
    <t>getCategoryById()</t>
  </si>
  <si>
    <t>Danh mục không tồn tại phải ra 404</t>
  </si>
  <si>
    <t>Không có danh mục 404</t>
  </si>
  <si>
    <t>ResourceNotFoundException (HTTP 404)</t>
  </si>
  <si>
    <t>hybrid_search.py</t>
  </si>
  <si>
    <t>TC_PH2_RRF_01</t>
  </si>
  <si>
    <t>AI/search-service/tests/test_qa_ph2_search.py</t>
  </si>
  <si>
    <t>reciprocal_rank_fusion()</t>
  </si>
  <si>
    <t>Công thức RRF 1/(k+rank)</t>
  </si>
  <si>
    <t>{bm25:[10,20]}, k=60</t>
  </si>
  <si>
    <t>[10 (1/61), 20 (1/62)]; match_reason 'bm25'</t>
  </si>
  <si>
    <t>TC_PH2_RRF_02</t>
  </si>
  <si>
    <t>SP có ở cả 2 nguồn được cộng điểm, vượt SP đứng đầu 1 nguồn</t>
  </si>
  <si>
    <t>{dense:[7,5], bm25:[8,5]}; danh sách rỗng</t>
  </si>
  <si>
    <t>Đầu bảng là 5 (2/62, 'bm25+dense'); 2 danh sách rỗng -&gt; []</t>
  </si>
  <si>
    <t>TC_PH2_RRF_03</t>
  </si>
  <si>
    <t>Tham số k và SP lặp trong 1 nguồn</t>
  </si>
  <si>
    <t>{dense:[1,2]}, k=0; {dense:[3,3]}</t>
  </si>
  <si>
    <t>score 1.0 và 0.5; SP 3 xuất hiện 1 lần, match_reason 'dense'</t>
  </si>
  <si>
    <t>TC_PH2_HYB_01</t>
  </si>
  <si>
    <t>HybridSearchService.search()</t>
  </si>
  <si>
    <t>Hybrid fuse dense + BM25, lấy pool top_k×3, bỏ SP không còn active</t>
  </si>
  <si>
    <t>Dense trả [2,1,3]; BM25 trả [1,4,99]; catalog không có 99</t>
  </si>
  <si>
    <t>q='iphone 15', top_k=10</t>
  </si>
  <si>
    <t>dense/BM25 được gọi với 30; đầu bảng id '1' ('bm25+dense'); kết quả {1,2,3,4}</t>
  </si>
  <si>
    <t>CheckDB: không (mock)
Rollback: không cần</t>
  </si>
  <si>
    <t>TC_PH2_HYB_02</t>
  </si>
  <si>
    <t>Lọc giá bao gồm biên</t>
  </si>
  <si>
    <t>Giá: 1=20tr, 2=28tr, 3=200k, 4=500k</t>
  </si>
  <si>
    <t>min_price=500.000, max_price=20.000.000</t>
  </si>
  <si>
    <t>Chỉ còn ['1', '4']</t>
  </si>
  <si>
    <t>TC_PH2_HYB_03</t>
  </si>
  <si>
    <t>Không vượt top_k</t>
  </si>
  <si>
    <t>Như HYB_01</t>
  </si>
  <si>
    <t>top_k=2</t>
  </si>
  <si>
    <t>['1', '2']</t>
  </si>
  <si>
    <t>TC_PH2_HYB_04</t>
  </si>
  <si>
    <t>Cả 2 nguồn rỗng</t>
  </si>
  <si>
    <t>Dense và BM25 trả []; DB bị cấm gọi</t>
  </si>
  <si>
    <t>q='xyz'</t>
  </si>
  <si>
    <t>[]; không truy vấn metadata</t>
  </si>
  <si>
    <t>text_search.py</t>
  </si>
  <si>
    <t>TC_PH2_HYB_05</t>
  </si>
  <si>
    <t>TextSearchService.search()</t>
  </si>
  <si>
    <t>Chưa có text index thì không nạp e5, hybrid chạy bằng BM25</t>
  </si>
  <si>
    <t>FaissStore text trỏ thư mục tạm rỗng; nạp model bị cấm</t>
  </si>
  <si>
    <t>q='tai nghe'; rồi hybrid q='sạc' (BM25 trả SP 4)</t>
  </si>
  <si>
    <t>dense trả []; kết quả [('4', 'bm25')]</t>
  </si>
  <si>
    <t>CheckDB: không (ghi file vào thư mục tạm tmp_path)
Rollback: tự dọn (tmp_path)</t>
  </si>
  <si>
    <t>search.py (endpoint)</t>
  </si>
  <si>
    <t>TC_PH2_QU_01</t>
  </si>
  <si>
    <t>GET /public/search</t>
  </si>
  <si>
    <t>Hiểu truy vấn: intent + từ khoá</t>
  </si>
  <si>
    <t>hybrid_search mock trả 1 SP</t>
  </si>
  <si>
    <t>q='iphone  15 pro max'</t>
  </si>
  <si>
    <t>HTTP 200, code SUCCESS; intent 'product_search'; keywords ['iphone','15','pro','max']; total 1</t>
  </si>
  <si>
    <t>TC_PH2_QU_02</t>
  </si>
  <si>
    <t>GET /search</t>
  </si>
  <si>
    <t>Lỗi nội bộ không lộ chi tiết; thiếu q</t>
  </si>
  <si>
    <t>hybrid_search ném RuntimeError('faiss crashed: /secret/path')</t>
  </si>
  <si>
    <t>q='abc'; không có q</t>
  </si>
  <si>
    <t>HTTP 500 detail 'Search failed'; thiếu q -&gt; 422</t>
  </si>
  <si>
    <t>catalog.py</t>
  </si>
  <si>
    <t>TC_PH2_QU_03</t>
  </si>
  <si>
    <t>bm25_search(), _tokens()</t>
  </si>
  <si>
    <t>Truy vấn rỗng và giới hạn token</t>
  </si>
  <si>
    <t>ES bị cấm gọi</t>
  </si>
  <si>
    <t>q='   '; '  a  b c d e f g h i j '</t>
  </si>
  <si>
    <t>[]; 8 token đầu [a..h]</t>
  </si>
  <si>
    <t>TC_PH2_QU_04</t>
  </si>
  <si>
    <t>bm25_search(), _keyword_search_db()</t>
  </si>
  <si>
    <t>ES lỗi -&gt; fallback LIKE MariaDB, tạm bỏ ES 30s</t>
  </si>
  <si>
    <t>ES giả ném ConnectionError; _query giả</t>
  </si>
  <si>
    <t>q='ốp iphone', size=7</t>
  </si>
  <si>
    <t>[{3, 2.0}, {1, 1.0}]; params ['%ốp%', '%iphone%', 7]; _es_down_until &gt; now+25s; _get_es() trả None</t>
  </si>
  <si>
    <t>TC_PH2_QU_05</t>
  </si>
  <si>
    <t>bm25_search()</t>
  </si>
  <si>
    <t>Map kết quả ES</t>
  </si>
  <si>
    <t>ES giả trả _id '12' (3.5), '8' (None)</t>
  </si>
  <si>
    <t>q='loa', size=5</t>
  </si>
  <si>
    <t>[{12, 3.5}, {8, 0.0}]; size=5; filter active=True</t>
  </si>
  <si>
    <t>TC_PH2_SUG_01</t>
  </si>
  <si>
    <t>suggest()</t>
  </si>
  <si>
    <t>Prefix quá ngắn</t>
  </si>
  <si>
    <t>ES và DB bị cấm gọi</t>
  </si>
  <si>
    <t>prefix=' i '</t>
  </si>
  <si>
    <t>[]</t>
  </si>
  <si>
    <t>TC_PH2_SUG_02</t>
  </si>
  <si>
    <t>Gợi ý khử trùng, tối đa 5</t>
  </si>
  <si>
    <t>ES giả trả 7 tên (có trùng) + 1 hit không có name</t>
  </si>
  <si>
    <t>prefix='ip'</t>
  </si>
  <si>
    <t>['iPhone 15','iPhone 15 Pro','iPhone 14','iPhone 13','iPhone 12']; ES size=10</t>
  </si>
  <si>
    <t>catalog.py / search.py</t>
  </si>
  <si>
    <t>TC_PH2_SUG_03</t>
  </si>
  <si>
    <t>GET /public/search/suggest</t>
  </si>
  <si>
    <t>ES down -&gt; gợi ý từ MariaDB</t>
  </si>
  <si>
    <t>ES đang bị đánh dấu down; _query giả</t>
  </si>
  <si>
    <t>q='Sạc'</t>
  </si>
  <si>
    <t>HTTP 200 suggestions ['Sạc 20W','Sạc dự phòng']; params ['%Sạc%','Sạc%',10]</t>
  </si>
  <si>
    <t>image_loader.py</t>
  </si>
  <si>
    <t>TC_PH2_IMG_01</t>
  </si>
  <si>
    <t>load_image_from_bytes()</t>
  </si>
  <si>
    <t>File rỗng / không phải ảnh</t>
  </si>
  <si>
    <t>b''; b'%PDF-1.4 ...'</t>
  </si>
  <si>
    <t>InvalidImageError 'rỗng'; InvalidImageError 'không phải ảnh'</t>
  </si>
  <si>
    <t>TC_PH2_IMG_02</t>
  </si>
  <si>
    <t>Giới hạn dung lượng upload</t>
  </si>
  <si>
    <t>MAX_UPLOAD_MB=1</t>
  </si>
  <si>
    <t>1MB+1 byte; đúng 1MB</t>
  </si>
  <si>
    <t>Vượt -&gt; InvalidImageError '1MB'; đúng 1MB qua kiểm tra size (lỗi định dạng)</t>
  </si>
  <si>
    <t>TC_PH2_IMG_03</t>
  </si>
  <si>
    <t>_normalize()</t>
  </si>
  <si>
    <t>Chuẩn hoá ảnh trong suốt / xám về RGB</t>
  </si>
  <si>
    <t>PNG RGBA trong suốt 8×8; PNG L</t>
  </si>
  <si>
    <t>RGB, pixel (255,255,255); ảnh L -&gt; RGB</t>
  </si>
  <si>
    <t>TC_PH2_IMG_04</t>
  </si>
  <si>
    <t>POST /search/image</t>
  </si>
  <si>
    <t>Kiểm tra đầu vào tìm bằng ảnh</t>
  </si>
  <si>
    <t>Store ảnh giả: lúc đầu chưa sẵn sàng, sau đó sẵn sàng</t>
  </si>
  <si>
    <t>Không file; file 'not an image' (2 lần)</t>
  </si>
  <si>
    <t>422; 503 (chưa có chỉ mục); 400 'không phải ảnh'</t>
  </si>
  <si>
    <t>visual_search.py</t>
  </si>
  <si>
    <t>TC_PH2_IMG_05</t>
  </si>
  <si>
    <t>_to_match_score()</t>
  </si>
  <si>
    <t>Quy cosine về % badge</t>
  </si>
  <si>
    <t>cosine ∈ {-1, 0, 1, 1.5, -2}</t>
  </si>
  <si>
    <t>[0, 50, 100, 100, 0]</t>
  </si>
  <si>
    <t>TC_PH2_IMG_06</t>
  </si>
  <si>
    <t>AI/search-service/tests/bugcheck_ph2_search.py</t>
  </si>
  <si>
    <t>Ảnh 'bom giải nén' phải bị coi là ảnh không hợp lệ (400)</t>
  </si>
  <si>
    <t>PNG ~60 byte khai báo 20000×20000 px</t>
  </si>
  <si>
    <t>InvalidImageError</t>
  </si>
  <si>
    <t>TC_PH2_HYB_06</t>
  </si>
  <si>
    <t>top_k âm phải bị từ chối</t>
  </si>
  <si>
    <t>hybrid_search mock</t>
  </si>
  <si>
    <t>q='iphone', top_k=-5</t>
  </si>
  <si>
    <t>HTTP 422</t>
  </si>
  <si>
    <t>faiss_store.py</t>
  </si>
  <si>
    <t>TC_PH2_FAISS_01</t>
  </si>
  <si>
    <t>build(), search()</t>
  </si>
  <si>
    <t>Gộp nhiều vector/1 SP, giữ cosine cao nhất</t>
  </si>
  <si>
    <t>Index dim=4: SP10 (2 vector), SP20, SP30</t>
  </si>
  <si>
    <t>query [1,0,0,0], top_k=2; top_k=0; query 3 chiều</t>
  </si>
  <si>
    <t>[10 (cos≈1), 20]; top_k=0 -&gt; []; sai chiều -&gt; ValueError</t>
  </si>
  <si>
    <t>TC_PH2_FAISS_02</t>
  </si>
  <si>
    <t>build()</t>
  </si>
  <si>
    <t>Kiểm tra đầu vào build index</t>
  </si>
  <si>
    <t>ma trận (2,3); 2 vector nhưng 1 productId</t>
  </si>
  <si>
    <t>ValueError cả 2</t>
  </si>
  <si>
    <t>TC_PH2_FAISS_03</t>
  </si>
  <si>
    <t>save(), load()</t>
  </si>
  <si>
    <t>Lưu/nạp index nguyên tử</t>
  </si>
  <si>
    <t>Thư mục tạm</t>
  </si>
  <si>
    <t>Store chưa có file; build 2 vector -&gt; save -&gt; store mới load</t>
  </si>
  <si>
    <t>Chưa có file: load False, is_ready False, search []; sau save không còn .tmp, load True, size 2</t>
  </si>
  <si>
    <t>TC_PH2_FAISS_04</t>
  </si>
  <si>
    <t>load()</t>
  </si>
  <si>
    <t>Từ chối index hỏng/lệch</t>
  </si>
  <si>
    <t>Index dim 4 đã lưu</t>
  </si>
  <si>
    <t>Store dim=8 đọc index; map ghi đè [5,6,7] (lệch 1 vector)</t>
  </si>
  <si>
    <t>load False, is_ready False cả 2</t>
  </si>
  <si>
    <t>TC_PH2_FAISS_05</t>
  </si>
  <si>
    <t>reload_if_changed()</t>
  </si>
  <si>
    <t>Nạp lại index khi build_index.py ghi bản mới, tối đa 1 lần/30s</t>
  </si>
  <si>
    <t>Đồng hồ giả; writer ghi index 1 vector rồi 2 vector (mtime mới hơn)</t>
  </si>
  <si>
    <t>reload tại t0, t0 (lần 2), t0 sau khi ghi bản mới, t0+31s</t>
  </si>
  <si>
    <t>Nạp ở t0 (size 1); không nạp 2 lần kế; nạp lại ở t0+31s (size 2)</t>
  </si>
  <si>
    <t>TC_PH2_META_01</t>
  </si>
  <si>
    <t>_effective_price()</t>
  </si>
  <si>
    <t>Giá hiệu lực cho lọc giá</t>
  </si>
  <si>
    <t>(1000,800); (1000,1000); (1000,1200); (1000,None); (None,None)</t>
  </si>
  <si>
    <t>800; 1000; 1000; 1000; 0</t>
  </si>
  <si>
    <t>TC_PH2_META_02</t>
  </si>
  <si>
    <t>get_products_by_ids()</t>
  </si>
  <si>
    <t>Metadata SP: khử trùng id, cache 300s, lỗi DB</t>
  </si>
  <si>
    <t>_query giả trả SP 1 (1000, sale 900)</t>
  </si>
  <si>
    <t>ids=[1,1,2]; ids=[1]; rồi DB lỗi với ids=[77]</t>
  </si>
  <si>
    <t>{1: price 900}; truy vấn đúng [1,2] một lần; lần 2 lấy cache; DB lỗi -&gt; {}</t>
  </si>
  <si>
    <t>createProduct (và updateProduct) không kiểm tra categoryId có tồn tại: sản phẩm thuộc danh mục 999 vẫn được lưu, không xuất hiện trong cây danh mục.</t>
  </si>
  <si>
    <t>BE/product-service/src/main/java/com/ecommerce/productservice/service/impl/ProductServiceImpl.java:128-154 (categoryId gán thẳng từ DTO)</t>
  </si>
  <si>
    <t>addReview không kiểm tra rating trong 1..5 (ProductReviewDto cũng không có @Valid/@Min/@Max) -&gt; rating=7 được lưu và làm sai ratingAvg (Finding F7).</t>
  </si>
  <si>
    <t>BE/product-service/src/main/java/com/ecommerce/productservice/service/impl/ReviewServiceImpl.java:72</t>
  </si>
  <si>
    <t>Kiểm tra điều kiện đánh giá fail-open: khi gọi order-service lỗi (offline/timeout/401), exception bị nuốt và đánh giá vẫn được lưu -&gt; người chưa mua vẫn đánh giá được.</t>
  </si>
  <si>
    <t>BE/product-service/src/main/java/com/ecommerce/productservice/service/impl/ReviewServiceImpl.java:64-66 ('Tạm thời bỏ qua bước check để hỗ trợ test')</t>
  </si>
  <si>
    <t>createCategory không kiểm tra parentId tồn tại -&gt; tạo danh mục mồ côi không hiển thị trong getCategoryTree().</t>
  </si>
  <si>
    <t>BE/product-service/src/main/java/com/ecommerce/productservice/service/impl/CategoryServiceImpl.java:72</t>
  </si>
  <si>
    <t>getCategoryById (và updateCategory) ném RuntimeException chung khi không tìm thấy -&gt; GlobalExceptionHandler trả 500 thay vì 404 (Finding F6; tương tự brand/product-by-id/slug).</t>
  </si>
  <si>
    <t>BE/product-service/src/main/java/com/ecommerce/productservice/service/impl/CategoryServiceImpl.java:59 và :86</t>
  </si>
  <si>
    <t>load_image_from_bytes chỉ bắt UnidentifiedImageError/OSError; ảnh 'bom giải nén' (PNG vài chục byte khai báo 20000×20000 px) làm PIL ném DecompressionBombError -&gt; lọt qua, endpoint /search/image trả 500 thay vì 400.</t>
  </si>
  <si>
    <t>AI/search-service/app/services/image_loader.py:44-47; app/api/endpoints/search.py (except Exception -&gt; 500)</t>
  </si>
  <si>
    <t>top_k của /search (và /search/image, /multimodal, /similar) không có ràng buộc: top_k=-5 trả 200; pool=-15 được gửi thành size âm lên Elasticsearch, ES báo lỗi và _mark_es_down() tắt BM25 30s cho mọi người dùng.</t>
  </si>
  <si>
    <t>AI/search-service/app/api/endpoints/search.py:25; app/services/hybrid_search.py:46; app/services/catalog.py:202</t>
  </si>
  <si>
    <t>NHÓM: SẢN PHẨM</t>
  </si>
  <si>
    <t>API_PH2_001</t>
  </si>
  <si>
    <t>/api/v1/public/products?page=0&amp;size=5</t>
  </si>
  <si>
    <t>Danh sách sản phẩm công khai</t>
  </si>
  <si>
    <t>HTTP 200; data.content 5 phần tử</t>
  </si>
  <si>
    <t>HTTP 200  (35 ms)
{"code":"SUCCESS","message":"Success","data":{"content":[{"id":1,"name":"Samsung Galaxy S26 Ultra 5G 12GB 256GB","slug":"dien-thoai-samsung-galaxy-s26-ultra","description":"Đặc điểm nổi bật của Samsun</t>
  </si>
  <si>
    <t>API_PH2_002</t>
  </si>
  <si>
    <t>/api/v1/public/products/{{pid}}</t>
  </si>
  <si>
    <t>Chi tiết sản phẩm theo id kèm biến thể</t>
  </si>
  <si>
    <t>HTTP 200; có variants[]</t>
  </si>
  <si>
    <t>HTTP 200  (12 ms)
{"code":"SUCCESS","message":"Success","data":{"id":1,"name":"Samsung Galaxy S26 Ultra 5G 12GB 256GB","slug":"dien-thoai-samsung-galaxy-s26-ultra","description":"Đặc điểm nổi bật của Samsung Galaxy S26</t>
  </si>
  <si>
    <t>API_PH2_003</t>
  </si>
  <si>
    <t>/api/v1/public/products/99999999</t>
  </si>
  <si>
    <t>Sản phẩm không tồn tại trả 404</t>
  </si>
  <si>
    <t>HTTP 404 NOT_FOUND</t>
  </si>
  <si>
    <t>HTTP 500  (11 ms)
{"code": "INTERNAL_ERROR", "message": "Đã xảy ra lỗi hệ thống. Vui lòng thử lại sau."}
Không đạt: HTTP status ∈ 404</t>
  </si>
  <si>
    <t>Bug: HTTP status ∈ 404: expected [ 404 ] to include 500</t>
  </si>
  <si>
    <t>API_PH2_004</t>
  </si>
  <si>
    <t>/api/v1/public/products/slug/{{pslug}}</t>
  </si>
  <si>
    <t>Chi tiết sản phẩm theo slug</t>
  </si>
  <si>
    <t>HTTP 200; đúng sản phẩm</t>
  </si>
  <si>
    <t>HTTP 200  (15 ms)
{"code":"SUCCESS","message":"Success","data":{"id":1,"name":"Samsung Galaxy S26 Ultra 5G 12GB 256GB","slug":"dien-thoai-samsung-galaxy-s26-ultra","description":"Đặc điểm nổi bật của Samsung Galaxy S26</t>
  </si>
  <si>
    <t>API_PH2_005</t>
  </si>
  <si>
    <t>/api/v1/public/products/slug/khong-ton-tai-xyz</t>
  </si>
  <si>
    <t>Slug không tồn tại trả 404</t>
  </si>
  <si>
    <t>HTTP 404</t>
  </si>
  <si>
    <t>HTTP 500  (12 ms)
{"code": "INTERNAL_ERROR", "message": "Đã xảy ra lỗi hệ thống. Vui lòng thử lại sau."}
Không đạt: HTTP status ∈ 404</t>
  </si>
  <si>
    <t>API_PH2_006</t>
  </si>
  <si>
    <t>/api/v1/public/products/category/{{catId}}?size=5</t>
  </si>
  <si>
    <t>Sản phẩm theo danh mục</t>
  </si>
  <si>
    <t>HTTP 200; mọi sản phẩm thuộc danh mục</t>
  </si>
  <si>
    <t>NHÓM: TÌM KIẾM</t>
  </si>
  <si>
    <t>API_PH2_007</t>
  </si>
  <si>
    <t>/api/v1/public/products/search?q=iphone&amp;size=5</t>
  </si>
  <si>
    <t>Tìm kiếm theo từ khóa 'iphone'</t>
  </si>
  <si>
    <t>HTTP 200; kết quả chứa 'iPhone'</t>
  </si>
  <si>
    <t>HTTP 200  (41 ms)
{"code":"SUCCESS","message":"Success","data":{"content":[{"id":54,"name":"iPhone Air 256GB | Chính hãng","description":"Đặc điểm nổi bật của iPhone Air 256GB | Chính hãng Tính năng nổi bật Siêu mỏng n</t>
  </si>
  <si>
    <t>API_PH2_008</t>
  </si>
  <si>
    <t>/api/v1/public/products/search</t>
  </si>
  <si>
    <t>Tìm kiếm thiếu tham số q trả 400</t>
  </si>
  <si>
    <t>HTTP 400 (thiếu tham số bắt buộc)</t>
  </si>
  <si>
    <t>HTTP 500  (16 ms)
{"code": "INTERNAL_ERROR", "message": "Đã xảy ra lỗi hệ thống. Vui lòng thử lại sau."}
Không đạt: HTTP status ∈ 400</t>
  </si>
  <si>
    <t>Bug: HTTP status ∈ 400: expected [ 400 ] to include 500</t>
  </si>
  <si>
    <t>API_PH2_009</t>
  </si>
  <si>
    <t>/api/v1/public/products/search?q=%27%20OR%201%3D1%20--</t>
  </si>
  <si>
    <t>Tìm kiếm với chuỗi SQL injection không gây lỗi</t>
  </si>
  <si>
    <t>HTTP 200; không lỗi 500, không trả về toàn bộ dữ liệu</t>
  </si>
  <si>
    <t>HTTP 200  (22 ms)
{"code": "SUCCESS", "message": "Success"}</t>
  </si>
  <si>
    <t>API_PH2_010</t>
  </si>
  <si>
    <t>/api/v1/public/products/search?q=xyzabc123khongco</t>
  </si>
  <si>
    <t>Tìm kiếm từ khóa không tồn tại</t>
  </si>
  <si>
    <t>HTTP 200; danh sách rỗng</t>
  </si>
  <si>
    <t>HTTP 200  (41 ms)
{"code": "SUCCESS", "message": "Success"}</t>
  </si>
  <si>
    <t>NHÓM: DANH MỤC</t>
  </si>
  <si>
    <t>API_PH2_011</t>
  </si>
  <si>
    <t>/api/v1/public/categories/tree</t>
  </si>
  <si>
    <t>Cây danh mục</t>
  </si>
  <si>
    <t>HTTP 200; danh sách danh mục lồng nhau</t>
  </si>
  <si>
    <t>HTTP 200  (11 ms)
{"code":"SUCCESS","message":"Success","data":[{"id":1,"name":"Điện thoại, Tablet","slug":"dien-thoai","parentId":null,"imageUrl":"","icon":"smartphone","sortOrder":1,"active":true,"children":[{"id":7,</t>
  </si>
  <si>
    <t>API_PH2_012</t>
  </si>
  <si>
    <t>/api/v1/public/categories/{{catId}}</t>
  </si>
  <si>
    <t>Chi tiết danh mục</t>
  </si>
  <si>
    <t>HTTP 200  (13 ms)
{"code": "SUCCESS", "message": "Success", "data.id": 1}</t>
  </si>
  <si>
    <t>API_PH2_013</t>
  </si>
  <si>
    <t>/api/v1/public/categories/99999999</t>
  </si>
  <si>
    <t>Danh mục không tồn tại trả 404</t>
  </si>
  <si>
    <t>HTTP 500  (17 ms)
{"code": "INTERNAL_ERROR", "message": "Đã xảy ra lỗi hệ thống. Vui lòng thử lại sau."}
Không đạt: HTTP status ∈ 404</t>
  </si>
  <si>
    <t>API_PH2_014</t>
  </si>
  <si>
    <t>/api/v1/public/categories/{{catId}}/attributes</t>
  </si>
  <si>
    <t>Thuộc tính của danh mục</t>
  </si>
  <si>
    <t>HTTP 200; danh sách thuộc tính</t>
  </si>
  <si>
    <t>HTTP 200  (25 ms)
{"code":"SUCCESS","message":"Success","data":[{"id":1,"categoryId":1,"attributeId":2,"attributeCode":"storage","attributeName":"Bộ nhớ trong","attributeValueType":"select","attributeAllowedValues":"[{</t>
  </si>
  <si>
    <t>NHÓM: THƯƠNG HIỆU</t>
  </si>
  <si>
    <t>API_PH2_015</t>
  </si>
  <si>
    <t>/api/v1/public/brands?size=5</t>
  </si>
  <si>
    <t>Danh sách thương hiệu phân trang</t>
  </si>
  <si>
    <t>HTTP 200; Page thương hiệu</t>
  </si>
  <si>
    <t>HTTP 200  (29 ms)
{"code":"SUCCESS","message":"Success","data":{"content":[{"id":1,"name":"Samsung","slug":"samsung","logoUrl":"https://cdn2.cellphones.com.vn/insecure/rs:fill:0:50/q:100/plain/https://cellphones.com.vn</t>
  </si>
  <si>
    <t>API_PH2_016</t>
  </si>
  <si>
    <t>/api/v1/public/brands/active</t>
  </si>
  <si>
    <t>Thương hiệu đang hoạt động</t>
  </si>
  <si>
    <t>HTTP 200; chỉ thương hiệu active</t>
  </si>
  <si>
    <t>HTTP 200  (66 ms)
{"code":"SUCCESS","message":"Success","data":[{"id":1,"name":"Samsung","slug":"samsung","logoUrl":"https://cdn2.cellphones.com.vn/insecure/rs:fill:0:50/q:100/plain/https://cellphones.com.vn/media/wysi</t>
  </si>
  <si>
    <t>API_PH2_017</t>
  </si>
  <si>
    <t>/api/v1/public/brands/{{brandId}}</t>
  </si>
  <si>
    <t>Chi tiết thương hiệu</t>
  </si>
  <si>
    <t>HTTP 200  (17 ms)
{"code": "SUCCESS", "message": "Success", "data.id": 1}</t>
  </si>
  <si>
    <t>API_PH2_018</t>
  </si>
  <si>
    <t>/api/v1/public/brands/99999999</t>
  </si>
  <si>
    <t>Thương hiệu không tồn tại trả 404</t>
  </si>
  <si>
    <t>HTTP 500  (15 ms)
{"code": "INTERNAL_ERROR", "message": "Đã xảy ra lỗi hệ thống. Vui lòng thử lại sau."}
Không đạt: HTTP status ∈ 404</t>
  </si>
  <si>
    <t>NHÓM: ĐÁNH GIÁ</t>
  </si>
  <si>
    <t>API_PH2_019</t>
  </si>
  <si>
    <t>/api/v1/public/products/{{pid}}/reviews</t>
  </si>
  <si>
    <t>Đánh giá của sản phẩm</t>
  </si>
  <si>
    <t>HTTP 200; danh sách đánh giá</t>
  </si>
  <si>
    <t>HTTP 200  (12 ms)
{"code": "SUCCESS", "message": "Success", "data": "[2 phần tử]"}</t>
  </si>
  <si>
    <t>API_PH2_020</t>
  </si>
  <si>
    <t>/api/v1/products/reviews</t>
  </si>
  <si>
    <t>Từ chối đánh giá khi thiếu orderId</t>
  </si>
  <si>
    <t>{
 "productId": "{{pid}}",
 "rating": 5,
 "comment": "Tốt"
}</t>
  </si>
  <si>
    <t>HTTP 400; 'Mã đơn hàng (orderId) là bắt buộc'</t>
  </si>
  <si>
    <t>HTTP 400  (36 ms)
{"code": "BAD_REQUEST", "message": "Mã đơn hàng (orderId) là bắt buộc để đánh giá sản phẩm."}</t>
  </si>
  <si>
    <t>API_PH2_021</t>
  </si>
  <si>
    <t>Từ chối đánh giá sản phẩm chưa mua</t>
  </si>
  <si>
    <t>{
 "productId": "{{pid}}",
 "orderId": 99999999,
 "rating": 5,
 "comment": "Chưa mua"
}</t>
  </si>
  <si>
    <t>HTTP 409/403; không cho đánh giá khi chưa mua</t>
  </si>
  <si>
    <t>HTTP 409  (54 ms)
{"code": "CONFLICT", "message": "Bạn không thể đánh giá sản phẩm này vì chưa mua sản phẩm hoặc đơn hàng chưa giao thành công."}</t>
  </si>
  <si>
    <t>NHÓM: YÊU THÍCH</t>
  </si>
  <si>
    <t>API_PH2_022</t>
  </si>
  <si>
    <t>/api/v1/wishlist/{{pid}}</t>
  </si>
  <si>
    <t>Thêm sản phẩm vào yêu thích</t>
  </si>
  <si>
    <t>HTTP 200  (38 ms)
{"code": "SUCCESS", "message": "Success"}</t>
  </si>
  <si>
    <t>API_PH2_023</t>
  </si>
  <si>
    <t>/api/v1/wishlist/check/{{pid}}</t>
  </si>
  <si>
    <t>Kiểm tra sản phẩm đã trong yêu thích</t>
  </si>
  <si>
    <t>HTTP 200; data=true</t>
  </si>
  <si>
    <t>HTTP 200  (22 ms)
{"code": "SUCCESS", "message": "Success", "data": true}</t>
  </si>
  <si>
    <t>API_PH2_024</t>
  </si>
  <si>
    <t>Bỏ sản phẩm khỏi yêu thích</t>
  </si>
  <si>
    <t>HTTP 200  (28 ms)
{"code": "SUCCESS", "message": "Success"}</t>
  </si>
  <si>
    <t>API_PH2_025</t>
  </si>
  <si>
    <t>/api/v1/wishlist/99999999</t>
  </si>
  <si>
    <t>Yêu thích sản phẩm không tồn tại trả 404</t>
  </si>
  <si>
    <t>HTTP 500  (33 ms)
{"code": "INTERNAL_ERROR", "message": "Đã xảy ra lỗi hệ thống. Vui lòng thử lại sau."}
Không đạt: HTTP status ∈ 404</t>
  </si>
  <si>
    <t>NHÓM: QUẢN TRỊ SẢN PHẨM</t>
  </si>
  <si>
    <t>API_PH2_026</t>
  </si>
  <si>
    <t>/api/v1/admin/products</t>
  </si>
  <si>
    <t>Admin tạo sản phẩm hợp lệ có biến thể</t>
  </si>
  <si>
    <t>{"name": "QA Sản phẩm kiểm thử API", "slug": "qa-san-pham-api-{{$timestamp}}", "price": 1500000, "salePrice": 1290000, "costPrice": 1000000, "categoryId": {{catId}}, "brandId": {{brandId}}, "description": "Tạo bởi bộ kiểm thử API", "active": true, "variants": [{"sku": "QA-API-{{$timestamp}}-{{$randomInt}}{{$randomInt}}", "variantAttr": "Đen", "price": 1500000, "salePrice": 1290000, "active": true}]}</t>
  </si>
  <si>
    <t>HTTP 200; trả ProductDto có id</t>
  </si>
  <si>
    <t>HTTP 200  (200 ms)
{"code":"SUCCESS","message":"Success","data":{"id":1128,"name":"QA Sản phẩm kiểm thử API","slug":"qa-san-pham-api-1792246444","description":"Tạo bởi bộ kiểm thử API","attributes":{},"specsRaw":{},"pri</t>
  </si>
  <si>
    <t>API_PH2_027</t>
  </si>
  <si>
    <t>Từ chối tạo sản phẩm thiếu tên</t>
  </si>
  <si>
    <t>{"name": "", "slug": "qa-san-pham-api-{{$timestamp}}", "price": 1500000, "salePrice": 1290000, "costPrice": 1000000, "categoryId": {{catId}}, "brandId": {{brandId}}, "description": "Tạo bởi bộ kiểm thử API", "active": true, "variants": [{"sku": "QA-API-{{$timestamp}}-{{$randomInt}}{{$randomInt}}", "variantAttr": "Đen", "price": 1500000, "salePrice": 1290000, "active": true}]}</t>
  </si>
  <si>
    <t>HTTP 400; VALIDATION_FAILED (name)</t>
  </si>
  <si>
    <t>HTTP 400  (21 ms)
{"code": "VALIDATION_FAILED", "message": "Validation failed"}</t>
  </si>
  <si>
    <t>API_PH2_028</t>
  </si>
  <si>
    <t>Từ chối giá bằng 0</t>
  </si>
  <si>
    <t>{"name": "QA Sản phẩm kiểm thử API", "slug": "qa-san-pham-api-{{$timestamp}}", "price": 0, "salePrice": null, "costPrice": 1000000, "categoryId": {{catId}}, "brandId": {{brandId}}, "description": "Tạo bởi bộ kiểm thử API", "active": true, "variants": [{"sku": "QA-API-{{$timestamp}}-{{$randomInt}}{{$randomInt}}", "variantAttr": "Đen", "price": 1500000, "salePrice": 1290000, "active": true}]}</t>
  </si>
  <si>
    <t>HTTP 400; VALIDATION_FAILED (price)</t>
  </si>
  <si>
    <t>HTTP 400  (28 ms)
{"code": "VALIDATION_FAILED", "message": "Validation failed"}</t>
  </si>
  <si>
    <t>API_PH2_029</t>
  </si>
  <si>
    <t>Từ chối giá khuyến mãi lớn hơn giá gốc</t>
  </si>
  <si>
    <t>{"name": "QA Sản phẩm kiểm thử API", "slug": "qa-san-pham-api-{{$timestamp}}", "price": 1000000, "salePrice": 2000000, "costPrice": 1000000, "categoryId": {{catId}}, "brandId": {{brandId}}, "description": "Tạo bởi bộ kiểm thử API", "active": true, "variants": [{"sku": "QA-API-{{$timestamp}}-{{$randomInt}}{{$randomInt}}", "variantAttr": "Đen", "price": 1500000, "salePrice": 1290000, "active": true}]}</t>
  </si>
  <si>
    <t>HTTP 400; VALIDATION_FAILED (salePrice)</t>
  </si>
  <si>
    <t>HTTP 400  (24 ms)
{"code": "VALIDATION_FAILED", "message": "Validation failed"}</t>
  </si>
  <si>
    <t>API_PH2_030</t>
  </si>
  <si>
    <t>Từ chối slug trùng</t>
  </si>
  <si>
    <t>{"name": "QA Sản phẩm kiểm thử API", "slug": "{{pslug}}", "price": 1500000, "salePrice": 1290000, "costPrice": 1000000, "categoryId": {{catId}}, "brandId": {{brandId}}, "description": "Tạo bởi bộ kiểm thử API", "active": true, "variants": [{"sku": "QA-API-{{$timestamp}}-{{$randomInt}}{{$randomInt}}", "variantAttr": "Đen", "price": 1500000, "salePrice": 1290000, "active": true}]}</t>
  </si>
  <si>
    <t>HTTP 400; 'Slug sản phẩm đã tồn tại'</t>
  </si>
  <si>
    <t>HTTP 400  (30 ms)
{"code": "BAD_REQUEST", "message": "Slug sản phẩm đã tồn tại: dien-thoai-samsung-galaxy-s26-ultra"}</t>
  </si>
  <si>
    <t>API_PH2_031</t>
  </si>
  <si>
    <t>/api/v1/admin/products/{{newPid}}</t>
  </si>
  <si>
    <t>Admin sửa giá sản phẩm</t>
  </si>
  <si>
    <t>{"name": "QA Sản phẩm kiểm thử API", "slug": "qa-san-pham-api-sua-{{$timestamp}}", "price": 1600000, "salePrice": 1390000, "costPrice": 1000000, "categoryId": {{catId}}, "brandId": {{brandId}}, "description": "Tạo bởi bộ kiểm thử API", "active": true, "variants": [{"sku": "QA-API-{{$timestamp}}-{{$randomInt}}{{$randomInt}}", "variantAttr": "Đen", "price": 1500000, "salePrice": 1290000, "active": true}]}</t>
  </si>
  <si>
    <t>HTTP 200; price=1.600.000</t>
  </si>
  <si>
    <t>HTTP 200  (198 ms)
{"code":"SUCCESS","message":"Success","data":{"id":1128,"name":"QA Sản phẩm kiểm thử API","slug":"qa-san-pham-api-sua-1792246446","description":"Tạo bởi bộ kiểm thử API","attributes":{},"specsRaw":{},</t>
  </si>
  <si>
    <t>API_PH2_032</t>
  </si>
  <si>
    <t>/api/v1/public/products/{{newPid}}</t>
  </si>
  <si>
    <t>Trang khách thấy giá mới ngay (cache đã xóa)</t>
  </si>
  <si>
    <t>HTTP 200  (50 ms)
{"code":"SUCCESS","message":"Success","data":{"id":1128,"name":"QA Sản phẩm kiểm thử API","slug":"qa-san-pham-api-sua-1792246446","description":"Tạo bởi bộ kiểm thử API","attributes":{},"specsRaw":{},</t>
  </si>
  <si>
    <t>API_PH2_033</t>
  </si>
  <si>
    <t>Staff được tạo sản phẩm</t>
  </si>
  <si>
    <t>{"name": "QA Sản phẩm staff", "slug": "qa-sp-staff-{{$timestamp}}", "price": 1500000, "salePrice": 1290000, "costPrice": 1000000, "categoryId": {{catId}}, "brandId": {{brandId}}, "description": "Tạo bởi bộ kiểm thử API", "active": true, "variants": [{"sku": "QA-API-{{$timestamp}}-{{$randomInt}}{{$randomInt}}", "variantAttr": "Đen", "price": 1500000, "salePrice": 1290000, "active": true}]}</t>
  </si>
  <si>
    <t>HTTP 500  (48 ms)
{"code": "INTERNAL_ERROR", "message": "Đã xảy ra lỗi hệ thống. Vui lòng thử lại sau."}
Không đạt: HTTP status ∈ 200</t>
  </si>
  <si>
    <t>Bug: HTTP status ∈ 200: expected [ 200 ] to include 500</t>
  </si>
  <si>
    <t>API_PH2_034</t>
  </si>
  <si>
    <t>/api/v1/admin/products/{{staffPid}}</t>
  </si>
  <si>
    <t>Staff không được xóa sản phẩm (chỉ ADMIN)</t>
  </si>
  <si>
    <t>HTTP 500  (30 ms)
{"code": "INTERNAL_ERROR", "message": "Đã xảy ra lỗi hệ thống. Vui lòng thử lại sau."}
Không đạt: HTTP status ∈ 403</t>
  </si>
  <si>
    <t>API_PH2_035</t>
  </si>
  <si>
    <t>Customer không được tạo sản phẩm</t>
  </si>
  <si>
    <t>HTTP 403 (gateway)</t>
  </si>
  <si>
    <t>HTTP 403  (8 ms)
(body rỗng)</t>
  </si>
  <si>
    <t>API_PH2_036</t>
  </si>
  <si>
    <t>Admin xóa sản phẩm</t>
  </si>
  <si>
    <t>HTTP 200  (105 ms)
{"code": "SUCCESS", "message": "Success"}</t>
  </si>
  <si>
    <t>API_PH2_037</t>
  </si>
  <si>
    <t>Sản phẩm đã xóa không còn truy cập</t>
  </si>
  <si>
    <t>HTTP 500  (34 ms)
{"code": "INTERNAL_ERROR", "message": "Đã xảy ra lỗi hệ thống. Vui lòng thử lại sau."}
Không đạt: HTTP status ∈ 404</t>
  </si>
  <si>
    <t>NHÓM: QUẢN TRỊ DANH MỤC</t>
  </si>
  <si>
    <t>API_PH2_038</t>
  </si>
  <si>
    <t>/api/v1/admin/categories</t>
  </si>
  <si>
    <t>Admin tạo danh mục</t>
  </si>
  <si>
    <t>{
 "name": "QA Danh mục",
 "slug": "qa-danh-muc-{{$timestamp}}",
 "active": true
}</t>
  </si>
  <si>
    <t>HTTP 200; trả danh mục mới</t>
  </si>
  <si>
    <t>HTTP 200  (42 ms)
{"code": "SUCCESS", "message": "Success", "data.id": 22}</t>
  </si>
  <si>
    <t>API_PH2_039</t>
  </si>
  <si>
    <t>/api/v1/admin/categories/{{newCat}}</t>
  </si>
  <si>
    <t>Từ chối danh mục là cha của chính nó</t>
  </si>
  <si>
    <t>{"name":"QA Danh mục","slug":"qa-danh-muc-self-{{$timestamp}}","parentId":{{newCat}},"active":true}</t>
  </si>
  <si>
    <t>HTTP 400; không cho tự làm cha</t>
  </si>
  <si>
    <t>HTTP 400  (38 ms)
{"code": "BAD_REQUEST", "message": "Danh mục không thể là cha của chính nó."}</t>
  </si>
  <si>
    <t>API_PH2_040</t>
  </si>
  <si>
    <t>Admin xóa danh mục</t>
  </si>
  <si>
    <t>HTTP 200  (33 ms)
{"code": "SUCCESS", "message": "Success"}</t>
  </si>
  <si>
    <t>NHÓM: QUẢN TRỊ THƯƠNG HIỆU</t>
  </si>
  <si>
    <t>API_PH2_041</t>
  </si>
  <si>
    <t>/api/v1/admin/brands</t>
  </si>
  <si>
    <t>Admin tạo thương hiệu</t>
  </si>
  <si>
    <t>{
 "name": "QA Brand",
 "slug": "qa-brand-{{$timestamp}}",
 "active": true
}</t>
  </si>
  <si>
    <t>HTTP 200  (32 ms)
{"code": "SUCCESS", "message": "Brand created successfully", "data.id": 47}</t>
  </si>
  <si>
    <t>API_PH2_042</t>
  </si>
  <si>
    <t>Từ chối thương hiệu thiếu tên</t>
  </si>
  <si>
    <t>{
 "slug": "qa-brand-noname-{{$timestamp}}"
}</t>
  </si>
  <si>
    <t>HTTP 400 VALIDATION_FAILED</t>
  </si>
  <si>
    <t>HTTP 500  (31 ms)
{"code": "INTERNAL_ERROR", "message": "Đã xảy ra lỗi hệ thống. Vui lòng thử lại sau."}
Không đạt: HTTP status ∈ 400</t>
  </si>
  <si>
    <t>API_PH2_043</t>
  </si>
  <si>
    <t>/api/v1/admin/brands/{{newBrand}}</t>
  </si>
  <si>
    <t>Admin xóa thương hiệu</t>
  </si>
  <si>
    <t>HTTP 200  (22 ms)
{"code": "SUCCESS", "message": "Brand deleted successfully"}</t>
  </si>
  <si>
    <t>API_PH2_044</t>
  </si>
  <si>
    <t>/api/v1/admin/reviews?size=5</t>
  </si>
  <si>
    <t>Admin xem danh sách đánh giá</t>
  </si>
  <si>
    <t>HTTP 200  (20 ms)
{"code":"SUCCESS","message":"Success","data":{"content":[{"id":1,"productId":1,"userId":"eeb77c2d-9938-474c-aa6a-438308be1a87","orderId":3,"rating":5,"comment":"Hàng tốt (kiểm thử API)","imageUrls":[]</t>
  </si>
  <si>
    <t>NHÓM: TÌM KIẾM AI</t>
  </si>
  <si>
    <t>API_PH2_045</t>
  </si>
  <si>
    <t>/api/v1/public/search?q=tai%20nghe%20ch%E1%BB%91ng%20%E1%BB%93n&amp;top_k=5</t>
  </si>
  <si>
    <t>Tìm kiếm ngữ nghĩa (AI) có kết quả</t>
  </si>
  <si>
    <t>HTTP 200; data.items không rỗng</t>
  </si>
  <si>
    <t xml:space="preserve">HTTP 200  (281 ms)
{"code":"SUCCESS","message":"Success","data":{"query_understood":{"intent":"product_search","extracted_attributes":{"keywords":["tai","nghe","chống","ồn"]}},"total":5,"items":[{"id":"958","name":"Tai </t>
  </si>
  <si>
    <t>API_PH2_046</t>
  </si>
  <si>
    <t>/api/v1/public/search</t>
  </si>
  <si>
    <t>Tìm kiếm AI thiếu q trả 422</t>
  </si>
  <si>
    <t>HTTP 422  (12 ms)
{"detail": [{"type": "missing", "loc": ["query", "q"], "msg": "Field required", "input": null}]}</t>
  </si>
  <si>
    <t>API_PH2_047</t>
  </si>
  <si>
    <t>/api/v1/public/search/suggest?q=ip</t>
  </si>
  <si>
    <t>Gợi ý từ khóa</t>
  </si>
  <si>
    <t>HTTP 200; ≤ 5 gợi ý</t>
  </si>
  <si>
    <t>HTTP 200  (40 ms)
{"code": "SUCCESS", "message": "Success"}</t>
  </si>
  <si>
    <t>API_PH2_048</t>
  </si>
  <si>
    <t>/api/v1/public/search/similar/{{pid}}?top_k=5</t>
  </si>
  <si>
    <t>Sản phẩm tương tự</t>
  </si>
  <si>
    <t>HTTP 200; danh sách sản phẩm tương tự</t>
  </si>
  <si>
    <t>HTTP 200  (25 ms)
{"code":"SUCCESS","message":"Success","data":{"total":5,"items":[{"id":"29","name":"Samsung Galaxy S26 5G 12GB 256GB","price":21290000.0,"image":"https://pub-f64bad62c3d044a58fab476ee6ae01c1.r2.dev/pr</t>
  </si>
  <si>
    <t>API_PH2_049</t>
  </si>
  <si>
    <t>/api/v1/public/search/similar/abc</t>
  </si>
  <si>
    <t>Sản phẩm tương tự với id không phải số trả 422</t>
  </si>
  <si>
    <t>HTTP 422  (8 ms)
{"detail": [{"type": "int_parsing", "loc": ["path", "product_id"], "msg": "Input should be a valid integer, unable to parse string as an integer", "input": "abc"}]}</t>
  </si>
  <si>
    <t>API_PH2_050</t>
  </si>
  <si>
    <t>/api/v1/public/search/image?top_k=5</t>
  </si>
  <si>
    <t>Tìm bằng ảnh hợp lệ</t>
  </si>
  <si>
    <t>multipart/form-data: image</t>
  </si>
  <si>
    <t>HTTP 200  (242 ms)
{"code":"SUCCESS","message":"Success","data":{"total":5,"items":[{"id":"1","name":"Samsung Galaxy S26 Ultra 5G 12GB 256GB","price":29890000.0,"image":"https://pub-f64bad62c3d044a58fab476ee6ae01c1.r2.d</t>
  </si>
  <si>
    <t>API_PH2_051</t>
  </si>
  <si>
    <t>/api/v1/public/search/image</t>
  </si>
  <si>
    <t>Tìm bằng file không phải ảnh trả 400</t>
  </si>
  <si>
    <t>HTTP 400 (ảnh không hợp lệ)</t>
  </si>
  <si>
    <t>HTTP 400  (12 ms)
{"detail": "File tải lên không phải ảnh hợp lệ."}</t>
  </si>
  <si>
    <t>API_PH2_052</t>
  </si>
  <si>
    <t>Tìm bằng ảnh khi không gửi file trả 422</t>
  </si>
  <si>
    <t>HTTP 422  (12 ms)
{"detail": "Thiếu file ảnh (field 'image' hoặc 'file')."}</t>
  </si>
  <si>
    <t>API_PH2_053</t>
  </si>
  <si>
    <t>Từ chối biến thể trùng SKU</t>
  </si>
  <si>
    <t>{"name": "QA SKU trùng", "slug": "qa-sku-trung-{{$timestamp}}", "price": 1500000, "salePrice": 1290000, "costPrice": 1000000, "categoryId": {{catId}}, "brandId": {{brandId}}, "description": "Tạo bởi bộ kiểm thử API", "active": true, "variants": [{"sku": "QA-DUP-SKU-001", "variantAttr": "Đen", "price": 1500000, "salePrice": 1290000, "active": true}]}</t>
  </si>
  <si>
    <t>HTTP 400/409; báo SKU đã tồn tại</t>
  </si>
  <si>
    <t>HTTP 500  (26 ms)
{"code": "INTERNAL_ERROR", "message": "Đã xảy ra lỗi hệ thống. Vui lòng thử lại sau."}
Không đạt: HTTP status ∈ 400/409</t>
  </si>
  <si>
    <t>Bug: HTTP status ∈ 400/409: expected [ 400, 409 ] to include 500</t>
  </si>
  <si>
    <t>JUnit 5 + Mockito (Spring Boot 3.2.5, Java 17); pytest 9.1 + pytest-cov 7.1 (Python 3.10, image ai-search-service), Playwright 1.64</t>
  </si>
  <si>
    <t>npx playwright test ui/PH2.spec.ts</t>
  </si>
  <si>
    <t>ProductServiceImplTest.java</t>
  </si>
  <si>
    <t>IllegalArgumentException ex = assertThrows(IllegalArgumentException.class,
assertTrue(ex.getMessage().contains("Slug sản phẩm đã tồn tại"));
verify(productRepository, never()).save(any());</t>
  </si>
  <si>
    <t>verify(productRepository).save(saved.capture());
assertNull(p.getSalePrice());
assertEquals("Apple", p.getBrand());
assertTrue(p.getActive());
assertEquals(0, BigDecimal.ZERO.compareTo(p.getLength()));</t>
  </si>
  <si>
    <t>verify(productImageRepository).saveAll(images.capture());
assertEquals(2, images.getValue().size());
assertEquals(0, images.getValue().get(0).getSortOrder());
assertEquals(1, images.getValue().get(1).getSortOrder());
assertEquals(51L, images.getValue().get(1).getProductId());</t>
  </si>
  <si>
    <t>assertThrows(ResourceNotFoundException.class, () -&gt; productService.updateProduct(404L, baseDto().build()));
verify(productRepository, never()).save(any());</t>
  </si>
  <si>
    <t>assertThrows(IllegalArgumentException.class, () -&gt; productService.updateProduct(1L, baseDto().build()));
verify(productRepository, never()).save(any());</t>
  </si>
  <si>
    <t>assertEquals(0, new BigDecimal("150").compareTo(keep.getPrice()));
verify(productVariantRepository).delete(drop);
verify(productVariantRepository, never()).delete(keep);
verify(productVariantRepository).save(argThat(v -&gt; "NEW".equals(v.getSku()) &amp;&amp; v.getProductId() == 1L));
verify(productTagRepository).deleteByProductId(1L);</t>
  </si>
  <si>
    <t>assertEquals(1, entry.getContent().size());
assertEquals(5L, entry.getContent().get(0).getId());
assertFalse(entry.isHasNext());
verify(productRepository, never()).findByCategoryId(anyLong(), any());</t>
  </si>
  <si>
    <t>ReviewServiceImplTest.java</t>
  </si>
  <si>
    <t>IllegalArgumentException ex = assertThrows(IllegalArgumentException.class,
assertTrue(ex.getMessage().contains("orderId"));
verify(reviewRepository, never()).save(any());</t>
  </si>
  <si>
    <t>IllegalStateException ex = assertThrows(IllegalStateException.class,
assertTrue(ex.getMessage().contains("đã đánh giá"));
verify(reviewRepository, never()).save(any());</t>
  </si>
  <si>
    <t>assertThrows(IllegalStateException.class, () -&gt; reviewService.addReview(dto(100L, 5)));
verify(reviewRepository, never()).save(any());</t>
  </si>
  <si>
    <t>verify(reviewRepository).save(saved.capture());
assertEquals("http://img/1.jpg,http://img/2.jpg", saved.getValue().getImageUrls());
assertEquals(new BigDecimal("4.50"), product.getRatingAvg());
verify(productRepository).save(product);
verify(productEventProducer).publishProductReviewed(any(ProductReview.class));</t>
  </si>
  <si>
    <t>assertEquals("Cảm ơn bạn!", res.getStaffReplyContent());
assertEquals("staff-9", res.getStaffReplierId());
assertNotNull(res.getStaffReplyAt());
assertThrows(IllegalStateException.class, () -&gt; reviewService.replyToReview(2L, "staff-9", "Lần 2"));
verify(reviewRepository, times(1)).save(any());</t>
  </si>
  <si>
    <t>CategoryServiceImplTest.java</t>
  </si>
  <si>
    <t>assertThrows(IllegalArgumentException.class,
assertEquals(10L, created.getId());
assertTrue(created.getActive());
verify(categoryRepository, times(1)).save(any());</t>
  </si>
  <si>
    <t>IllegalArgumentException ex = assertThrows(IllegalArgumentException.class,
assertTrue(ex.getMessage().contains("chính nó"));
verify(categoryRepository, never()).save(any());</t>
  </si>
  <si>
    <t>IllegalArgumentException ex = assertThrows(IllegalArgumentException.class,
assertTrue(ex.getMessage().contains("chu trình"));
verify(categoryRepository, never()).save(any());</t>
  </si>
  <si>
    <t>BrandServiceImplTest.java</t>
  </si>
  <si>
    <t>assertThrows(IllegalArgumentException.class,
assertThrows(IllegalArgumentException.class,
verify(brandRepository, never()).save(any());
assertEquals("Samsung VN", updated.getName());
assertTrue(updated.getActive(), "active=null trong request thì giữ nguyên giá trị cũ");</t>
  </si>
  <si>
    <t>SearchServiceImplTest.java</t>
  </si>
  <si>
    <t>assertSame(esPage, res);</t>
  </si>
  <si>
    <t>assertEquals(1, res.getTotalElements());
assertEquals(7L, doc.getId());
assertEquals(18000000d, doc.getEffectivePrice());
assertEquals("3", doc.getCategoryId());
assertEquals(1, all.getContent().size());</t>
  </si>
  <si>
    <t>WishlistServiceImplTest.java</t>
  </si>
  <si>
    <t>verify(wishlistRepository, never()).save(any());
verify(wishlistRepository).save(any(WishlistItem.class));
verify(setOperations).add("user:u1:wishlist", "6");
verify(redisTemplate).expire("user:u1:wishlist", Duration.ofDays(7));</t>
  </si>
  <si>
    <t>assertTrue(wishlistService.isWishlisted("u1", 5L));
verify(setOperations, never()).isMember(any(), any());
verify(setOperations).add("user:u1:wishlist", "5");</t>
  </si>
  <si>
    <t>ProductServiceImplBugCheck.java</t>
  </si>
  <si>
    <t>assertThrows(RuntimeException.class, () -&gt; productService.createProduct(dto));
verify(productRepository, never()).save(any());</t>
  </si>
  <si>
    <t>ReviewServiceImplBugCheck.java</t>
  </si>
  <si>
    <t>assertThrows(IllegalArgumentException.class, () -&gt; reviewService.addReview(dto));
verify(reviewRepository, never()).save(any());</t>
  </si>
  <si>
    <t>assertThrows(RuntimeException.class, () -&gt; reviewService.addReview(dto));
verify(reviewRepository, never()).save(any());</t>
  </si>
  <si>
    <t>CategoryServiceImplBugCheck.java</t>
  </si>
  <si>
    <t>assertThrows(RuntimeException.class, () -&gt; categoryService.createCategory(
verify(categoryRepository, never()).save(any());</t>
  </si>
  <si>
    <t>assertThrows(ResourceNotFoundException.class, () -&gt; categoryService.getCategoryById(404L));</t>
  </si>
  <si>
    <t>test_qa_ph2_search.py</t>
  </si>
  <si>
    <t>assert [f["id"] for f in fused] == [10, 20]
assert fused[0]["score"] == pytest.approx(1 / 61) and fused[1]["score"] == pytest.approx(1 / 62)
assert fused[0]["match_reason"] == "bm25"
assert fused[0]["id"] == 5 and fused[0]["match_reason"] == "bm25+dense"
assert fused[0]["score"] == pytest.approx(2 / 62)</t>
  </si>
  <si>
    <t>assert fused[0]["id"] == 5 and fused[0]["match_reason"] == "bm25+dense"
assert fused[0]["score"] == pytest.approx(2 / 62)
assert HybridSearchService().reciprocal_rank_fusion({"dense": [], "bm25": []}) == []
assert f0[0]["score"] == pytest.approx(1.0) and f0[1]["score"] == pytest.approx(0.5)
assert len(dup) == 1 and dup[0]["match_reason"] == "dense"</t>
  </si>
  <si>
    <t>assert f0[0]["score"] == pytest.approx(1.0) and f0[1]["score"] == pytest.approx(0.5)
assert len(dup) == 1 and dup[0]["match_reason"] == "dense"
assert hybrid["dense_k"] == 30 and hybrid["bm25_size"] == 30
assert out[0]["id"] == "1" and out[0]["match_reason"] == "bm25+dense"
assert {o["id"] for o in out} == {"1", "2", "3", "4"}</t>
  </si>
  <si>
    <t>assert hybrid["dense_k"] == 30 and hybrid["bm25_size"] == 30
assert out[0]["id"] == "1" and out[0]["match_reason"] == "bm25+dense"
assert {o["id"] for o in out} == {"1", "2", "3", "4"}
assert all(isinstance(o["score"], float) and o["name"] for o in out)
assert sorted(o["id"] for o in out) == ["1", "4"]</t>
  </si>
  <si>
    <t>assert sorted(o["id"] for o in out) == ["1", "4"]
assert [o["id"] for o in out] == ["1", "2"]
assert HybridSearchService().search("xyz") == []
assert svc.search("tai nghe") == []
assert [(o["id"], o["match_reason"]) for o in out] == [("4", "bm25")]</t>
  </si>
  <si>
    <t>assert [o["id"] for o in out] == ["1", "2"]
assert HybridSearchService().search("xyz") == []
assert svc.search("tai nghe") == []
assert [(o["id"], o["match_reason"]) for o in out] == [("4", "bm25")]
assert r.status_code == 200</t>
  </si>
  <si>
    <t>assert HybridSearchService().search("xyz") == []
assert svc.search("tai nghe") == []
assert [(o["id"], o["match_reason"]) for o in out] == [("4", "bm25")]
assert r.status_code == 200
assert body["code"] == "SUCCESS"</t>
  </si>
  <si>
    <t>assert svc.search("tai nghe") == []
assert [(o["id"], o["match_reason"]) for o in out] == [("4", "bm25")]
assert r.status_code == 200
assert body["code"] == "SUCCESS"
assert qu["intent"] == "product_search" and qu["extracted_attributes"]["keywords"] == ["iphone", "15", "pro", "max"]</t>
  </si>
  <si>
    <t>assert r.status_code == 200
assert body["code"] == "SUCCESS"
assert qu["intent"] == "product_search" and qu["extracted_attributes"]["keywords"] == ["iphone", "15", "pro", "max"]
assert body["data"]["total"] == 1
assert r.status_code == 500 and r.json()["detail"] == "Search failed"</t>
  </si>
  <si>
    <t>assert r.status_code == 500 and r.json()["detail"] == "Search failed"
assert client.get("/api/v1/search").status_code == 422
assert catalog.bm25_search("   ") == []
assert catalog._tokens("  a  b c d e f g h i j ") == ["a", "b", "c", "d", "e", "f", "g", "h"]
assert out == [{"id": 3, "score": 2.0}, {"id": 1, "score": 1.0}]</t>
  </si>
  <si>
    <t>assert catalog.bm25_search("   ") == []
assert catalog._tokens("  a  b c d e f g h i j ") == ["a", "b", "c", "d", "e", "f", "g", "h"]
assert out == [{"id": 3, "score": 2.0}, {"id": 1, "score": 1.0}]
assert captured["params"] == ["%ốp%", "%iphone%", 7]
assert catalog._es_down_until &gt; time.time() + 25</t>
  </si>
  <si>
    <t>assert out == [{"id": 3, "score": 2.0}, {"id": 1, "score": 1.0}]
assert captured["params"] == ["%ốp%", "%iphone%", 7]
assert catalog._es_down_until &gt; time.time() + 25
assert catalog._get_es() is None  # trong 30s không thử ES nữa
assert catalog.bm25_search("loa", size=5) == [{"id": 12, "score": 3.5}, {"id": 8, "score": 0.0}]</t>
  </si>
  <si>
    <t>assert catalog.bm25_search("loa", size=5) == [{"id": 12, "score": 3.5}, {"id": 8, "score": 0.0}]
assert seen["size"] == 5 and seen["query"]["bool"]["filter"] == [{"term": {"active": True}}]
assert catalog.suggest(" i ") == []
assert catalog.suggest("ip") == ["iPhone 15", "iPhone 15 Pro", "iPhone 14", "iPhone 13", "iPhone 12"]
assert seen["size"] == 10</t>
  </si>
  <si>
    <t>assert catalog.suggest(" i ") == []
assert catalog.suggest("ip") == ["iPhone 15", "iPhone 15 Pro", "iPhone 14", "iPhone 13", "iPhone 12"]
assert seen["size"] == 10
assert r.status_code == 200 and r.json()["data"]["suggestions"] == ["Sạc 20W", "Sạc dự phòng"]
assert captured["params"] == ["%Sạc%", "Sạc%", 10]</t>
  </si>
  <si>
    <t>assert catalog.suggest("ip") == ["iPhone 15", "iPhone 15 Pro", "iPhone 14", "iPhone 13", "iPhone 12"]
assert seen["size"] == 10
assert r.status_code == 200 and r.json()["data"]["suggestions"] == ["Sạc 20W", "Sạc dự phòng"]
assert captured["params"] == ["%Sạc%", "Sạc%", 10]
with pytest.raises(InvalidImageError, match="rỗng"):</t>
  </si>
  <si>
    <t>assert r.status_code == 200 and r.json()["data"]["suggestions"] == ["Sạc 20W", "Sạc dự phòng"]
assert captured["params"] == ["%Sạc%", "Sạc%", 10]
with pytest.raises(InvalidImageError, match="rỗng"):
with pytest.raises(InvalidImageError, match="không phải ảnh"):
with pytest.raises(InvalidImageError, match="1MB"):</t>
  </si>
  <si>
    <t>with pytest.raises(InvalidImageError, match="rỗng"):
with pytest.raises(InvalidImageError, match="không phải ảnh"):
with pytest.raises(InvalidImageError, match="1MB"):
with pytest.raises(InvalidImageError, match="không phải ảnh"):  # đúng biên: qua kiểm tra size, rơi vào kiểm tra định dạng
assert img.mode == "RGB" and img.getpixel((0, 0)) == (255, 255, 255)</t>
  </si>
  <si>
    <t>with pytest.raises(InvalidImageError, match="1MB"):
with pytest.raises(InvalidImageError, match="không phải ảnh"):  # đúng biên: qua kiểm tra size, rơi vào kiểm tra định dạng
assert img.mode == "RGB" and img.getpixel((0, 0)) == (255, 255, 255)
assert load_image_from_bytes(_png("L", color=128)).mode == "RGB"
assert client.post("/api/v1/search/image").status_code == 422</t>
  </si>
  <si>
    <t>assert img.mode == "RGB" and img.getpixel((0, 0)) == (255, 255, 255)
assert load_image_from_bytes(_png("L", color=128)).mode == "RGB"
assert client.post("/api/v1/search/image").status_code == 422
assert client.post("/api/v1/search/image", files=files).status_code == 503
assert r.status_code == 400 and "không phải ảnh" in r.json()["detail"]</t>
  </si>
  <si>
    <t>assert client.post("/api/v1/search/image").status_code == 422
assert client.post("/api/v1/search/image", files=files).status_code == 503
assert r.status_code == 400 and "không phải ảnh" in r.json()["detail"]
assert [_to_match_score(x) for x in (-1.0, 0.0, 1.0, 1.5, -2.0)] == [0, 50, 100, 100, 0]
assert [h[0] for h in hits] == [10, 20] and hits[0][1] == pytest.approx(1.0, abs=1e-5)</t>
  </si>
  <si>
    <t>assert [_to_match_score(x) for x in (-1.0, 0.0, 1.0, 1.5, -2.0)] == [0, 50, 100, 100, 0]
assert [h[0] for h in hits] == [10, 20] and hits[0][1] == pytest.approx(1.0, abs=1e-5)
assert s.search(_unit([1, 0, 0, 0]), top_k=0) == []
with pytest.raises(ValueError):
with pytest.raises(ValueError):</t>
  </si>
  <si>
    <t>bugcheck_ph2_search.py</t>
  </si>
  <si>
    <t>assert len(data) &lt; 200
with pytest.raises(InvalidImageError):
assert r.status_code == 422, f"status={r.status_code}"</t>
  </si>
  <si>
    <t>assert r.status_code == 422, f"status={r.status_code}"</t>
  </si>
  <si>
    <t>assert [h[0] for h in hits] == [10, 20] and hits[0][1] == pytest.approx(1.0, abs=1e-5)
assert s.search(_unit([1, 0, 0, 0]), top_k=0) == []
with pytest.raises(ValueError):
with pytest.raises(ValueError):
with pytest.raises(ValueError):</t>
  </si>
  <si>
    <t>with pytest.raises(ValueError):
with pytest.raises(ValueError):
assert empty.load() is False and empty.is_ready is False and empty.search(_unit([1, 0, 0, 0])) == []
assert not os.path.exists(s.index_path + ".tmp")
assert s2.load() is True and s2.size == 2 and s2.is_ready</t>
  </si>
  <si>
    <t>assert empty.load() is False and empty.is_ready is False and empty.search(_unit([1, 0, 0, 0])) == []
assert not os.path.exists(s.index_path + ".tmp")
assert s2.load() is True and s2.size == 2 and s2.is_ready
assert wrong_dim.load() is False and not wrong_dim.is_ready
assert bad_map.load() is False and not bad_map.is_ready</t>
  </si>
  <si>
    <t>assert wrong_dim.load() is False and not wrong_dim.is_ready
assert bad_map.load() is False and not bad_map.is_ready
assert len(loads) == 1 and reader.size == 1
assert len(loads) == 1
assert len(loads) == 2 and reader.size == 2</t>
  </si>
  <si>
    <t>assert len(loads) == 1 and reader.size == 1
assert len(loads) == 1
assert len(loads) == 2 and reader.size == 2
assert catalog._effective_price(1000, 800) == 800.0
assert catalog._effective_price(1000, 1000) == 1000.0</t>
  </si>
  <si>
    <t>assert catalog._effective_price(1000, 800) == 800.0
assert catalog._effective_price(1000, 1000) == 1000.0
assert catalog._effective_price(1000, 1200) == 1000.0
assert catalog._effective_price(1000, None) == 1000.0
assert catalog._effective_price(None, None) == 0.0</t>
  </si>
  <si>
    <t>assert catalog.get_products_by_ids([1, 1, 2]) == {1: {"name": "A", "price": 900.0, "image": "/a.png"}}
assert calls == [[1, 2]]
assert len(calls) == 1  # id 1 lấy từ cache
assert catalog.get_products_by_ids([77]) == {}</t>
  </si>
  <si>
    <t>pm.test('HTTP status ∈ ' + __exp.join('/'), () =&gt; pm.expect(__exp).to.include(pm.response.code));
pm.test('Có 5 sản phẩm', () =&gt; pm.expect(j.data.content.length).to.eql(5));</t>
  </si>
  <si>
    <t>pm.test('HTTP status ∈ ' + __exp.join('/'), () =&gt; pm.expect(__exp).to.include(pm.response.code));
pm.test('Có variants', () =&gt; pm.expect(j.data.variants).to.be.an('array'));</t>
  </si>
  <si>
    <t>pm.test('HTTP status ∈ ' + __exp.join('/'), () =&gt; pm.expect(__exp).to.include(pm.response.code));
pm.test('Đúng id', () =&gt; pm.expect(j.data.id).to.eql(Number(pm.environment.get('pid'))));</t>
  </si>
  <si>
    <t>pm.test('HTTP status ∈ ' + __exp.join('/'), () =&gt; pm.expect(__exp).to.include(pm.response.code));
pm.test('Mọi sản phẩm đúng danh mục', () =&gt; j.data.content.forEach(p =&gt; pm.expect(p.categoryId).to.eql(Number(pm.environment.get('catId')))));</t>
  </si>
  <si>
    <t>pm.test('HTTP status ∈ ' + __exp.join('/'), () =&gt; pm.expect(__exp).to.include(pm.response.code));
pm.test('Có kết quả chứa iphone', () =&gt; { pm.expect(j.data.content.length).to.be.above(0); pm.expect(j.data.content[0].name.toLowerCase()).to.include('iphone'); });</t>
  </si>
  <si>
    <t>pm.test('HTTP status ∈ ' + __exp.join('/'), () =&gt; pm.expect(__exp).to.include(pm.response.code));
pm.test('Không trả toàn bộ sản phẩm', () =&gt; pm.expect(j.data.content.length).to.be.below(20));</t>
  </si>
  <si>
    <t>pm.test('HTTP status ∈ ' + __exp.join('/'), () =&gt; pm.expect(__exp).to.include(pm.response.code));
pm.test('Rỗng', () =&gt; pm.expect(j.data.content.length).to.eql(0));</t>
  </si>
  <si>
    <t>pm.test('HTTP status ∈ ' + __exp.join('/'), () =&gt; pm.expect(__exp).to.include(pm.response.code));
pm.test('Có danh mục', () =&gt; pm.expect(j.data.length).to.be.above(0));</t>
  </si>
  <si>
    <t>pm.test('HTTP status ∈ ' + __exp.join('/'), () =&gt; pm.expect(__exp).to.include(pm.response.code));
pm.test('Mọi thương hiệu active', () =&gt; j.data.forEach(b =&gt; pm.expect(b.active).to.not.eql(false)));</t>
  </si>
  <si>
    <t>pm.test('HTTP status ∈ ' + __exp.join('/'), () =&gt; pm.expect(__exp).to.include(pm.response.code));
pm.test('data = true', () =&gt; pm.expect(j.data).to.eql(true));</t>
  </si>
  <si>
    <t>pm.test('HTTP status ∈ ' + __exp.join('/'), () =&gt; pm.expect(__exp).to.include(pm.response.code));
pm.test('Có id', () =&gt; pm.expect(j.data.id).to.be.a('number'));</t>
  </si>
  <si>
    <t>pm.test('HTTP status ∈ ' + __exp.join('/'), () =&gt; pm.expect(__exp).to.include(pm.response.code));
pm.test('Giá mới', () =&gt; pm.expect(Number(j.data.price)).to.eql(1600000));</t>
  </si>
  <si>
    <t>pm.test('HTTP status ∈ ' + __exp.join('/'), () =&gt; pm.expect(__exp).to.include(pm.response.code));
pm.test('Giá công khai = 1.600.000', () =&gt; pm.expect(Number(j.data.price)).to.eql(1600000));</t>
  </si>
  <si>
    <t>pm.test('HTTP status ∈ ' + __exp.join('/'), () =&gt; pm.expect(__exp).to.include(pm.response.code));
pm.test('Có items', () =&gt; pm.expect(j.data.items.length).to.be.above(0));</t>
  </si>
  <si>
    <t>pm.test('HTTP status ∈ ' + __exp.join('/'), () =&gt; pm.expect(__exp).to.include(pm.response.code));
pm.test('Tối đa 5 gợi ý', () =&gt; pm.expect(j.data.suggestions.length).to.be.at.most(5));</t>
  </si>
  <si>
    <t>ui/PH2.spec.ts</t>
  </si>
  <si>
    <t>KIỂM THỬ HIỆU NĂNG - PHÂN HỆ SẢN PHẨM, DANH MỤC, ĐÁNH GIÁ &amp; TÌM KIẾM</t>
  </si>
  <si>
    <t>http://localhost:8089 (product-service), http://localhost:8001 (search-service), http://localhost:8080 (gateway)</t>
  </si>
  <si>
    <t>Load Test: GET /api/v1/public/products?page=0&amp;size=20, GET /api/v1/public/products/{id}, GET /api/v1/public/products/search?q=iphone</t>
  </si>
  <si>
    <t>Stress Test: GET /api/v1/public/products?page=0&amp;size=20, GET /api/v1/public/products/{id}</t>
  </si>
  <si>
    <t>SCEN_03</t>
  </si>
  <si>
    <t>Load Test (AI): GET /api/v1/public/search?q=...</t>
  </si>
  <si>
    <t>5 VUs / thời gian 30s (executor constant-vus)</t>
  </si>
  <si>
    <t>SCEN_04</t>
  </si>
  <si>
    <t>Rate-limit Test: Rate limiter gateway: GET /api/v1/public/products</t>
  </si>
  <si>
    <t>60 VUs / thời gian 15s (executor constant-vus)</t>
  </si>
  <si>
    <t>POST/PUT/DELETE /api/v1/admin/**</t>
  </si>
  <si>
    <t>Thao tác quản trị tần suất thấp.</t>
  </si>
  <si>
    <t>POST /api/v1/public/search/image</t>
  </si>
  <si>
    <t>CLIP chạy trên CPU, khóa event loop; đo riêng thời gian đơn lẻ trong kiểm thử API.</t>
  </si>
  <si>
    <t>GET /api/v1/public/products?page=0&amp;size=20 (danh sách)</t>
  </si>
  <si>
    <t>GET /api/v1/public/products/{id} (chi tiết)</t>
  </si>
  <si>
    <t>GET /api/v1/public/products/search?q=iphone (Elasticsearch)</t>
  </si>
  <si>
    <t>GET /api/v1/public/products?page=0&amp;size=20 (tải nặng)</t>
  </si>
  <si>
    <t>GET /api/v1/public/products/{id} (tải nặng)</t>
  </si>
  <si>
    <t>GET /api/v1/public/search?q=... (tìm kiếm ngữ nghĩa AI)</t>
  </si>
  <si>
    <t>Load Test (AI)</t>
  </si>
  <si>
    <t>Rate limiter gateway: GET /api/v1/public/products (60 VUs, 15s)</t>
  </si>
  <si>
    <t>Rate-limit Test</t>
  </si>
  <si>
    <t>p95 &lt; 800 ms</t>
  </si>
  <si>
    <t>p95 &lt; 2000 ms</t>
  </si>
  <si>
    <t>p95 &lt; 3000 ms</t>
  </si>
  <si>
    <t>Phải có HTTP 429</t>
  </si>
  <si>
    <t>7 kịch bản, 6 đạt ngưỡng. Không đạt: GET /api/v1/public/search?q=... (tìm kiếm ngữ nghĩa AI) (p95 27252 ms, lỗi 0%) 62378/62728 request bị chặn 429 (rate limiter hoạt động)</t>
  </si>
  <si>
    <t>53 ca, 11 ca không đạt — chủ yếu sai mã lỗi HTTP / phân quyền / bảo mật (xem sheet API).</t>
  </si>
  <si>
    <t>Line coverage tầng service 57.1%, branch 39.1%. 7 ca BugCheck ghi nhận lỗi.</t>
  </si>
  <si>
    <t>7 kịch bản, 6 đạt ngưỡng. Không đạt: GET /api/v1/public/search?q=... (tìm kiếm ngữ nghĩa AI) (p95 27252 ms, lỗi 0%)</t>
  </si>
  <si>
    <t>1. API_PH2_003: Sản phẩm không tồn tại trả 404 — mong đợi HTTP 404 NOT_FOUND; thực tế HTTP 500.
2. API_PH2_005: Slug không tồn tại trả 404 — mong đợi HTTP 404; thực tế HTTP 500.
3. API_PH2_008: Tìm kiếm thiếu tham số q trả 400 — mong đợi HTTP 400 (thiếu tham số bắt buộc); thực tế HTTP 500.
4. API_PH2_013: Danh mục không tồn tại trả 404 — mong đợi HTTP 404; thực tế HTTP 500.
5. API_PH2_018: Thương hiệu không tồn tại trả 404 — mong đợi HTTP 404; thực tế HTTP 500.
6. API_PH2_025: Yêu thích sản phẩm không tồn tại trả 404 — mong đợi HTTP 404; thực tế HTTP 500.
7. API_PH2_033: Staff được tạo sản phẩm — mong đợi HTTP 200; thực tế HTTP 500.
8. API_PH2_034: Staff không được xóa sản phẩm (chỉ ADMIN) — mong đợi HTTP 403 Forbidden; thực tế HTTP 500.
9. API_PH2_037: Sản phẩm đã xóa không còn truy cập — mong đợi HTTP 404; thực tế HTTP 500.
10. API_PH2_042: Từ chối thương hiệu thiếu tên — mong đợi HTTP 400 VALIDATION_FAILED; thực tế HTTP 500.
11. API_PH2_053: Từ chối biến thể trùng SKU — mong đợi HTTP 400/409; báo SKU đã tồn tại; thực tế HTTP 500.
12. TC_PH2_PROD_08: createProduct (và updateProduct) không kiểm tra categoryId có tồn tại: sản phẩm thuộc danh mục 999 vẫn được lưu, không xuất hiện trong cây danh mục.
13. TC_PH2_REVIEW_06: addReview không kiểm tra rating trong 1..5 (ProductReviewDto cũng không có @Valid/@Min/@Max) -&gt; rating=7 được lưu và làm sai ratingAvg (Finding F7).
14. TC_PH2_REVIEW_07: Kiểm tra điều kiện đánh giá fail-open: khi gọi order-service lỗi (offline/timeout/401), exception bị nuốt và đánh giá vẫn được lưu -&gt; người chưa mua vẫn đánh giá được.
15. TC_PH2_CAT_04: createCategory không kiểm tra parentId tồn tại -&gt; tạo danh mục mồ côi không hiển thị trong getCategoryTree().
16. TC_PH2_CAT_05: getCategoryById (và updateCategory) ném RuntimeException chung khi không tìm thấy -&gt; GlobalExceptionHandler trả 500 thay vì 404 (Finding F6; tương tự brand/product-by-id/slug).
17. TC_PH2_IMG_06: load_image_from_bytes chỉ bắt UnidentifiedImageError/OSError; ảnh 'bom giải nén' (PNG vài chục byte khai báo 20000×20000 px) làm PIL ném DecompressionBombError -&gt; lọt qua, endpoint /search/image trả 500 thay vì 400.
18. TC_PH2_HYB_06: top_k của /search (và /search/image, /multimodal, /similar) không có ràng buộc: top_k=-5 trả 200; pool=-15 được gửi thành size âm lên Elasticsearch, ES báo lỗi và _mark_es_down() tắt BM25 30s cho mọi người dùng.
19. UI_PH2_FR01_004: Lọc sản phẩm theo khoảng giá 2 – 10 triệu — Sau khi bấm "2 – 10 triệu", URL đổi thành minPrice=2000000&amp;maxPrice=10000000 rồi ngay lập tức bị ghi đè thành minPrice=0&amp;maxPrice=1000000000 (do ô nhập giá Từ/Đến debounce 400 ms đẩy lại giá trị cũ). Danh sách vẫn có sản phẩm 29.890.000đ, 15.990.000đ... Bằng chứng: URL=http://localhost:5173/category?activeCategory=dien-thoai&amp;minPrice=0&amp;maxPrice=1000000000; giá: 29890000, 15990000, 3590000, 17590000, 6990000, 5890000, 10990000, 7990000, 13690000, 19990000, 22990000, 11190000
20. UI_PH2_FR01_007: Trang danh mục trên màn hình 375px — Nút "Bộ lọc" hiển thị đúng nhưng trang rộng 394px &gt; 375px (cuộn ngang). Phần tràn là thanh tiện ích header (nav "Tiện ích", liên kết "Đăng nhập" kết thúc ở 394px). Bằng chứng: scrollWidth=394
21. UI_PH2_FR02_004: Điểm đánh giá trung bình khớp danh sách đánh giá — Hiện "(4 đánh giá)" nhưng điểm cạnh tên sản phẩm là 0 và 0 sao (trung bình thực tế 4.5). Trang dùng product.rating, trong khi ratingAvg của sản phẩm trên server vẫn là 0.0 (không được cập nhật khi có đánh giá). Hành vi này đã được ghi nhận trong mục 13 của hướng dẫn test thủ công. Bằng chứng: 4 đánh giá, trung bình thực tế 4.5; điểm hiển thị cạnh tên SP: 0
22. UI_PH2_FR02_006: Mở sản phẩm không tồn tại — Trang hiện "Đã xảy ra lỗi hệ thống. Vui lòng thử lại sau." kèm nút "Thử lại" thay vì thông báo không tìm thấy sản phẩm, vì GET /public/products/999999 trả HTTP 500 (RuntimeException "Product not found" không được map thành 404, Finding F6). Bằng chứng: Nội dung hiển thị: error_outline Đã xảy ra lỗi hệ thống. Vui lòng thử lại sau. Thử lại</t>
  </si>
  <si>
    <t>Ưu điểm:
- Cache-aside Redis với serializer gắn kiểu (chống unsafe deserialization), evict sau commit qua TransactionSynchronization, tránh lệch cache khi rollback.
- convertToDtoList gom batch bằng IN, tránh N+1 cho danh sách sản phẩm; EAV có unique (product_id, attribute_id).
- Có fallback MariaDB khi Elasticsearch lỗi, cả ở product-service và search-service (_mark_es_down 30s).
- search-service: FaissStore thread-safe, tự reload khi index đổi, ghi file atomic; trả 503/400 rõ ràng; docstring tốt.
- Upload ảnh có kiểm tra MIME và làm sạch folder; sự kiện xem chỉ phát khi có X-Track-View (opt-in).</t>
  </si>
  <si>
    <t>Hạn chế:
- Không file Java/Python nào có header tác giả/bản quyền (vd ProductServiceImpl.java:1, search.py:1).
- ProductDto chỉ ghi chú attributes/specsRaw/images (ProductDto.java:29-30, :53); entity ProductReview không có ghi chú trường nào. config.py của search-service thì có comment theo nhóm cho từng biến môi trường (config.py:14-55).
- Số magic lặp lại: Duration.ofDays(7) xuất hiện 3 lần (WishlistServiceImpl.java:63, :118, :160), pool = top_k * 3 (hybrid_search.py:46), max(top_k * 20, 200) (faiss_store.py:156). Phía Python, các tham số RRF_K, MM_*_WEIGHT, MAX_UPLOAD_MB đã được đặt tên trong config.py.
- Service Java gần như không có Javadoc (createProduct, updateProduct, addReview). Python thì ngược lại: hầu hết hàm có docstring (faiss_store.py, visual_search.py, catalog.py).
- Javadoc ProductGrpcServerService.java:22-26 ghi gRPC 'Replaces: REST endpoint GET /api/internal/products/price-info' trong khi endpoint đó vẫn tồn tại (InternalProductController.java:18). Log ở ReviewServiceImpl.java:65 ghi 'Tạm thời bỏ qua bước check để hỗ trợ test' nhưng hành vi này vẫn còn trong bản chạy thật.
- getProductById trả null, controller ném RuntimeException nên ra 500 thay vì 404 (ProductController.java:60-63, :76-79). Future của kafkaTemplate.send không được kiểm tra (ProductEventProducer.java:38). catalog.get_products_by_ids trả {} khi DB lỗi (catalog.py:84-86) nên API tìm kiếm trả rỗng thay vì báo lỗi.</t>
  </si>
  <si>
    <t>Phân hệ Sản phẩm, danh mục, đánh giá &amp; tìm kiếm đáp ứng các luồng nghiệp vụ chính khi kiểm thử trên môi trường local; các lỗi phát hiện tập trung ở xử lý ngoại lệ (mã lỗi HTTP), phân quyền chi tiết và một số điểm bảo mật/độ bền đã liệt kê ở mục 2. Cần sửa các lỗi mức Cao trước khi triển khai.</t>
  </si>
  <si>
    <t>5 UC chính + 7 UC con (Select Cart Items, Enter Shipping Address, Apply Discounts, Reserve Stock, Select Order to Cancel, Enter Cancellation Reason, Release Stock); 2 kịch bản chi tiết; ~1.420 dòng tài liệu dịch vụ</t>
  </si>
  <si>
    <t>docs/services/03_CART_ORDER_SERVICE.md; docs/DETAILED_ORDER_FLOW.md; CHUONG_I_DAC_TA.md mục 1 (bảng từ khoá dòng 16-19, 40-50), mục 2 Bước 2–3 (Chức năng 4, 5), mục 3.1 (Manage Cart, Online Order, Process Order, Cancel Order, Update Delivery Tracking), 3.5, 3.6; CHUONG_II_PHA_PHAN_TICH.md mục 1.4, 1.5, 2.c; đối chiếu RA_SOAT_BAO_CAO_VS_CODE.md (A7, A10, B3, B4, B8, B9, C16, C18, E18–E24)</t>
  </si>
  <si>
    <t>Đây là file Markdown tự do: không có mã hiệu tài liệu, quy trình phê duyệt hay phân phối. Thứ duy nhất gần với kiểm soát tài liệu là banner 'rà soát 2026-10-11' ở đầu docs/services/03_CART_ORDER_SERVICE.md và docs/DETAILED_ORDER_FLOW.md.</t>
  </si>
  <si>
    <t>Không dùng mẫu SRS chuẩn (IEEE 830 hay mẫu của đơn vị); docs/services/03_CART_ORDER_SERVICE.md là tài liệu thiết kế kỹ thuật chia mục I–XI theo kiểu riêng.</t>
  </si>
  <si>
    <t>Không có trang tiêu đề. Đầu file chỉ có heading '# TÀI LIỆU THIẾT KẾ: CART &amp; ORDER SERVICE' và dòng 'Port 8082 | DB | Version 1.0.0'; không có logo, mã dự án, mã hiệu hay ngày ban hành.</t>
  </si>
  <si>
    <t>Markdown không có header/footer; dòng cuối '*Tài liệu thuộc nhóm 2 — Kiến trúc &amp; Kỹ thuật chuyên sâu.*' không chứa tên, phiên bản hay mã template.</t>
  </si>
  <si>
    <t>File Markdown không có đánh số trang.</t>
  </si>
  <si>
    <t>Không có trang ký người xem xét/người phê duyệt trong cả 03, DETAILED_ORDER_FLOW và các chương báo cáo.</t>
  </si>
  <si>
    <t>Không có bảng lịch sử thay đổi. Banner đầu docs/services/03_CART_ORDER_SERVICE.md (dòng 3-12) chỉ liệt kê các điểm lệch so với code, không ghi phiên bản/ngày/người sửa theo từng lần.</t>
  </si>
  <si>
    <t>Tài liệu vẫn ghi Version 1.0.0 dù đã được sửa nhiều lần (banner rà soát 2026-10-11), nên điều kiện 'phiên bản &gt; v1.0' không áp dụng được. Bản thân việc giữ nguyên số phiên bản sau khi sửa đã là một thiếu sót.</t>
  </si>
  <si>
    <t>Không có bảng ghi nhận thay đổi nên không đánh giá được tính đầy đủ.</t>
  </si>
  <si>
    <t>docs/DETAILED_ORDER_FLOW.md dòng 4 nêu rõ 'Tài liệu này đặc tả chi tiết luồng nghiệp vụ đặt hàng…'. Ngược lại docs/services/03_CART_ORDER_SERVICE.md không có mục Mục đích tài liệu (mục I.1 chỉ mô tả nghiệp vụ service).</t>
  </si>
  <si>
    <t>docs/services/03_CART_ORDER_SERVICE.md mục 1.1 có bảng nhóm chức năng Giỏ hàng/Checkout/Đơn hàng/Trạng thái/Chống trùng lặp và mục 1.2 giải thích lý do gộp; CHUONG_I_DAC_TA.md Bước 2 nêu phạm vi theo vai trò.</t>
  </si>
  <si>
    <t>CHUONG_I_DAC_TA.md mục 1 có định nghĩa thuật ngữ nghiệp vụ (Giỏ hàng, Đơn hàng, Giữ chỗ/Trừ/Hoàn tồn kho – dòng 16-19, 40-50). Tuy nhiên các thuật ngữ kỹ thuật dùng dày đặc trong docs/services/03_CART_ORDER_SERVICE.md/docs/DETAILED_ORDER_FLOW.md như Idempotency-Key, Outbox, Debezium CDC, tombstone, kho ảo, compensation đều không được định nghĩa.</t>
  </si>
  <si>
    <t>Không có mục Tài liệu tham khảo; chỉ có vài liên kết rải rác trong nội dung.</t>
  </si>
  <si>
    <t>Banner ở docs/services/03_CART_ORDER_SERVICE.md ghi 'Thiết kế ban đầu — một số phần KHÔNG khớp với code', và các mục 4.4 (Camunda), 7.2 (Outbox Scheduler), bảng cart_items/coupons được đánh dấu ⚠️ là không tồn tại.</t>
  </si>
  <si>
    <t>Không có đoạn nào mô tả cấu trúc tài liệu; người đọc chỉ có thể suy ra từ các heading I–XI.</t>
  </si>
  <si>
    <t>docs/DETAILED_ORDER_FLOW.md mục II có 5 giai đoạn với sơ đồ tuần tự (checkout, trừ kho, thanh toán, hủy, giao hàng); CHUONG_II_PHA_PHAN_TICH.md mục 1.4 và 1.5 có kịch bản chính và ngoại lệ.</t>
  </si>
  <si>
    <t>docs/services/03_CART_ORDER_SERVICE.md mục 1.1 liệt kê chức năng, mục VI liệt kê endpoint Cart/Order/Internal. Thiếu POST /orders/checkout/preview và GET /orders/warranty/me dù code có (OrderController.java:26-31, 60-64).</t>
  </si>
  <si>
    <t>Đây là câu dẫn cho hai câu dưới; kết quả đánh giá chi tiết nằm ở A38–A39.</t>
  </si>
  <si>
    <t>Phân nhóm hợp lý: Giỏ hàng / Checkout / Đơn hàng / Trạng thái / Chống trùng lặp (mục 1.1), và API chia Cart / Customer Order / Internal (mục 6.1–6.3).</t>
  </si>
  <si>
    <t>Nhiều mô tả sai so với code: mục 1.1 ghi giỏ hàng có 'áp mã giảm giá'; ví dụ response ở mục 6.2 có 'success': true trong khi code trả {code,message,data}; CHUONG_I_DAC_TA.md Chức năng 4 ghi trừ kho sau thanh toán (RA_SOAT A7); có 'Select Cart Items' (B4) và 'Enter Cancellation Reason' (A10) nhưng code không có.</t>
  </si>
  <si>
    <t>docs/services/03_CART_ORDER_SERVICE.md mục 6.2 có cột Quyền hạn (User / Admin/Staff / Public HMAC); CHUONG_I_DAC_TA.md mục 3.5–3.6 gắn actor cho từng UC.</t>
  </si>
  <si>
    <t>CHUONG_I_DAC_TA.md Bước 2 mô tả vai trò Khách hàng, Nhân viên vận hành, Quản trị viên. Tuy nhiên 'nhân viên bán hàng' trong UC Process Order/Cancel Order không tồn tại thành role riêng trong code (chỉ có ADMIN/STAFF).</t>
  </si>
  <si>
    <t>docs/DETAILED_ORDER_FLOW.md mục I có sơ đồ kiến trúc luồng đặt hàng, docs/services/03_CART_ORDER_SERVICE.md mục IX có ERD, CHUONG_I_DAC_TA.md có biểu đồ UC. Link puml trỏ tới file:///d:/Downloads/… nên không mở được.</t>
  </si>
  <si>
    <t>Không có mô tả đặc điểm người dùng (trình độ, tần suất, thiết bị); chỉ có danh sách quyền theo vai trò.</t>
  </si>
  <si>
    <t>Banner docs/services/03_CART_ORDER_SERVICE.md nêu ràng buộc: MariaDB 10.11, phí ship cố định 30.000đ, hủy tự động sau 30 phút, chỉ có VNPay + COD, vận chuyển là mock.</t>
  </si>
  <si>
    <t>Không có mục giả thiết/phụ thuộc. Sự phụ thuộc vào promotion-service, user-service (điểm), inventory gRPC và Debezium chỉ hiện ngầm trong sơ đồ (docs/DETAILED_ORDER_FLOW.md dòng 4).</t>
  </si>
  <si>
    <t>Yêu cầu không có mã định danh (FR-xx); yêu cầu nằm lẫn trong sơ đồ tuần tự, bảng API và kịch bản.</t>
  </si>
  <si>
    <t>Có mâu thuẫn giữa các tài liệu: CHUONG_I_DAC_TA.md Chức năng 4 ghi trừ kho sau thanh toán, trong khi docs/DETAILED_ORDER_FLOW.md giai đoạn 2 ghi trừ ngay khi nhận OrderCreatedEvent; CHUONG_II_PHA_PHAN_TICH.md 1.4 ghi hậu điều kiện PAID/CONFIRMED, còn code dùng AWAITING_PAYMENT→CONFIRMED; CHUONG_II_PHA_PHAN_TICH.md 1.5 ghi hạn hủy 120 phút nhưng 03 và code không có.</t>
  </si>
  <si>
    <t>Chỉ bảng 'Điểm cải tiến tương lai' (mục XI) có cột Ưu tiên; các yêu cầu chức năng đang có thì không có độ ưu tiên.</t>
  </si>
  <si>
    <t>UC chỉ có tên tiếng Anh (Online Order &amp; Checkout, Cancel Order…), không có mã UC-xx/FR-xx.</t>
  </si>
  <si>
    <t>Dẫn chiếu nội bộ trong banner (mục 4.4, 7.2) đúng, nhưng liên kết tệp PlantUML trong CHUONG_I_DAC_TA.md mục 3.1/3.5/3.6 trỏ tới đường dẫn máy cá nhân d:/Downloads/… nên không dùng được.</t>
  </si>
  <si>
    <t>Không có tiêu chí nghiệm thu cho từng chức năng.</t>
  </si>
  <si>
    <t>Thiếu quy tắc validate (định dạng SĐT, số lượng tối đa), danh mục mã lỗi, endpoint preview/warranty, và bước gọi gRPC khi Redis chưa có key tồn kho (RA_SOAT E24).</t>
  </si>
  <si>
    <t>Các phần thiết kế cũ được đánh dấu ⚠️, nhưng những chức năng có trong code mà tài liệu thiếu (preview checkout, warranty, compensation_tasks) không được đánh dấu TBD/thiếu.</t>
  </si>
  <si>
    <t>Không có yêu cầu chất lượng định lượng (TPS, độ trễ p95, uptime); chỉ có so sánh định tính 'Redis &lt; 1ms' ở mục 2.2.</t>
  </si>
  <si>
    <t>Các yêu cầu chính (giỏ, checkout, hủy, giao hàng mock) nằm trong phạm vi. Các phần ngoài phạm vi (Camunda, GHTK/GHN thật) đã được ghi là không tồn tại.</t>
  </si>
  <si>
    <t>docs/services/03_CART_ORDER_SERVICE.md phần lớn là giải pháp thiết kế (cấu trúc Redis Hash, enum Java ở mục 3.2, DDL SQL, cấu hình Docker) chứ không phải yêu cầu.</t>
  </si>
  <si>
    <t>Có mô tả xử lý khi lỗi: 409 khi trùng request và 400 khi hết hàng (docs/services/03_CART_ORDER_SERVICE.md 4.1); luồng bù trừ (docs/DETAILED_ORDER_FLOW.md mục III.2); ngoại lệ 17.1, 20.1 (CHUONG_II_PHA_PHAN_TICH.md 1.4) và 4.1, 16.1 (1.5).</t>
  </si>
  <si>
    <t>Đã có API, schema DB, Redis key và sơ đồ tuần tự đủ để thiết kế; một phần đã cũ nhưng có ghi chú.</t>
  </si>
  <si>
    <t>Các yêu cầu còn hiệu lực đều đã được hiện thực trong order-service; các phần không khả thi (Camunda, GHTK) đã được loại.</t>
  </si>
  <si>
    <t>Thuật toán được mô tả: idempotency bằng SETNX (mục 3.1), giảm kho bằng Lua, outbox và bù trừ (docs/DETAILED_ORDER_FLOW.md III), cùng các sơ đồ tuần tự.</t>
  </si>
  <si>
    <t>Có ví dụ request/response cho từng endpoint và luồng sự kiện, đủ để viết test, dù chưa có tiêu chí nghiệm thu.</t>
  </si>
  <si>
    <t>Không có danh mục thông báo lỗi. Code có mã OUT_OF_STOCK/INVALID_COUPON/DUPLICATE_REQUEST/INVALID_STATE, nhưng tài liệu chỉ ghi 400/409 chung chung; câu thông báo trong CHUONG_II_PHA_PHAN_TICH.md 17.1 khác với câu thật trong code (OrderServiceImpl.java:216-217).</t>
  </si>
  <si>
    <t>Kịch bản CHUONG_II_PHA_PHAN_TICH.md 1.4/1.5 truy vết được về UC Online Order và Cancel Order (CHUONG_I_DAC_TA.md 3.5/3.6). Endpoint trong docs/services/03_CART_ORDER_SERVICE.md thì không gắn với UC nào.</t>
  </si>
  <si>
    <t>Có xác định quyền theo endpoint (docs/services/03_CART_ORDER_SERVICE.md 6.2), HMAC cho webhook vận chuyển (6.2 mục 7) và idempotency (docs/DETAILED_ORDER_FLOW.md III.1).</t>
  </si>
  <si>
    <t>Các loại bảo mật được nêu: phân quyền theo vai trò dựa trên JWT Keycloak (User/Admin/Staff), chữ ký HMAC-SHA256 cho webhook, endpoint nội bộ /api/internal. Tài liệu không nói tới header X-Internal-Api-Key.</t>
  </si>
  <si>
    <t>Không có yêu cầu sao lưu; chỉ nhắc Redis AOF trong bảng so sánh mục 2.2, và bảng cart_items 'dự phòng' thì không tồn tại.</t>
  </si>
  <si>
    <t>Không có yêu cầu usability định lượng; CHUONG_II_PHA_PHAN_TICH.md chỉ có mô phỏng giao diện.</t>
  </si>
  <si>
    <t>Có mô tả cơ chế bù trừ/retry nhưng không có chỉ tiêu ổn định (uptime, MTTR).</t>
  </si>
  <si>
    <t>Chỉ có nhận xét định tính ('giảm 1 network hop', 'tăng tốc độ checkout'), không có chỉ tiêu hiệu năng.</t>
  </si>
  <si>
    <t>Không nêu lưu lượng giao dịch (đơn/giây) hay quy mô dữ liệu (số đơn, kích thước giỏ).</t>
  </si>
  <si>
    <t>Không có yêu cầu về tính hỗ trợ/bảo trì (logging, giám sát, cấu hình).</t>
  </si>
  <si>
    <t>Có nêu công nghệ: MariaDB 10.11, Redis, Kafka, Debezium, port 8082, cấu hình Docker (docs/services/03_CART_ORDER_SERVICE.md mục X).</t>
  </si>
  <si>
    <t>Đây là câu dẫn; giao tiếp được mô tả ở mục VI (API) và VIII (Kafka topics).</t>
  </si>
  <si>
    <t>CHUONG_II_PHA_PHAN_TICH.md 1.4 mô tả giao diện 'Giỏ hàng của bạn' và CheckoutPage 3 bước. Giao diện này có cột 'Chọn' (tích chọn món) mà hệ thống không hỗ trợ.</t>
  </si>
  <si>
    <t>Hệ thống web không có giao tiếp phần cứng.</t>
  </si>
  <si>
    <t>Đây là câu dẫn cho A80–A81.</t>
  </si>
  <si>
    <t>Có mô tả VNPay (docs/DETAILED_ORDER_FLOW.md giai đoạn 3), webhook đối tác vận chuyển có HMAC, Debezium Connect.</t>
  </si>
  <si>
    <t>Có Kafka topic (docs/services/03_CART_ORDER_SERVICE.md 8.1), API nội bộ /api/internal/orders (6.3), Feign promotion. Thiếu gRPC tới inventory/product-service (RA_SOAT E24).</t>
  </si>
  <si>
    <t>Giao thức: HTTP/REST JSON qua API Gateway, Kafka (JSON), binlog CDC.</t>
  </si>
  <si>
    <t>Không có yêu cầu về tài liệu hướng dẫn người dùng hay trợ giúp trực tuyến.</t>
  </si>
  <si>
    <t>Hệ thống dùng thành phần bên ngoài: Keycloak, Kafka, Debezium, Redis, MariaDB, VNPay sandbox.</t>
  </si>
  <si>
    <t>Thành phần ngoài chỉ được nêu tên; ngoài MariaDB 10.11 thì không ghi phiên bản, giấy phép hay giới hạn.</t>
  </si>
  <si>
    <t>Không có yêu cầu pháp lý: VAT 10% có trong code (OrderPricingHelper.java:12) nhưng không ghi trong 03, và không đề cập dữ liệu cá nhân hay hóa đơn.</t>
  </si>
  <si>
    <t>Tài liệu không đặt ra yêu cầu pháp lý/bản quyền nào.</t>
  </si>
  <si>
    <t>Không khai báo áp dụng tiêu chuẩn ngoài nào (PCI-DSS, ISO…).</t>
  </si>
  <si>
    <t>Tài liệu không khai báo tiêu chuẩn ngoài nào.</t>
  </si>
  <si>
    <t>Điểm mạnh: 03 và DETAILED_ORDER_FLOW đã được rà soát với code (banner 2026-10-11) và đánh dấu ⚠️ rõ các phần không tồn tại. Sơ đồ tuần tự 5 giai đoạn, cơ chế idempotency/outbox/bù trừ được mô tả chi tiết; API có ví dụ request/response.
Điểm yếu: đây là tài liệu thiết kế chứ không phải SRS (không có mã yêu cầu, độ ưu tiên, tiêu chí nghiệm thu, yêu cầu phi chức năng định lượng); thiếu kiểm soát tài liệu (trang bìa, lịch sử phiên bản, trang ký). Báo cáo (Chương I/II) còn mâu thuẫn với code ở thời điểm trừ kho, trạng thái PAID, tích chọn món, lý do và hạn hủy 120 phút.</t>
  </si>
  <si>
    <t>1. Thêm phần kiểm soát tài liệu: trang tiêu đề (mã hiệu, phiên bản, ngày), bảng lịch sử thay đổi, và nâng Version lên sau mỗi lần rà soát.
2. Tách phần yêu cầu khỏi thiết kế: lập danh sách FR-ORD-xx/FR-CART-xx có mã, độ ưu tiên, tiêu chí nghiệm thu, và truy vết về UC.
3. Bổ sung yêu cầu phi chức năng định lượng (độ trễ checkout, TPS, thời gian giữ chỗ, uptime) và danh mục mã lỗi (OUT_OF_STOCK, INVALID_COUPON, DUPLICATE_REQUEST, INVALID_STATE).
4. Đồng bộ Chương I/II với code theo RA_SOAT: trừ kho khi nhận OrderCreatedEvent, trạng thái AWAITING_PAYMENT/CONFIRMED, đặt toàn bộ giỏ, bỏ lý do hủy và hạn 120 phút (hoặc ghi rõ đây là ràng buộc ở FE).
5. Bổ sung endpoint preview/warranty, bước gọi gRPC tồn kho khi cache miss, sửa ví dụ response bỏ trường success; thêm bảng thuật ngữ kỹ thuật và mục tài liệu tham khảo; sửa đường dẫn puml.</t>
  </si>
  <si>
    <t>order-service (BE/order-service/src/main/java/com/ecommerce/orderservice/) — giỏ hàng Redis, checkout, vòng đời đơn, outbox, scheduler</t>
  </si>
  <si>
    <t>Đã đọc 34/64 file (≈4.680 LOC): OrderServiceImpl (1592 dòng), CartServiceImpl, 4 controller, 2 Kafka consumer, CartEventProducer, 3 scheduler, OrderRepository, 3 entity, KafkaConfig, SecurityConfig, RedisLuaScripts, 2 gRPC client, PromotionClient + 2 FallbackFactory, OrderPricingHelper, ShippingFeeCalculator, ShippingWebhookSigner, AuthenticatedUserResolver, GlobalExceptionHandler, 2 DTO request, OrderService, application.yml</t>
  </si>
  <si>
    <t>Phần lớn file ngắn và theo cùng một kiểu Spring/Lombok, nhưng file lõi BE/order-service/src/main/java/com/ecommerce/orderservice/service/impl/OrderServiceImpl.java dài 1592 dòng, riêng createOrder chiếm dòng 90-475 với try lồng 3-4 cấp. Hàm getMyWarranty (1417-1502) viết tên kiểu đầy đủ java.util.* ngay trong thân hàm nên rất khó đọc.</t>
  </si>
  <si>
    <t>Theo quy ước Java/Spring: camelCase, package theo tầng controller/service/repository/entity. Lệch chuẩn: trạng thái đơn là String literal rải rác thay cho enum (BE/order-service/src/main/java/com/ecommerce/orderservice/entity/Order.java:29, BE/order-service/src/main/java/com/ecommerce/orderservice/service/impl/OrderServiceImpl.java:585-587, 671-690), và thông báo lỗi trộn tiếng Việt với tiếng Anh.</t>
  </si>
  <si>
    <t>Tên biến nói rõ ý nghĩa, ví dụ successfullyDecrementedItems, transaction1Committed, stockLockKey (BE/order-service/src/main/java/com/ecommerce/orderservice/service/impl/OrderServiceImpl.java:114-116, 137). Điểm trừ: nhiều bản sao final kiểu finalOrder/finalSavedOrder/finalOrderItems (269-270, 285, 335, 386) chỉ để dùng được trong lambda.</t>
  </si>
  <si>
    <t>Thụt lề 4 dấu cách thống nhất. Một số comment BUG FIX bị ngắt dòng lạ giữa câu (BE/order-service/src/main/java/com/ecommerce/orderservice/service/impl/OrderServiceImpl.java:647-652, 952-958, 1039-1047).</t>
  </si>
  <si>
    <t>Dùng kiểu K&amp;R thống nhất. Vài chỗ if/return một dòng không có ngoặc nhọn (BE/order-service/src/main/java/com/ecommerce/orderservice/service/impl/OrderServiceImpl.java:672-673, 1549-1552).</t>
  </si>
  <si>
    <t>Không file Java nào có header tác giả/ngày/bản quyền, file nào cũng bắt đầu ngay bằng dòng package.</t>
  </si>
  <si>
    <t>Hầu hết field không có ghi chú. Chỉ vài chỗ có: internalApiKey (BE/order-service/src/main/java/com/ecommerce/orderservice/service/impl/OrderServiceImpl.java:85-86), Order.status (BE/order-service/src/main/java/com/ecommerce/orderservice/entity/Order.java:29), OrderItem.variantAttr (BE/order-service/src/main/java/com/ecommerce/orderservice/entity/OrderItem.java:36).</t>
  </si>
  <si>
    <t>Tiền dùng BigDecimal precision 15 scale 2 (BE/order-service/src/main/java/com/ecommerce/orderservice/entity/Order.java:31-69); hằng số VAT_RATE và POINTS_TO_VND được đặt tên (BE/order-service/src/main/java/com/ecommerce/orderservice/support/OrderPricingHelper.java:12-13). Tuy vậy vẫn còn magic number: 15 phút (BE/order-service/src/main/java/com/ecommerce/orderservice/service/impl/OrderServiceImpl.java:97), 10 lần × 100 ms (BE/order-service/src/main/java/com/ecommerce/orderservice/service/impl/OrderServiceImpl.java:140,152), 30 phút (BE/order-service/src/main/java/com/ecommerce/orderservice/scheduler/OrderExpiryScheduler.java:39).</t>
  </si>
  <si>
    <t>Chỉ 15/63 file Java có Javadoc. Interface BE/order-service/src/main/java/com/ecommerce/orderservice/service/OrderService.java và mọi method public của OrderServiceImpl/CartServiceImpl đều không có Javadoc.</t>
  </si>
  <si>
    <t>Luồng checkout có comment cho từng bước: giữ chỗ Redis, Transaction 1/2, bù trừ, rollback Redis (BE/order-service/src/main/java/com/ecommerce/orderservice/service/impl/OrderServiceImpl.java:125, 197, 272-275, 379-382, 439-443). Lua script có Javadoc mô tả mã trả về (BE/order-service/src/main/java/com/ecommerce/orderservice/config/RedisLuaScripts.java:16-22).</t>
  </si>
  <si>
    <t>Không có đoạn code nào bị comment-out trong order-service, nên câu này không áp dụng.</t>
  </si>
  <si>
    <t>Một số comment đã cũ: CheckoutRequest.shippingFee ghi 'dùng cho voucher FREESHIP' nhưng server bỏ qua giá trị này (BE/order-service/src/main/java/com/ecommerce/orderservice/dto/request/CheckoutRequest.java:25-26); BE/order-service/src/main/java/com/ecommerce/orderservice/grpc/ProductGrpcClient.java:32 ghi addItemToCart có gọi getPriceInfo nhưng thực tế không gọi; BE/order-service/src/main/java/com/ecommerce/orderservice/service/impl/OrderServiceImpl.java:904 ghi 'below' trong khi đoạn được nhắc nằm phía trên (881).</t>
  </si>
  <si>
    <t>Phần lớn comment giải thích rõ lỗi cũ và cách sửa, ví dụ BE/order-service/src/main/java/com/ecommerce/orderservice/service/impl/OrderServiceImpl.java:1253-1256 và 1271-1275. Các chỗ sai đã nêu ở câu trên chỉ là ngoại lệ.</t>
  </si>
  <si>
    <t>Comment thường nêu lý do. Ví dụ không rollback Redis khi Transaction 1 đã commit để tránh hoàn kho 2 lần (BE/order-service/src/main/java/com/ecommerce/orderservice/service/impl/OrderServiceImpl.java:439-443); ghi created_at theo UTC vì Debezium coi DATETIME là UTC (BE/order-service/src/main/java/com/ecommerce/orderservice/entity/OutboxEvent.java:48-49).</t>
  </si>
  <si>
    <t>Tên method mô tả đúng hành vi: createOrder, expireOrder, handleShippingWebhook, scheduleCompensationRetry. Có hai overload cancelOrder 3 và 4 tham số dễ nhầm (BE/order-service/src/main/java/com/ecommerce/orderservice/service/impl/OrderServiceImpl.java:577, 636).</t>
  </si>
  <si>
    <t>Giá trị ApiResponse trả về từ Feign bị bỏ qua: releaseVoucherForOrder (BE/order-service/src/main/java/com/ecommerce/orderservice/service/impl/OrderServiceImpl.java:1292-1293), refundPoints (1266-1268), redeemVoucher (1402). retryCompensationTask đánh COMPLETED mà không kiểm tra code của response (1337-1358).</t>
  </si>
  <si>
    <t>GlobalExceptionHandler có map các exception nghiệp vụ, nhưng handler chung Exception.class (BE/order-service/src/main/java/com/ecommerce/orderservice/exception/GlobalExceptionHandler.java:97-104) nuốt luôn AccessDeniedException (BE/order-service/src/main/java/com/ecommerce/orderservice/service/impl/OrderServiceImpl.java:542, 643), ResponseStatusException của webhook (BE/order-service/src/main/java/com/ecommerce/orderservice/controller/PublicShippingWebhookController.java:32-38) và IllegalArgumentException (1070). Kết quả là lỗi 403/401/400 bị trả về thành 500. Ngoài ra khối 'catch (RuntimeException ex) { throw ex; }' ở 355-357 không làm gì.</t>
  </si>
  <si>
    <t>Lỗi đồng bộ được ném lên tầng trên kèm mã (OUT_OF_STOCK, INVALID_COUPON, DUPLICATE_REQUEST…); Kafka consumer ném lại exception để retry rồi đẩy vào DLT (BE/order-service/src/main/java/com/ecommerce/orderservice/config/KafkaConfig.java:61-74). Ngoại lệ: redeemVoucher chạy async chỉ ghi log khi lỗi (BE/order-service/src/main/java/com/ecommerce/orderservice/service/impl/OrderServiceImpl.java:810-814, 1404-1406) và không tạo CompensationTask.</t>
  </si>
  <si>
    <t>Bộ nhớ do JVM GC quản lý; dữ liệu tạm có TTL: giỏ hàng 30 ngày (BE/order-service/src/main/java/com/ecommerce/orderservice/service/impl/CartServiceImpl.java:284), idempotency key 15 phút (BE/order-service/src/main/java/com/ecommerce/orderservice/service/impl/OrderServiceImpl.java:97), outbox xóa sau 2 ngày. Rủi ro: getOrdersByUser với admin nạp toàn bộ bảng orders vào RAM (BE/order-service/src/main/java/com/ecommerce/orderservice/service/impl/OrderServiceImpl.java:554).</t>
  </si>
  <si>
    <t>Connection DB do Spring/TransactionTemplate quản lý; lời gọi Feign nằm ngoài transaction (BE/order-service/src/main/java/com/ecommerce/orderservice/service/impl/OrderServiceImpl.java:287-291, 625-632). Khóa Redis được giải phóng trong finally có kiểm tra chủ khóa (185-190), và idempotency lock bị xóa khi lỗi (469-471).</t>
  </si>
  <si>
    <t>Không thấy tài nguyên hệ thống nào bị giải phóng 2 lần. Riêng nghiệp vụ: voucher bị release 2 lần ở luồng đổi điểm lỗi, lần đầu ở markOrderCancelledAndReleaseVoucher (BE/order-service/src/main/java/com/ecommerce/orderservice/service/impl/OrderServiceImpl.java:314/343), lần sau trong khối bù trừ (432); chỗ này dựa vào việc promotion-service release idempotent.</t>
  </si>
  <si>
    <t>Service là singleton không trạng thái. Trạng thái dùng chung nằm ở DB với PESSIMISTIC_WRITE (BE/order-service/src/main/java/com/ecommerce/orderservice/repository/OrderRepository.java:29-35) hoặc được đổi bằng Lua nguyên tử trên Redis (BE/order-service/src/main/java/com/ecommerce/orderservice/config/RedisLuaScripts.java).</t>
  </si>
  <si>
    <t>Order bị khóa dòng (findByIdForUpdate) trong cancel/expire/updateOrderStatus/ship (BE/order-service/src/main/java/com/ecommerce/orderservice/service/impl/OrderServiceImpl.java:582, 696, 776, 926); checkout dùng SETNX idempotency theo userId+key (94-111). Entity truyền sang CompletableFuture chỉ được đọc (720).</t>
  </si>
  <si>
    <t>Mỗi transaction chỉ khóa 1 dòng orders nên không có vấn đề thứ tự khóa. Khóa Redis khởi tạo tồn kho được nhả bằng GET rồi DEL (BE/order-service/src/main/java/com/ecommerce/orderservice/service/impl/OrderServiceImpl.java:186-189); hai lệnh này không nguyên tử nhưng có kiểm tra giá trị chủ khóa.</t>
  </si>
  <si>
    <t>Có tranh chấp lock: thread HTTP checkout chờ quay (spin-wait) tối đa 10×100 ms để giành khóa khởi tạo tồn kho (BE/order-service/src/main/java/com/ecommerce/orderservice/service/impl/OrderServiceImpl.java:143-159; BE/order-service/src/main/java/com/ecommerce/orderservice/service/impl/CartServiceImpl.java:200-216). gRPC getInventory không có deadline (BE/order-service/src/main/java/com/ecommerce/orderservice/grpc/InventoryGrpcClient.java:44) nên có thể chạy quá TTL 5 s của khóa, khiến instance khác vào được cùng lúc.</t>
  </si>
  <si>
    <t>Vòng retry giới hạn bởi maxRetries=10 và thoát khi bị interrupt (BE/order-service/src/main/java/com/ecommerce/orderservice/service/impl/OrderServiceImpl.java:140-159); các vòng của scheduler duyệt list hữu hạn (BE/order-service/src/main/java/com/ecommerce/orderservice/scheduler/OrderExpiryScheduler.java:45-51).</t>
  </si>
  <si>
    <t>Không có while(true). Retry của Kafka bị giới hạn bởi FixedBackOff(2000, 2) rồi chuyển sang DLT.</t>
  </si>
  <si>
    <t>getOrdersByUser gom item theo orderId bằng Map thay vì lặp lồng (BE/order-service/src/main/java/com/ecommerce/orderservice/service/impl/OrderServiceImpl.java:563-566). Vòng lặp tìm variant trong getCart chỉ chạy trên list nhỏ (BE/order-service/src/main/java/com/ecommerce/orderservice/service/impl/CartServiceImpl.java:119-122).</t>
  </si>
  <si>
    <t>Không thấy sao chép object lớn. Trùng lặp nằm ở code: khối build OrderCancelledEvent bị lặp 4 lần (BE/order-service/src/main/java/com/ecommerce/orderservice/service/impl/OrderServiceImpl.java:400-419, 597-616, 743-763, 866-889).</t>
  </si>
  <si>
    <t>N+1 query trong getMyWarranty (BE/order-service/src/main/java/com/ecommerce/orderservice/service/impl/OrderServiceImpl.java:1429-1433). Admin xem danh sách đơn không phân trang (554). Mỗi thao tác giỏ hàng gọi lại gRPC getPriceInfo (BE/order-service/src/main/java/com/ecommerce/orderservice/service/impl/CartServiceImpl.java:297, 330, 339). RestTemplate tạo bằng new, không có timeout (BE/order-service/src/main/java/com/ecommerce/orderservice/service/impl/OrderServiceImpl.java:81).</t>
  </si>
  <si>
    <t>Còn N+1, findAll không phân trang, gRPC/Feign không có timeout (BE/order-service/src/main/resources/application.yml:61-72 không cấu hình deadline), và CompletableFuture.runAsync chạy trên commonPool dùng chung (BE/order-service/src/main/java/com/ecommerce/orderservice/service/impl/OrderServiceImpl.java:714-725).</t>
  </si>
  <si>
    <t>phoneNumber chỉ có @NotBlank trong khi cột DB dài 15 (BE/order-service/src/main/java/com/ecommerce/orderservice/dto/request/CheckoutRequest.java:20; entity/Order.java:77), nên số dài hơn gây lỗi DB và trả 500. pointsToRedeem không có @Min (CheckoutRequest.java:29); previewCheckout không dùng @Valid (BE/order-service/src/main/java/com/ecommerce/orderservice/controller/OrderController.java:29).</t>
  </si>
  <si>
    <t>instances.get(0) có kiểm tra isEmpty trước (BE/order-service/src/main/java/com/ecommerce/orderservice/service/impl/OrderServiceImpl.java:1441-1442); substring(0,8) cắt trên UUID nên luôn an toàn (933).</t>
  </si>
  <si>
    <t>Trình biên dịch Java bắt buộc điều này. Có biến chết: originalStatus được gán nhưng không bao giờ đọc (BE/order-service/src/main/java/com/ecommerce/orderservice/service/impl/OrderServiceImpl.java:579, 591); discountAmount và appliedCampaignId chỉ giữ giá trị khởi tạo (225-228).</t>
  </si>
  <si>
    <t>createOrder khoảng 385 dòng (BE/order-service/src/main/java/com/ecommerce/orderservice/service/impl/OrderServiceImpl.java:90-475), cả class 1592 dòng. Nên tách thành StockReservationService, CheckoutCompensationService, OrderEventFactory và gom 4 khối build OrderCancelledEvent về một chỗ.</t>
  </si>
  <si>
    <t>Câu hỏi bổ sung riêng của module</t>
  </si>
  <si>
    <t>Các lời gọi liên dịch vụ (Feign/gRPC/RestTemplate) có cấu hình timeout/deadline không?</t>
  </si>
  <si>
    <t>application.yml không có cấu hình feign.client.config hay deadline gRPC; stub chặn được gọi thẳng (BE/order-service/src/main/java/com/ecommerce/orderservice/grpc/InventoryGrpcClient.java:44, ProductGrpcClient.java:42). Lời gọi applyVoucher đồng bộ trong checkout có thể chờ tới read-timeout mặc định 60 s.</t>
  </si>
  <si>
    <t>FallbackFactory của Feign có hoạt động và có giữ được ngữ nghĩa lỗi không?</t>
  </si>
  <si>
    <t>Không bật spring.cloud.openfeign.circuitbreaker nên fallback hiện không có hiệu lực. Nếu bật, fallback trả ApiResponse lỗi thay vì ném exception (BE/order-service/src/main/java/com/ecommerce/orderservice/client/PromotionClientFallbackFactory.java:37-41), khi đó releaseVoucherForOrder không bao giờ vào catch để tạo CompensationTask (BE/order-service/src/main/java/com/ecommerce/orderservice/service/impl/OrderServiceImpl.java:1290-1303).</t>
  </si>
  <si>
    <t>Định danh người dùng ở mọi controller có được đối chiếu với JWT không?</t>
  </si>
  <si>
    <t>OrderController dùng AuthenticatedUserResolver, còn CartController lấy thẳng header X-User-Id với mặc định 'anonymous' (BE/order-service/src/main/java/com/ecommerce/orderservice/controller/CartController.java:22-57). resolveRolesHeader quay về header X-User-Roles do client gửi nếu JWT không có realm roles (BE/order-service/src/main/java/com/ecommerce/orderservice/support/AuthenticatedUserResolver.java:30-36).</t>
  </si>
  <si>
    <t>Có unit test / integration test cho module không?</t>
  </si>
  <si>
    <t>BE/order-service/src/test không tồn tại, nên checkout, bù trừ và chuyển trạng thái đơn không có test tự động.</t>
  </si>
  <si>
    <t>Tính nhất quán Redis (kho ảo) – DB – Outbox có được đảm bảo khi lỗi giữa chừng không?</t>
  </si>
  <si>
    <t>Có Transactional Outbox + Debezium, khối bù trừ CANCELLED + OrderCancelledEvent, và CompensationTask được retry mỗi 5 phút (BE/order-service/src/main/java/com/ecommerce/orderservice/service/impl/OrderServiceImpl.java:376-474, 1305-1326). Lỗ hổng còn lại: nếu JVM chết sau khi Lua đã giảm kho mà trước khi Transaction 1 commit thì kho ảo bị lệch cho tới lần sync 02:00.</t>
  </si>
  <si>
    <t>* Điểm mạnh:
- Giữ chỗ kho ảo bằng Lua nguyên tử, idempotency checkout bằng Redis SETNX và lưu lại response cũ trong 15 phút.
- Transactional Outbox + Debezium CDC: mọi chuyển trạng thái có phát sự kiện đều ghi outbox trong cùng transaction và ném lỗi để rollback nếu ghi outbox thất bại.
- Lời gọi Feign nằm ngoài transaction DB. Có khối bù trừ (CANCELLED + OrderCancelledEvent + release voucher/refund điểm) và bảng compensation_tasks được retry mỗi 5 phút.
- Khóa bi quan trên dòng orders ở mọi chuyển trạng thái; getStatusRank chặn chuyển ngược; webhook vận chuyển có HMAC-SHA256 so sánh thời gian hằng.
- Comment giải thích lý do (BUG FIX/V-xx) nên dễ truy vết quyết định thiết kế.</t>
  </si>
  <si>
    <t>1. Thêm handler riêng cho AccessDeniedException (403), ResponseStatusException (giữ nguyên status) và IllegalArgumentException (400) vào GlobalExceptionHandler, để handler Exception.class không biến các lỗi này thành 500.
2. Cấu hình timeout cho Feign (connect/read) và deadline cho gRPC (withDeadlineAfter hoặc cấu hình client); thay new RestTemplate() bằng bean có timeout, hoặc chuyển getMyWarranty sang gRPC GetPriceInfo.
3. Kiểm tra code của ApiResponse trả về từ releaseVoucher/refundPoints/redeemVoucher. Nếu khác SUCCESS thì tạo CompensationTask (kể cả cho redeem), và chỉ đánh COMPLETED khi response thành công.
4. Tách OrderServiceImpl: createOrder thành các bước reserveStock / persistOrder / applyDiscounts / compensate; gom 4 khối build OrderCancelledEvent vào một factory; chuyển trạng thái đơn sang enum.
5. Sửa N+1 trong getMyWarranty (dùng findByOrderIdIn), phân trang danh sách đơn cho admin, validate phoneNumber (@Pattern, độ dài ≤ 15) và pointsToRedeem (@Min(0)).
6. Cho CartController dùng AuthenticatedUserResolver; bỏ fallback sang header X-User-Roles khi đã có JWT.
7. Viết test cho checkout (đủ hàng/hết hàng/lỗi voucher/lỗi outbox), cancel/expire và consumer inventory/payment.</t>
  </si>
  <si>
    <t>Phân hệ: PH3 – Giỏ hàng &amp; đơn hàng</t>
  </si>
  <si>
    <t>Giỏ hàng</t>
  </si>
  <si>
    <t>Thêm, tăng/giảm số lượng, xóa sản phẩm, giỏ trống, giới hạn tồn kho, chặn khách chưa đăng nhập</t>
  </si>
  <si>
    <t>Đặt hàng (checkout COD)</t>
  </si>
  <si>
    <t>Form giao nhận, kiểm tra dữ liệu, đặt hàng COD, màn hình thành công, tổng tiền</t>
  </si>
  <si>
    <t>Theo dõi &amp; hủy đơn (khách hàng)</t>
  </si>
  <si>
    <t>Lịch sử đơn, chi tiết đơn và dòng thời gian, hủy đơn, chặn xem đơn người khác</t>
  </si>
  <si>
    <t>Quản lý đơn hàng (Admin)</t>
  </si>
  <si>
    <t>Tab Order Management: xác nhận giao, đã giao, khóa trạng thái cuối, bộ lọc</t>
  </si>
  <si>
    <t>1. TỔNG QUAN KẾT QUẢ
- Tổng cộng 25 test case được thực hiện, trong đó 21 Pass (84%) và 4 Fail (16%), không có Pending.
- Phân loại theo nhóm: UI/UX 5, Function 12, Negative 8.
Luồng chính giỏ hàng → checkout COD → admin xác nhận giao → đã giao chạy thông suốt: đơn #1327 đi hết PENDING → AWAITING_PAYMENT → CONFIRMED → SHIPPED (mã vận đơn MOCK-GHTK-0AE9EE5B) → DELIVERED. Lỗi nằm ở hiển thị thông tin người nhận và thông báo khi truy cập đơn không hợp lệ.</t>
  </si>
  <si>
    <t>2. PHÂN TÍCH KẾT QUẢ
Nhóm UI/UX (5 test case): 100% Pass. Giỏ trống, nút giảm khóa khi số lượng là 1, giao diện checkout, lịch sử đơn và trang Order Management hiển thị đúng.
Nhóm Function (12 test case): 10 Pass, 2 Fail.
- Màn hình "ĐẶT HÀNG THÀNH CÔNG!" để trống dòng "Địa chỉ nhận hàng" khi nhập địa chỉ mới (UI_PH3_FR02_005).
- Chi tiết đơn hiện "Người nhận hàng: hai Thanh" (tên tài khoản), không phải "UI Test Khach A" đã nhập (UI_PH3_FR03_002).
Thêm/tăng/xóa giỏ, đặt hàng COD, tổng tiền checkout khớp chi tiết đơn (32.909.000đ), hủy đơn, xác nhận giao, đã giao và lọc đơn đã hủy đều đạt.
Nhóm Negative (8 test case): 6 Pass, 2 Fail. Mở đơn của khách khác và /order/abc chỉ hiện "Đã có lỗi hệ thống xảy ra" (UI_PH3_FR03_005, UI_PH3_FR03_006).
Điểm tích cực: chặn vượt tồn kho (giỏ dừng ở 10, toast "Sản phẩm này hiện chỉ còn 10 sản phẩm trong kho."); validate form checkout; chặn khách chưa đăng nhập; khóa trạng thái cuối DELIVERED; không lộ dữ liệu đơn của người khác.</t>
  </si>
  <si>
    <t>3. PHÂN TÍCH NGUYÊN NHÂN GỐC
- CheckoutPage dùng state shippingAddress (chỉ có giá trị khi chọn địa chỉ đã lưu) cho màn hình thành công, thay vì địa chỉ ghép từ form hoặc từ đơn trả về.
- Đơn hàng không có trường tên người nhận (CheckoutRequest/OrderResponse chỉ có shippingAddress, phoneNumber), nên OrderDetailPage lấy tên từ hồ sơ tài khoản.
- order-service không map AccessDeniedException và lỗi kiểu tham số sang 403/404 (F2), FE chỉ hiển thị được thông báo lỗi chung.</t>
  </si>
  <si>
    <t>4. MỨC ĐỘ NGHIÊM TRỌNG
- Trung bình (Medium): đơn không lưu tên người nhận, dễ giao nhầm khi khách đặt hộ người khác.
- Thấp (Low): địa chỉ trống ở màn hình thành công (dữ liệu đơn vẫn đúng); thông báo lỗi chung khi mở đơn không hợp lệ hoặc của người khác (không lộ dữ liệu).</t>
  </si>
  <si>
    <t>FR_01 – Giỏ hàng</t>
  </si>
  <si>
    <t>UI_PH3_FR01_001</t>
  </si>
  <si>
    <t>Hiển thị giỏ hàng trống</t>
  </si>
  <si>
    <t>customer; giỏ hàng đã xóa sạch</t>
  </si>
  <si>
    <t>1. Đăng nhập customer (giỏ trống).
2. Mở /cart.</t>
  </si>
  <si>
    <t>Hiện "Giỏ hàng của bạn đang trống" và liên kết "Tiếp tục mua sắm".</t>
  </si>
  <si>
    <t>UI_PH3_FR01_002</t>
  </si>
  <si>
    <t>Thêm sản phẩm vào giỏ từ trang chi tiết</t>
  </si>
  <si>
    <t>Sản phẩm id 1, biến thể mặc định, SL 1</t>
  </si>
  <si>
    <t>1. Mở /product/1.
2. Bấm "Thêm vào giỏ".
3. Mở /cart.</t>
  </si>
  <si>
    <t>Toast "Đã thêm sản phẩm vào giỏ hàng.", badge giỏ hàng = 1; trang giỏ hiện sản phẩm và "1 sản phẩm đang chọn".</t>
  </si>
  <si>
    <t>UI_PH3_FR01_003</t>
  </si>
  <si>
    <t>Nút giảm số lượng bị khóa khi số lượng bằng 1</t>
  </si>
  <si>
    <t>Giỏ có 1 sản phẩm SL 1</t>
  </si>
  <si>
    <t>1. Mở /cart.
2. Quan sát nút "-" của sản phẩm.</t>
  </si>
  <si>
    <t>Nút giảm số lượng bị vô hiệu hóa.</t>
  </si>
  <si>
    <t>UI_PH3_FR01_004</t>
  </si>
  <si>
    <t>Tăng số lượng cập nhật tạm tính</t>
  </si>
  <si>
    <t>1. Mở /cart.
2. Bấm nút "+".</t>
  </si>
  <si>
    <t>Số lượng thành 2, "Tạm tính" gấp đôi, server lưu quantity = 2.</t>
  </si>
  <si>
    <t>UI_PH3_FR01_005</t>
  </si>
  <si>
    <t>Xóa sản phẩm khỏi giỏ</t>
  </si>
  <si>
    <t>Giỏ có 1 sản phẩm</t>
  </si>
  <si>
    <t>1. Mở /cart.
2. Bấm biểu tượng "Xóa sản phẩm".</t>
  </si>
  <si>
    <t>Toast "Đã xóa sản phẩm khỏi giỏ hàng.", hiện trạng thái giỏ trống.</t>
  </si>
  <si>
    <t>UI_PH3_FR01_006</t>
  </si>
  <si>
    <t>Thêm số lượng vượt quá tồn kho</t>
  </si>
  <si>
    <t>Biến thể Tím Cobalt (tồn 10); nhập SL 11</t>
  </si>
  <si>
    <t>1. Mở /product/1, chọn "Tím Cobalt".
2. Nhập số lượng 11.
3. Bấm "Thêm vào giỏ".</t>
  </si>
  <si>
    <t>Giỏ không vượt quá 10; hiện thông báo hết hàng/chỉ còn N sản phẩm.</t>
  </si>
  <si>
    <t>Bằng chứng: Tồn kho biến thể 2 = 10; yêu cầu 11; số lượng trong giỏ sau thao tác = 10; HTTP lỗi: 400; các toast đã hiện: Đăng nhập thành công! Chào mừng hai Thanh quay trở lại. | Đã thêm sản phẩm vào giỏ hàng. | Sản phẩm này hiện chỉ còn 10 sản phẩm trong kho.</t>
  </si>
  <si>
    <t>UI_PH3_FR01_007</t>
  </si>
  <si>
    <t>Khách chưa đăng nhập mở giỏ hàng</t>
  </si>
  <si>
    <t>Không có phiên đăng nhập; URL /cart</t>
  </si>
  <si>
    <t>1. Mở /cart khi chưa đăng nhập.</t>
  </si>
  <si>
    <t>FR_02 – Đặt hàng (checkout COD)</t>
  </si>
  <si>
    <t>UI_PH3_FR02_001</t>
  </si>
  <si>
    <t>Kiểm tra giao diện trang thanh toán</t>
  </si>
  <si>
    <t>Giỏ có sản phẩm id 1</t>
  </si>
  <si>
    <t>1. Mở /checkout.
2. Quan sát các khối.</t>
  </si>
  <si>
    <t>Có khối "Thông tin giao nhận hàng", phương thức COD được chọn sẵn, danh sách "Sản phẩm mua", tóm tắt Tạm tính/Phí vận chuyển/Thuế VAT (10%)/Tổng thanh toán, nút "Xác nhận &amp; Đặt hàng".</t>
  </si>
  <si>
    <t>UI_PH3_FR02_002</t>
  </si>
  <si>
    <t>Đặt hàng khi bỏ trống thông tin bắt buộc</t>
  </si>
  <si>
    <t>Họ tên, SĐT xóa trống; chưa chọn tỉnh, chưa nhập địa chỉ</t>
  </si>
  <si>
    <t>1. Mở /checkout.
2. Xóa họ tên, SĐT.
3. Bấm "Xác nhận &amp; Đặt hàng".</t>
  </si>
  <si>
    <t>Hiện lỗi "Họ và tên không được để trống.", "Số điện thoại không được để trống.", "Vui lòng chọn Tỉnh/Thành phố.", "Vui lòng nhập địa chỉ chi tiết." và hộp lỗi chung; không gửi API đặt hàng.</t>
  </si>
  <si>
    <t>UI_PH3_FR02_003</t>
  </si>
  <si>
    <t>Đặt hàng với số điện thoại không hợp lệ</t>
  </si>
  <si>
    <t>SĐT: 12345abc; các ô khác hợp lệ</t>
  </si>
  <si>
    <t>1. Mở /checkout, điền địa chỉ mới với SĐT "12345abc".
2. Bấm "Xác nhận &amp; Đặt hàng".</t>
  </si>
  <si>
    <t>Hiện "Số điện thoại không hợp lệ (10-11 chữ số)."; không gửi API đặt hàng.</t>
  </si>
  <si>
    <t>UI_PH3_FR02_004</t>
  </si>
  <si>
    <t>Đặt hàng COD thành công</t>
  </si>
  <si>
    <t>Người nhận UI Test Khach A; SĐT 0987654321; địa chỉ mới; ghi chú "UI test PH3 - don A"</t>
  </si>
  <si>
    <t>1. Mở /checkout, điền địa chỉ mới, giữ COD.
2. Bấm "Xác nhận &amp; Đặt hàng".</t>
  </si>
  <si>
    <t>Hiện màn hình "ĐẶT HÀNG THÀNH CÔNG!" với mã đơn "#id".</t>
  </si>
  <si>
    <t>Bằng chứng: Đơn A #1326, tổng hiển thị ở checkout 32909000, finalAmount=32909000</t>
  </si>
  <si>
    <t>UI_PH3_FR02_005</t>
  </si>
  <si>
    <t>Màn hình đặt hàng thành công hiển thị đúng địa chỉ nhận hàng</t>
  </si>
  <si>
    <t>Người nhận UI Test Khach B; địa chỉ "Số 20 Đường Kiểm Thử" (địa chỉ mới)</t>
  </si>
  <si>
    <t>1. Đặt đơn COD với địa chỉ mới.
2. Đọc các dòng Người nhận, Địa chỉ nhận hàng trên màn hình thành công.</t>
  </si>
  <si>
    <t>Màn hình thành công hiển thị đúng người nhận và địa chỉ "Số 20 Đường Kiểm Thử, ...".</t>
  </si>
  <si>
    <t>Người nhận hiển thị đúng nhưng dòng "Địa chỉ nhận hàng" để trống, dù đơn trên server lưu "Số 20 Đường Kiểm Thử, Phường An Bình, Thành phố Cần Thơ". Màn hình dùng state shippingAddress, vốn rỗng khi nhập địa chỉ mới. Bằng chứng: Đơn B #1327; shippingAddress lưu trên server: "Số 20 Đường Kiểm Thử, Phường An Bình, Thành phố Cần Thơ"; màn hình thành công hiển thị: ""</t>
  </si>
  <si>
    <t>UI_PH3_FR02_006</t>
  </si>
  <si>
    <t>Vào trang thanh toán khi giỏ hàng trống</t>
  </si>
  <si>
    <t>Giỏ trống; URL /checkout</t>
  </si>
  <si>
    <t>1. Xóa sạch giỏ.
2. Mở /checkout.</t>
  </si>
  <si>
    <t>Tự chuyển về /cart và hiện giỏ trống.</t>
  </si>
  <si>
    <t>UI_PH3_FR02_007</t>
  </si>
  <si>
    <t>Tổng tiền ở trang thanh toán khớp chi tiết đơn</t>
  </si>
  <si>
    <t>Đơn A vừa đặt</t>
  </si>
  <si>
    <t>1. Ghi lại "Tổng thanh toán" ở checkout trước khi đặt đơn A.
2. Mở /order/{A}, đọc "Tổng cộng:".</t>
  </si>
  <si>
    <t>Hai số tiền bằng nhau (giá trị do server tính).</t>
  </si>
  <si>
    <t>Bằng chứng: checkout hiển thị 32909000, chi tiết đơn hiển thị 32909000</t>
  </si>
  <si>
    <t>FR_03 – Theo dõi &amp; hủy đơn (khách hàng)</t>
  </si>
  <si>
    <t>UI_PH3_FR03_001</t>
  </si>
  <si>
    <t>Lịch sử đơn hàng trong hồ sơ</t>
  </si>
  <si>
    <t>Đơn A</t>
  </si>
  <si>
    <t>1. Mở /profile?tab=orders.
2. Tìm thẻ "Đơn hàng #A".</t>
  </si>
  <si>
    <t>Thẻ đơn có trạng thái (Chờ xác nhận/Chờ thanh toán/Đã xác nhận), "Tổng tiền thanh toán", nút "Hủy đơn hàng" và liên kết "Chi tiết".</t>
  </si>
  <si>
    <t>UI_PH3_FR03_002</t>
  </si>
  <si>
    <t>Chi tiết đơn hàng COD và dòng thời gian</t>
  </si>
  <si>
    <t>1. Mở /order/{A}.</t>
  </si>
  <si>
    <t>Hiện dòng thời gian Đặt đơn/Xác nhận/Đang giao/Đã nhận, mục Sản phẩm trong đơn hàng, Thông tin giao nhận hàng (UI Test Khach A, 0987654321), Chi tiết thanh toán, "Thanh toán khi nhận hàng".</t>
  </si>
  <si>
    <t>Dòng thời gian, sản phẩm, SĐT 0987654321, địa chỉ, ghi chú và "Thanh toán khi nhận hàng" hiển thị đúng, nhưng "Người nhận hàng" là "hai Thanh" (tên tài khoản) thay vì "UI Test Khach A" đã nhập ở checkout. Đơn hàng không lưu tên người nhận (OrderResponse không có trường này).</t>
  </si>
  <si>
    <t>UI_PH3_FR03_003</t>
  </si>
  <si>
    <t>Khách hàng hủy đơn</t>
  </si>
  <si>
    <t>Đơn A (Chờ thanh toán/Đã xác nhận)</t>
  </si>
  <si>
    <t>1. Mở /order/{A}.
2. Bấm "Hủy đơn", đồng ý hộp xác nhận.</t>
  </si>
  <si>
    <t>Hộp xác nhận "Bạn có chắc chắn muốn hủy đơn hàng này không?", alert "Hủy đơn hàng thành công!", trang hiện "Đơn hàng này đã bị hủy..."; trạng thái CANCELLED.</t>
  </si>
  <si>
    <t>UI_PH3_FR03_004</t>
  </si>
  <si>
    <t>Đơn đã giao không còn nút hủy</t>
  </si>
  <si>
    <t>Đơn DELIVERED của customer</t>
  </si>
  <si>
    <t>1. Mở chi tiết một đơn đã giao.</t>
  </si>
  <si>
    <t>Trạng thái "Đã giao hàng", không có nút "Hủy đơn".</t>
  </si>
  <si>
    <t>UI_PH3_FR03_005</t>
  </si>
  <si>
    <t>Khách hàng xem đơn của khách khác</t>
  </si>
  <si>
    <t>customer mở đơn của qa_cust2</t>
  </si>
  <si>
    <t>1. Đăng nhập customer.
2. Mở /order/{id đơn của qa_cust2}.</t>
  </si>
  <si>
    <t>Không lộ thông tin đơn; hiện thông báo không có quyền hoặc không tìm thấy đơn hàng.</t>
  </si>
  <si>
    <t>Không lộ dữ liệu đơn (đúng), nhưng trang chỉ hiện "Đã có lỗi hệ thống xảy ra. Vui lòng thử lại sau." vì GET /orders/{id} trả HTTP 500 thay vì 403/404 (AccessDeniedException không được map, Finding F2). Bằng chứng: Đơn #12 của qa_cust2; HTTP 500; trang hiển thị: "Đã có lỗi hệ thống xảy ra. Vui lòng thử lại sau."</t>
  </si>
  <si>
    <t>UI_PH3_FR03_006</t>
  </si>
  <si>
    <t>Mở đơn hàng với mã không hợp lệ</t>
  </si>
  <si>
    <t>URL /order/abc</t>
  </si>
  <si>
    <t>1. Mở /order/abc.</t>
  </si>
  <si>
    <t>Hiện thông báo "Không tìm thấy đơn hàng." hoặc mã đơn không hợp lệ.</t>
  </si>
  <si>
    <t>Trang hiện "Đã có lỗi hệ thống xảy ra. Vui lòng thử lại sau." thay vì thông báo không tìm thấy đơn (API trả 500 với id không phải số). Bằng chứng: Trang hiển thị: "Đã có lỗi hệ thống xảy ra. Vui lòng thử lại sau."</t>
  </si>
  <si>
    <t>FR_04 – Quản lý đơn hàng (Admin)</t>
  </si>
  <si>
    <t>UI_PH3_FR04_001</t>
  </si>
  <si>
    <t>Kiểm tra giao diện Quản lý đơn hàng</t>
  </si>
  <si>
    <t>admin; tab Order Management</t>
  </si>
  <si>
    <t>1. Đăng nhập admin.
2. Mở tab Order Management.</t>
  </si>
  <si>
    <t>Hiện KPI Tổng số đơn hàng/Chờ xử lý/Đơn hoàn thành/Đơn đã hủy, nút lọc theo trạng thái kèm số lượng, bảng có cột Mã Đơn/Sản Phẩm/Ngày Đặt/Tổng Tiền/Thanh Toán/Vận Chuyển.</t>
  </si>
  <si>
    <t>UI_PH3_FR04_002</t>
  </si>
  <si>
    <t>Admin xác nhận giao hàng đơn COD</t>
  </si>
  <si>
    <t>Đơn B (CONFIRMED)</t>
  </si>
  <si>
    <t>1. Chờ đơn B sang CONFIRMED.
2. Mở tab Order Management, bấm dòng #ORD{B}.
3. Bấm "Xác Nhận Giao Hàng", đồng ý.</t>
  </si>
  <si>
    <t>Alert "Xác nhận giao hàng thành công!"; đơn chuyển SHIPPED, có mã vận đơn MOCK-GHTK-...</t>
  </si>
  <si>
    <t>Bằng chứng: Đơn #1327: SHIPPED, mã vận đơn MOCK-GHTK-0AE9EE5B</t>
  </si>
  <si>
    <t>UI_PH3_FR04_003</t>
  </si>
  <si>
    <t>Admin cập nhật đã giao thành công</t>
  </si>
  <si>
    <t>Đơn B (SHIPPED)</t>
  </si>
  <si>
    <t>1. Mở chi tiết đơn B.
2. Bấm "Đã Giao Thành Công".</t>
  </si>
  <si>
    <t>Alert cập nhật thành công; đơn chuyển DELIVERED.</t>
  </si>
  <si>
    <t>UI_PH3_FR04_004</t>
  </si>
  <si>
    <t>Đơn đã giao không thể đổi trạng thái</t>
  </si>
  <si>
    <t>Đơn B (DELIVERED)</t>
  </si>
  <si>
    <t>1. Mở chi tiết đơn B.
2. Quan sát các nút cập nhật.</t>
  </si>
  <si>
    <t>Các nút "Đang Giao Hàng", "Đã Giao Thành Công", "Hủy Giao Hàng" bị vô hiệu; không có "Hủy Đơn Hàng" và "Xác Nhận Giao Hàng".</t>
  </si>
  <si>
    <t>UI_PH3_FR04_005</t>
  </si>
  <si>
    <t>Lọc danh sách đơn đã hủy</t>
  </si>
  <si>
    <t>Bộ lọc "Đã hủy (n)"</t>
  </si>
  <si>
    <t>1. Mở tab Order Management.
2. Bấm "Đã hủy (n)".</t>
  </si>
  <si>
    <t>Mọi dòng hiển thị trạng thái vận chuyển "Đã hủy".</t>
  </si>
  <si>
    <t>Project: TECHSTORE_2026 | Phân hệ: PH3 – Giỏ hàng &amp; đơn hàng | Framework: JUnit 5 + Mockito (Spring Boot 3.2.5, Java 17)</t>
  </si>
  <si>
    <t>MariaDB + Redis (mock repository / RedisTemplate)</t>
  </si>
  <si>
    <t>BE/order-service/src/test/java/com/ecommerce/orderservice/</t>
  </si>
  <si>
    <t>mvn -q -pl order-service -am org.jacoco:jacoco-maven-plugin:0.8.11:prepare-agent test org.jacoco:jacoco-maven-plugin:0.8.11:report -DfailIfNoTests=false -Dsurefire.failIfNoSpecifiedTests=false  (BugCheck: mvn -q -pl order-service -am test -Dtest=*BugCheck ...)</t>
  </si>
  <si>
    <t>OrderPricingHelper.java</t>
  </si>
  <si>
    <t>calculate(), calculatePointDiscount(), extractProductDiscount(), extractShippingDiscount()</t>
  </si>
  <si>
    <t>VAT 10% trên (tạm tính - giảm SP - giảm điểm), phí ship server tính, chặn âm, trích giảm giá từ kết quả voucher.</t>
  </si>
  <si>
    <t>ShippingFeeCalculator.java</t>
  </si>
  <si>
    <t>calculate()</t>
  </si>
  <si>
    <t>Phí ship cố định 30.000đ cho đơn &gt; 0, không tin giá client.</t>
  </si>
  <si>
    <t>ShippingWebhookSigner.java</t>
  </si>
  <si>
    <t>sign(), verify()</t>
  </si>
  <si>
    <t>HMAC-SHA256 hex của 'trackingCode|status', so sánh thời gian hằng.</t>
  </si>
  <si>
    <t>CartServiceImpl.java</t>
  </si>
  <si>
    <t>addItemToCart(), getCart()</t>
  </si>
  <si>
    <t>Cộng dồn số lượng, kiểm tồn kho Redis, giá trực tiếp từ product-service qua gRPC, biến thể ghi đè giá.</t>
  </si>
  <si>
    <t>OrderServiceImpl.java</t>
  </si>
  <si>
    <t>createOrder(), previewCheckout(), getOrder(), cancelOrder(), shipOrder(), updateDeliveryStatusByAdmin(), handleShippingWebhook()</t>
  </si>
  <si>
    <t>Idempotency-Key, giữ/hoàn tồn kho Redis bằng Lua, tính tiền, outbox event, kiểm tra chủ đơn, quy tắc hủy theo trạng thái, chuyển trạng thái giao hàng.</t>
  </si>
  <si>
    <t>Chỉ kiểm ánh xạ 403 (F2), lớp BugCheck.</t>
  </si>
  <si>
    <t>Nghiệp vụ tiền và trạng thái đơn tập trung ở service/support</t>
  </si>
  <si>
    <t>Công thức VAT/ship/giảm giá (OrderPricingHelper), máy trạng thái đơn và saga bù trừ (OrderServiceImpl) là phần rủi ro cao nhất; controller chỉ chuyển tiếp.</t>
  </si>
  <si>
    <t>Mock được Redis/gRPC/Feign/Transaction</t>
  </si>
  <si>
    <t>RedisTemplate (Lua script), ProductGrpcClient, InventoryGrpcClient, PromotionClient, UserClient, TransactionTemplate đều mock -&gt; kiểm được nhánh hết hàng, idempotency, bù trừ mà không cần hạ tầng.</t>
  </si>
  <si>
    <t>Tất định</t>
  </si>
  <si>
    <t>Tránh race/time-out của hệ thống thật; mỗi case kiểm một quy tắc rõ ràng, chạy &lt; 5 giây.</t>
  </si>
  <si>
    <t>OrderController / CartController / PublicShippingWebhookController / InternalOrderController</t>
  </si>
  <si>
    <t>Tầng web; đã phủ bằng kiểm thử API PH3 (bao gồm xác thực chữ ký webhook ở controller).</t>
  </si>
  <si>
    <t>OrderServiceImpl: nhánh voucher/điểm trong createOrder, expireOrder(), updateOrderStatus() (consumer thanh toán), retryCompensationTask(), getMyWarranty()</t>
  </si>
  <si>
    <t>Nhiều bước gọi chéo Feign + Kafka; ưu tiên checkout cơ bản, hủy, giao hàng trong giới hạn 25 case. Đề xuất bổ sung đợt sau.</t>
  </si>
  <si>
    <t>AuthenticatedUserResolver.java</t>
  </si>
  <si>
    <t>Phụ thuộc SecurityContext/JWT; kiểm ở mức API.</t>
  </si>
  <si>
    <t>Schedulers (OrderExpiryScheduler, CompensationRetryScheduler, OutboxCleanupScheduler), Kafka consumers</t>
  </si>
  <si>
    <t>Chạy nền theo lịch/sự kiện; cần test tích hợp.</t>
  </si>
  <si>
    <t>ProductGrpcClient / InventoryGrpcClient</t>
  </si>
  <si>
    <t>Client gRPC mỏng; được mock.</t>
  </si>
  <si>
    <t>OrderPricingHelper</t>
  </si>
  <si>
    <t>com.ecommerce.orderservice.support</t>
  </si>
  <si>
    <t>36/36</t>
  </si>
  <si>
    <t>ShippingFeeCalculator</t>
  </si>
  <si>
    <t>4/4</t>
  </si>
  <si>
    <t>ShippingWebhookSigner</t>
  </si>
  <si>
    <t>17/19</t>
  </si>
  <si>
    <t>CartServiceImpl</t>
  </si>
  <si>
    <t>com.ecommerce.orderservice.service.impl</t>
  </si>
  <si>
    <t>110/204</t>
  </si>
  <si>
    <t>OrderServiceImpl</t>
  </si>
  <si>
    <t>387/974</t>
  </si>
  <si>
    <t>TC_PH3_PRICE_01</t>
  </si>
  <si>
    <t>BE/order-service/src/test/java/com/ecommerce/orderservice/support/OrderPricingHelperTest.java</t>
  </si>
  <si>
    <t>Kiểm tra công thức VAT/ship/giảm giá chuẩn</t>
  </si>
  <si>
    <t>subtotal=1.000.000, voucher SP=100.000
subtotal=500.000, giảm điểm=200.000</t>
  </si>
  <si>
    <t>ship 30.000, VAT 90.000, tổng giảm 100.000, thành tiền 1.020.000; trường hợp điểm: VAT 30.000, thành tiền 360.000</t>
  </si>
  <si>
    <t>OrderPricingHelper.java, ShippingFeeCalculator.java</t>
  </si>
  <si>
    <t>TC_PH3_PRICE_02</t>
  </si>
  <si>
    <t>calculate(), ShippingFeeCalculator.calculate()</t>
  </si>
  <si>
    <t>Giá trị biên và dữ liệu âm/null</t>
  </si>
  <si>
    <t>subtotal=0, giảm=null
subtotal=100.000, giảm âm (-5.000,-1,-3)
ship(null), ship(-1), ship(1), ship(99.000.000)</t>
  </si>
  <si>
    <t>ship 0, thành tiền 0; giảm âm coi như 0 -&gt; 140.000; phí ship 0, 0, 30.000, 30.000</t>
  </si>
  <si>
    <t>TC_PH3_PRICE_03</t>
  </si>
  <si>
    <t>calculate(), calculatePointDiscount(), extract*Discount()</t>
  </si>
  <si>
    <t>Giảm giá vượt tạm tính, chặn giảm điểm, trích giảm giá từ voucher</t>
  </si>
  <si>
    <t>subtotal=200.000, giảm SP=300.000
points 300/100/0 với còn phải trả 150.000
voucher {product 50.000, ship 30.000}; voucher cũ {discount 70.000}; null</t>
  </si>
  <si>
    <t>VAT 0, thành tiền 30.000; giảm điểm 150.000/100.000/0; trích 50.000 &amp; 30.000; 70.000 &amp; 0; 0</t>
  </si>
  <si>
    <t>TC_PH3_WEBHOOK_01</t>
  </si>
  <si>
    <t>BE/order-service/src/test/java/com/ecommerce/orderservice/support/ShippingWebhookSignerTest.java</t>
  </si>
  <si>
    <t>Xác thực chữ ký HMAC của webhook vận chuyển</t>
  </si>
  <si>
    <t>secret='dev-shipping-webhook-secret'</t>
  </si>
  <si>
    <t>tracking='MOCK-GHTK-AB12CD34', status='DELIVERED'; biến thể: viết hoa + khoảng trắng, sửa status, sửa tracking, sai secret, null, rỗng, thiếu 1 ký tự; secret trống</t>
  </si>
  <si>
    <t>Chữ ký 64 ký tự hex, tất định; chỉ chữ ký đúng (không phân biệt hoa thường) được chấp nhận; secret trống -&gt; IllegalStateException</t>
  </si>
  <si>
    <t>TC_PH3_CART_01</t>
  </si>
  <si>
    <t>BE/order-service/src/test/java/com/ecommerce/orderservice/service/CartServiceImplTest.java</t>
  </si>
  <si>
    <t>addItemToCart()</t>
  </si>
  <si>
    <t>Cộng dồn số lượng khi thêm sản phẩm đã có trong giỏ</t>
  </si>
  <si>
    <t>Giỏ cart:u1 có SP 5 x2; tồn kho Redis = 10</t>
  </si>
  <si>
    <t>productId=5, quantity=3, sessionId=sess-1</t>
  </si>
  <si>
    <t>Lưu SP 5 số lượng 5, TTL giỏ 30 ngày, phát CartUpdated ADD_ITEM qty 5</t>
  </si>
  <si>
    <t>TC_PH3_CART_02</t>
  </si>
  <si>
    <t>Chặn thêm vượt tồn kho</t>
  </si>
  <si>
    <t>Tồn kho product:stock:5:51 = 4</t>
  </si>
  <si>
    <t>productId=5, variantId=51, quantity=5</t>
  </si>
  <si>
    <t>InsufficientStockException 'chỉ còn 4' (HTTP 400 OUT_OF_STOCK); không ghi giỏ, không phát sự kiện</t>
  </si>
  <si>
    <t>TC_PH3_CART_03</t>
  </si>
  <si>
    <t>getCart()</t>
  </si>
  <si>
    <t>Tính giỏ hàng theo giá hiện tại từ product-service</t>
  </si>
  <si>
    <t>Giỏ: SP5 x2 (100.000), SP6 biến thể 61 x1 (450.000, {color:Đen, storage:256GB}), SP8 đã bị xóa</t>
  </si>
  <si>
    <t>getCart('u1')</t>
  </si>
  <si>
    <t>2 dòng hàng, tổng 650.000; biến thể giá 450.000, size '256GB', color 'Đen'; SP8 bị bỏ qua</t>
  </si>
  <si>
    <t>TC_PH3_CHECKOUT_01</t>
  </si>
  <si>
    <t>BE/order-service/src/test/java/com/ecommerce/orderservice/service/OrderServiceImplTest.java</t>
  </si>
  <si>
    <t>createOrder()</t>
  </si>
  <si>
    <t>Chặn checkout trùng khi request trước cùng Idempotency-Key đang xử lý</t>
  </si>
  <si>
    <t>Redis lock checkout:lock:u1:key-1 = PROCESSING</t>
  </si>
  <si>
    <t>userId=u1, Idempotency-Key=key-1</t>
  </si>
  <si>
    <t>DuplicateRequestException (HTTP 409); không đọc giỏ, không tạo đơn</t>
  </si>
  <si>
    <t>TC_PH3_CHECKOUT_02</t>
  </si>
  <si>
    <t>Gửi lại checkout sau khi đã hoàn tất trả về đúng đơn cũ</t>
  </si>
  <si>
    <t>Redis lock chứa JSON OrderResponse id=99</t>
  </si>
  <si>
    <t>userId=u1, Idempotency-Key=key-2</t>
  </si>
  <si>
    <t>Trả đơn id 99; không đọc giỏ, không tạo đơn mới</t>
  </si>
  <si>
    <t>TC_PH3_CHECKOUT_03</t>
  </si>
  <si>
    <t>Checkout khi giỏ trống</t>
  </si>
  <si>
    <t>Giỏ cart:u1 rỗng</t>
  </si>
  <si>
    <t>userId=u1, Idempotency-Key=key-3</t>
  </si>
  <si>
    <t>InvalidOrderStateException 'Cart is empty' (HTTP 400); xóa lock idempotency; không tạo đơn</t>
  </si>
  <si>
    <t>TC_PH3_CHECKOUT_04</t>
  </si>
  <si>
    <t>Hết hàng giữa chừng thì hoàn lại tồn kho đã giữ</t>
  </si>
  <si>
    <t>Giỏ: SP1 x1 (kho 10), SP2 x3 (kho 1, Lua trả -2)</t>
  </si>
  <si>
    <t>userId=u1, không Idempotency-Key</t>
  </si>
  <si>
    <t>InsufficientStockException; gọi script tăng kho cho SP1 (1 cái), không tăng cho SP2; không tạo đơn, không xóa giỏ</t>
  </si>
  <si>
    <t>TC_PH3_CHECKOUT_05</t>
  </si>
  <si>
    <t>Checkout thành công không voucher/điểm</t>
  </si>
  <si>
    <t>Giỏ SP1 x2 giá 500.000; kho 10</t>
  </si>
  <si>
    <t>shippingAddress='1 Xuân Thủy...', phone=0912345678, shippingFee client=0, Idempotency-Key=key-5</t>
  </si>
  <si>
    <t>Đơn id 1000 PENDING, tổng 1.000.000, VAT 100.000, ship 30.000 (server tính), thành tiền 1.130.000; order item gắn orderId; outbox OrderCreatedEvent; xóa giỏ; cache response vào lock 15 phút</t>
  </si>
  <si>
    <t>TC_PH3_PREVIEW_01</t>
  </si>
  <si>
    <t>previewCheckout()</t>
  </si>
  <si>
    <t>Xem trước thanh toán với voucher và điểm</t>
  </si>
  <si>
    <t>Giỏ 1.000.000; voucher (mock) giảm SP 100.000 + ship 30.000</t>
  </si>
  <si>
    <t>couponCode=' sale10 ', pointsToRedeem=50</t>
  </si>
  <si>
    <t>Mã chuẩn hóa 'SALE10'; giảm điểm 50.000; VAT 85.000; tổng giảm 180.000; thành tiền 935.000; chỉ gọi previewVoucher (không giữ voucher)</t>
  </si>
  <si>
    <t>TC_PH3_OWNER_01</t>
  </si>
  <si>
    <t>getOrder()</t>
  </si>
  <si>
    <t>Khách không xem được đơn của người khác (IDOR)</t>
  </si>
  <si>
    <t>Đơn 10 của owner-1</t>
  </si>
  <si>
    <t>userId=intruder-2, roles=ROLE_CUSTOMER</t>
  </si>
  <si>
    <t>AccessDeniedException; không tải chi tiết đơn</t>
  </si>
  <si>
    <t>TC_PH3_OWNER_02</t>
  </si>
  <si>
    <t>STAFF/ADMIN và chủ đơn xem được đơn; đơn không tồn tại</t>
  </si>
  <si>
    <t>Đơn 10 của owner-1; không có đơn 404</t>
  </si>
  <si>
    <t>staff-9 roles='ROLE_CUSTOMER, ROLE_STAFF'
owner-1 roles=''
đơn 404</t>
  </si>
  <si>
    <t>Trả đơn 10 cho staff và chủ đơn; đơn 404 -&gt; ResourceNotFoundException</t>
  </si>
  <si>
    <t>TC_PH3_CANCEL_01</t>
  </si>
  <si>
    <t>cancelOrder()</t>
  </si>
  <si>
    <t>Chủ đơn hủy đơn PENDING</t>
  </si>
  <si>
    <t>Đơn 20 PENDING của owner-1 (SP1 x2); owner-1 có id DB 7</t>
  </si>
  <si>
    <t>cancelOrder(20, owner-1, ..., ROLE_CUSTOMER)</t>
  </si>
  <si>
    <t>Trạng thái CANCELLED; outbox OrderCancelledEvent có danh sách SP; releaseVoucher(20); refundPoints(7, orderId 20)</t>
  </si>
  <si>
    <t>TC_PH3_CANCEL_02</t>
  </si>
  <si>
    <t>Không hủy được đơn đã giao vận/hoàn tất/đã hủy</t>
  </si>
  <si>
    <t>Đơn 21 lần lượt ở SHIPPED, DELIVERED, CANCELLED</t>
  </si>
  <si>
    <t>cancelOrder(21, owner-1)</t>
  </si>
  <si>
    <t>InvalidOrderStateException 'Cannot cancel order in status: X' (HTTP 400); trạng thái giữ nguyên; không lưu, không outbox, không gọi promotion</t>
  </si>
  <si>
    <t>TC_PH3_CANCEL_03</t>
  </si>
  <si>
    <t>Phân quyền hủy đơn và danh tính trong sự kiện hủy</t>
  </si>
  <si>
    <t>Đơn 22 CONFIRMED của owner-1</t>
  </si>
  <si>
    <t>intruder-2 (ROLE_CUSTOMER) hủy
staff-9 (ROLE_STAFF) hủy hộ</t>
  </si>
  <si>
    <t>Intruder: AccessDeniedException, không khóa đơn; staff: CANCELLED, sự kiện mang userId 'owner-1', email 'owner-1@mail.com'</t>
  </si>
  <si>
    <t>TC_PH3_SHIP_01</t>
  </si>
  <si>
    <t>shipOrder()</t>
  </si>
  <si>
    <t>Chỉ đơn CONFIRMED mới được giao vận</t>
  </si>
  <si>
    <t>Đơn 30 CONFIRMED; đơn 31 PENDING</t>
  </si>
  <si>
    <t>shipOrder(30)
shipOrder(31)</t>
  </si>
  <si>
    <t>Đơn 30 SHIPPED, mã vận đơn MOCK-GHTK-XXXXXXXX, outbox OrderShippedEvent; đơn 31 -&gt; InvalidOrderStateException, không có mã vận đơn</t>
  </si>
  <si>
    <t>TC_PH3_DELIV_01</t>
  </si>
  <si>
    <t>updateDeliveryStatusByAdmin()</t>
  </si>
  <si>
    <t>Admin xác nhận đã giao</t>
  </si>
  <si>
    <t>Đơn 40 SHIPPED</t>
  </si>
  <si>
    <t>status='delivered'</t>
  </si>
  <si>
    <t>DELIVERED; lưu đơn; outbox OrderDeliveredEvent; không gọi promotion</t>
  </si>
  <si>
    <t>TC_PH3_DELIV_02</t>
  </si>
  <si>
    <t>Chặn chuyển trạng thái giao hàng không hợp lệ</t>
  </si>
  <si>
    <t>Đơn 41 DELIVERED; đơn 42 SHIPPED</t>
  </si>
  <si>
    <t>41 -&gt; CANCELLED; 41 -&gt; SHIPPED; 42 -&gt; RETURNED; 42 -&gt; SHIPPED</t>
  </si>
  <si>
    <t>InvalidOrderStateException; InvalidOrderStateException; IllegalArgumentException; no-op trả SHIPPED; không save, không outbox</t>
  </si>
  <si>
    <t>TC_PH3_WEBHOOK_02</t>
  </si>
  <si>
    <t>handleShippingWebhook()</t>
  </si>
  <si>
    <t>Xử lý webhook đơn vị vận chuyển</t>
  </si>
  <si>
    <t>TRK-50 thuộc đơn DELIVERED; TRK-51 thuộc đơn SHIPPED; 'UNKNOWN' không tồn tại</t>
  </si>
  <si>
    <t>(UNKNOWN, DELIVERED); (TRK-50, SHIPPED); (TRK-51, DELIVERED)</t>
  </si>
  <si>
    <t>ResourceNotFoundException; sự kiện lùi bị bỏ qua không ghi DB; TRK-51 -&gt; DELIVERED + outbox OrderDeliveredEvent</t>
  </si>
  <si>
    <t>TC_PH3_PRICE_04</t>
  </si>
  <si>
    <t>BE/order-service/src/test/java/com/ecommerce/orderservice/support/OrderPricingHelperBugCheck.java</t>
  </si>
  <si>
    <t>Giảm phí ship không được vượt phí ship</t>
  </si>
  <si>
    <t>subtotal=1.000.000, shippingDiscount=50.000 (phí ship 30.000)</t>
  </si>
  <si>
    <t>shippingDiscount=30.000, totalDiscount=30.000, thành tiền 1.100.000</t>
  </si>
  <si>
    <t>TC_PH3_DELIV_03</t>
  </si>
  <si>
    <t>BE/order-service/src/test/java/com/ecommerce/orderservice/service/OrderServiceImplBugCheck.java</t>
  </si>
  <si>
    <t>Đơn chưa thanh toán/chưa giao vận không được đặt thẳng DELIVERED</t>
  </si>
  <si>
    <t>Đơn 60 PENDING</t>
  </si>
  <si>
    <t>status='DELIVERED'</t>
  </si>
  <si>
    <t>InvalidOrderStateException; trạng thái giữ PENDING</t>
  </si>
  <si>
    <t>TC_PH3_OWNER_03</t>
  </si>
  <si>
    <t>BE/order-service/src/test/java/com/ecommerce/orderservice/exception/GlobalExceptionHandlerBugCheck.java</t>
  </si>
  <si>
    <t>Xem/hủy đơn người khác phải trả 403</t>
  </si>
  <si>
    <t>new AccessDeniedException('You are not authorized to view this order')</t>
  </si>
  <si>
    <t>OrderPricingHelper.calculate không chặn shippingDiscount theo phí ship: giảm ship 50.000 khi phí ship 30.000 làm thành tiền 1.080.000 (trừ lấn 20.000 vào tiền hàng) và totalDiscount báo 50.000. Hiện promotion-service đã chặn min(shippingFee, cap) nên lỗi tiềm ẩn (chỉ lộ ra nếu promotion trả giá trị lớn hơn), nhưng helper không tự bảo vệ bất biến.</t>
  </si>
  <si>
    <t>BE/order-service/src/main/java/com/ecommerce/orderservice/support/OrderPricingHelper.java:45 (đối chiếu promotion-service VoucherRedemptionServiceImpl.java:305 có min())</t>
  </si>
  <si>
    <t>updateDeliveryStatusByAdmin chỉ so sánh thứ hạng trạng thái (rank tăng là cho phép) nên PENDING/AWAITING_PAYMENT có thể nhảy thẳng sang SHIPPED/DELIVERED, bỏ qua thanh toán và shipOrder (không có mã vận đơn); đơn DELIVERED còn được tính bảo hành/đủ điều kiện đánh giá.</t>
  </si>
  <si>
    <t>BE/order-service/src/main/java/com/ecommerce/orderservice/service/impl/OrderServiceImpl.java:1084 (cùng logic ở handleShippingWebhook :997)</t>
  </si>
  <si>
    <t>GlobalExceptionHandler @ExceptionHandler(Exception.class) bắt AccessDeniedException -&gt; xem/hủy đơn của người khác, CUSTOMER gọi /ship hoặc /delivery-status nhận HTTP 500 thay vì 403 (Finding F2).</t>
  </si>
  <si>
    <t>BE/order-service/src/main/java/com/ecommerce/orderservice/exception/GlobalExceptionHandler.java:97</t>
  </si>
  <si>
    <t>NHÓM: GIỎ HÀNG</t>
  </si>
  <si>
    <t>API_PH3_001</t>
  </si>
  <si>
    <t>/api/v1/cart</t>
  </si>
  <si>
    <t>Thêm sản phẩm vào giỏ</t>
  </si>
  <si>
    <t>{"productId": {{pid}}, "variantId": {{vid}}, "quantity": 1}</t>
  </si>
  <si>
    <t>HTTP 200; giỏ có 1 dòng</t>
  </si>
  <si>
    <t>HTTP 200  (69 ms)
{"code": "SUCCESS", "message": "Success", "data.finalAmount": null}</t>
  </si>
  <si>
    <t>API_PH3_002</t>
  </si>
  <si>
    <t>Từ chối số lượng 0 khi thêm giỏ</t>
  </si>
  <si>
    <t>{"productId": {{pid}}, "variantId": {{vid}}, "quantity": 0}</t>
  </si>
  <si>
    <t>HTTP 400 VALIDATION_ERROR</t>
  </si>
  <si>
    <t>HTTP 400  (21 ms)
{"code": "VALIDATION_ERROR", "message": "Validation failed"}</t>
  </si>
  <si>
    <t>API_PH3_003</t>
  </si>
  <si>
    <t>Từ chối thiếu productId</t>
  </si>
  <si>
    <t>{
 "quantity": 1
}</t>
  </si>
  <si>
    <t>HTTP 400  (23 ms)
{"code": "VALIDATION_ERROR", "message": "Validation failed"}</t>
  </si>
  <si>
    <t>API_PH3_004</t>
  </si>
  <si>
    <t>Từ chối số lượng vượt tồn kho</t>
  </si>
  <si>
    <t>{"productId": {{pid}}, "variantId": {{vid}}, "quantity": 9999}</t>
  </si>
  <si>
    <t>HTTP 400 OUT_OF_STOCK</t>
  </si>
  <si>
    <t>HTTP 400  (25 ms)
{"code": "OUT_OF_STOCK", "message": "Sản phẩm này hiện chỉ còn 174 sản phẩm trong kho."}</t>
  </si>
  <si>
    <t>API_PH3_005</t>
  </si>
  <si>
    <t>/api/v1/cart/items/{{pid}}?variantId={{vid}}&amp;quantity=2</t>
  </si>
  <si>
    <t>Cập nhật số lượng trong giỏ</t>
  </si>
  <si>
    <t>HTTP 200; quantity=2; subtotal = unitPrice × 2</t>
  </si>
  <si>
    <t>HTTP 200  (90 ms)
{"code": "SUCCESS", "message": "Success", "data.finalAmount": null}</t>
  </si>
  <si>
    <t>API_PH3_006</t>
  </si>
  <si>
    <t>/api/v1/cart/items/{{pid}}?variantId={{vid}}&amp;quantity=0</t>
  </si>
  <si>
    <t>Từ chối cập nhật số lượng 0</t>
  </si>
  <si>
    <t>HTTP 400 (quantity ≥ 1)</t>
  </si>
  <si>
    <t>HTTP 500  (26 ms)
{"code": "INTERNAL_SERVER_ERROR", "message": "Đã có lỗi hệ thống xảy ra. Vui lòng thử lại sau."}
Không đạt: HTTP status ∈ 400</t>
  </si>
  <si>
    <t>API_PH3_007</t>
  </si>
  <si>
    <t>/api/v1/cart/items/{{pid}}?variantId={{vid}}</t>
  </si>
  <si>
    <t>Xóa dòng khỏi giỏ</t>
  </si>
  <si>
    <t>HTTP 200; giỏ rỗng</t>
  </si>
  <si>
    <t>HTTP 200  (41 ms)
{"code": "SUCCESS", "message": "Success", "data.finalAmount": null}</t>
  </si>
  <si>
    <t>NHÓM: CHECKOUT</t>
  </si>
  <si>
    <t>API_PH3_008</t>
  </si>
  <si>
    <t>/api/v1/orders/checkout/preview</t>
  </si>
  <si>
    <t>Xem trước đơn khi giỏ trống bị từ chối</t>
  </si>
  <si>
    <t>{}</t>
  </si>
  <si>
    <t>HTTP 400 'Cart is empty'</t>
  </si>
  <si>
    <t>HTTP 400  (76 ms)
{"code": "INVALID_STATE", "message": "Cart is empty"}</t>
  </si>
  <si>
    <t>API_PH3_009</t>
  </si>
  <si>
    <t>Xem trước đơn: phí ship 30.000đ và VAT 10% đúng công thức</t>
  </si>
  <si>
    <t>HTTP 200; shippingFee=30.000; vatAmount = 10% × (subtotal − giảm giá)</t>
  </si>
  <si>
    <t>HTTP 200  (85 ms)
{"code": "SUCCESS", "message": "Success", "data.voucherApplied": false, "data.shippingFee": 30000, "data.vatAmount": 2989000, "data.finalAmount": 32909000.0}</t>
  </si>
  <si>
    <t>API_PH3_010</t>
  </si>
  <si>
    <t>/api/v1/orders/checkout</t>
  </si>
  <si>
    <t>Từ chối đặt hàng thiếu địa chỉ</t>
  </si>
  <si>
    <t>{
 "phoneNumber": "0912345678"
}</t>
  </si>
  <si>
    <t>HTTP 400 VALIDATION_ERROR (shippingAddress)</t>
  </si>
  <si>
    <t>API_PH3_011</t>
  </si>
  <si>
    <t>Đặt hàng thành công (đơn A)</t>
  </si>
  <si>
    <t>Bearer &lt;Customer_Token&gt;
Idempotency-Key: {{idemA}}</t>
  </si>
  <si>
    <t>{
 "shippingAddress": "12 Trần Duy Hưng, Phường Trung Hòa, Hà Nội",
 "phoneNumber": "0912345678",
 "note": "Đơn kiểm thử API"
}</t>
  </si>
  <si>
    <t>HTTP 200; đơn mới status=PENDING</t>
  </si>
  <si>
    <t>HTTP 200  (145 ms)
{"code":"SUCCESS","message":"Success","data":{"id":11,"userId":"eeb77c2d-9938-474c-aa6a-438308be1a87","status":"PENDING","totalAmount":29890000.00,"discountAmount":0,"finalAmount":32909000.00,"couponC</t>
  </si>
  <si>
    <t>API_PH3_012</t>
  </si>
  <si>
    <t>Gửi lại cùng Idempotency-Key không tạo đơn mới</t>
  </si>
  <si>
    <t>HTTP 200; trả lại đúng đơn A (không tạo đơn thứ 2)</t>
  </si>
  <si>
    <t>HTTP 200  (44 ms)
{"code":"SUCCESS","message":"Success","data":{"id":11,"userId":"eeb77c2d-9938-474c-aa6a-438308be1a87","status":"PENDING","totalAmount":29890000.00,"discountAmount":0,"finalAmount":32909000.00,"couponC</t>
  </si>
  <si>
    <t>NHÓM: SAGA ĐƠN HÀNG</t>
  </si>
  <si>
    <t>API_PH3_013</t>
  </si>
  <si>
    <t>/api/v1/orders/{{ordA}}</t>
  </si>
  <si>
    <t>Kho xác nhận giữ hàng → AWAITING_PAYMENT</t>
  </si>
  <si>
    <t>HTTP 200; status=AWAITING_PAYMENT (Saga: inventory trừ kho)</t>
  </si>
  <si>
    <t>HTTP 200  (82 ms)
{"code":"SUCCESS","message":"Success","data":{"id":11,"userId":"eeb77c2d-9938-474c-aa6a-438308be1a87","status":"AWAITING_PAYMENT","totalAmount":29890000.00,"discountAmount":0.00,"finalAmount":32909000</t>
  </si>
  <si>
    <t>API_PH3_014</t>
  </si>
  <si>
    <t>Khách khác không xem được đơn</t>
  </si>
  <si>
    <t>HTTP 500  (41 ms)
{"code": "INTERNAL_SERVER_ERROR", "message": "Đã có lỗi hệ thống xảy ra. Vui lòng thử lại sau."}
Không đạt: HTTP status ∈ 403/404</t>
  </si>
  <si>
    <t>Bug: HTTP status ∈ 403/404: expected [ 403, 404 ] to include 500</t>
  </si>
  <si>
    <t>NHÓM: ĐƠN HÀNG</t>
  </si>
  <si>
    <t>API_PH3_015</t>
  </si>
  <si>
    <t>/api/v1/orders</t>
  </si>
  <si>
    <t>Danh sách đơn của khách chứa đơn A</t>
  </si>
  <si>
    <t>HTTP 200; chỉ chứa đơn của khách</t>
  </si>
  <si>
    <t>HTTP 200  (74 ms)
{"code":"SUCCESS","message":"Success","data":[{"id":11,"userId":"eeb77c2d-9938-474c-aa6a-438308be1a87","status":"AWAITING_PAYMENT","totalAmount":29890000.00,"discountAmount":0.00,"finalAmount":3290900</t>
  </si>
  <si>
    <t>API_PH3_016</t>
  </si>
  <si>
    <t>/api/v1/orders/{{ordA}}/cancel</t>
  </si>
  <si>
    <t>Khách khác không hủy được đơn</t>
  </si>
  <si>
    <t>HTTP 403 Forbidden; đơn không đổi</t>
  </si>
  <si>
    <t>HTTP 500  (60 ms)
{"code": "INTERNAL_SERVER_ERROR", "message": "Đã có lỗi hệ thống xảy ra. Vui lòng thử lại sau."}
Không đạt: HTTP status ∈ 403/404</t>
  </si>
  <si>
    <t>API_PH3_017</t>
  </si>
  <si>
    <t>/api/v1/orders/{{ordA}}/ship</t>
  </si>
  <si>
    <t>Customer không được gọi API giao hàng</t>
  </si>
  <si>
    <t>HTTP 500  (82 ms)
{"code": "INTERNAL_SERVER_ERROR", "message": "Đã có lỗi hệ thống xảy ra. Vui lòng thử lại sau."}
Không đạt: HTTP status ∈ 403</t>
  </si>
  <si>
    <t>API_PH3_018</t>
  </si>
  <si>
    <t>/api/v1/orders/99999999</t>
  </si>
  <si>
    <t>Đơn không tồn tại trả 404</t>
  </si>
  <si>
    <t>HTTP 404  (78 ms)
{"code": "NOT_FOUND", "message": "Order not found: 99999999"}</t>
  </si>
  <si>
    <t>API_PH3_019</t>
  </si>
  <si>
    <t>Đặt hàng với phí ship bị sửa = 0 vẫn tính 30.000đ</t>
  </si>
  <si>
    <t>Bearer &lt;Customer2_Token&gt;
Idempotency-Key: {{idemT}}</t>
  </si>
  <si>
    <t>{
 "shippingAddress": "12 Trần Duy Hưng, Phường Trung Hòa, Hà Nội",
 "phoneNumber": "0912345678",
 "note": "Đơn kiểm thử API",
 "shippingFee": 0
}</t>
  </si>
  <si>
    <t>HTTP 200; shippingFee = 30.000 (bỏ qua giá trị client)</t>
  </si>
  <si>
    <t>HTTP 200  (169 ms)
{"code":"SUCCESS","message":"Success","data":{"id":12,"userId":"a8dd1f5d-cb16-4929-b81a-d7d615bae01b","status":"PENDING","totalAmount":29890000.00,"discountAmount":0,"finalAmount":32909000.00,"couponC</t>
  </si>
  <si>
    <t>NHÓM: HỦY ĐƠN</t>
  </si>
  <si>
    <t>API_PH3_020</t>
  </si>
  <si>
    <t>/api/v1/orders/{{ordT}}/cancel</t>
  </si>
  <si>
    <t>Khách hủy đơn của chính mình (đơn khách 2)</t>
  </si>
  <si>
    <t>HTTP 200  (113 ms)
{"code": "SUCCESS", "message": "Success"}</t>
  </si>
  <si>
    <t>API_PH3_021</t>
  </si>
  <si>
    <t>/api/v1/orders/{{ordT}}</t>
  </si>
  <si>
    <t>Đơn đã hủy chuyển trạng thái CANCELLED</t>
  </si>
  <si>
    <t>HTTP 200; status=CANCELLED</t>
  </si>
  <si>
    <t>HTTP 200  (28 ms)
{"code":"SUCCESS","message":"Success","data":{"id":12,"userId":"a8dd1f5d-cb16-4929-b81a-d7d615bae01b","status":"CANCELLED","totalAmount":29890000.00,"discountAmount":0.00,"finalAmount":32909000.00,"co</t>
  </si>
  <si>
    <t>API_PH3_022</t>
  </si>
  <si>
    <t>Không hủy lại đơn đã hủy</t>
  </si>
  <si>
    <t>HTTP 400 INVALID_STATE</t>
  </si>
  <si>
    <t>HTTP 400  (54 ms)
{"code": "INVALID_STATE", "message": "Cannot cancel order in status: CANCELLED"}</t>
  </si>
  <si>
    <t>NHÓM: VẬN CHUYỂN</t>
  </si>
  <si>
    <t>API_PH3_023</t>
  </si>
  <si>
    <t>/api/v1/public/orders/shipping-webhook</t>
  </si>
  <si>
    <t>Webhook vận chuyển sai chữ ký bị từ chối</t>
  </si>
  <si>
    <t>Không (public)
X-Shipping-Signature: deadbeef</t>
  </si>
  <si>
    <t>{
 "trackingCode": "MOCK-GHTK-KHONGCO",
 "status": "DELIVERED"
}</t>
  </si>
  <si>
    <t>HTTP 401 (chữ ký HMAC sai)</t>
  </si>
  <si>
    <t>HTTP 500  (74 ms)
{"code": "INTERNAL_SERVER_ERROR", "message": "Đã có lỗi hệ thống xảy ra. Vui lòng thử lại sau."}
Không đạt: HTTP status ∈ 401</t>
  </si>
  <si>
    <t>Bug: HTTP status ∈ 401: expected [ 401 ] to include 500</t>
  </si>
  <si>
    <t>API_PH3_024</t>
  </si>
  <si>
    <t>/api/v1/orders/{{ordA}}/delivery-status?status=FLYING</t>
  </si>
  <si>
    <t>Trạng thái giao hàng không hợp lệ trả 400</t>
  </si>
  <si>
    <t>HTTP 400 (status không hỗ trợ)</t>
  </si>
  <si>
    <t>HTTP 500  (61 ms)
{"code": "INTERNAL_SERVER_ERROR", "message": "Đã có lỗi hệ thống xảy ra. Vui lòng thử lại sau."}
Không đạt: HTTP status ∈ 400</t>
  </si>
  <si>
    <t>NHÓM: BẢO HÀNH</t>
  </si>
  <si>
    <t>API_PH3_025</t>
  </si>
  <si>
    <t>/api/v1/orders/warranty/me</t>
  </si>
  <si>
    <t>Bảo hành của tôi</t>
  </si>
  <si>
    <t>HTTP 200; danh sách bảo hành</t>
  </si>
  <si>
    <t>HTTP 200  (54 ms)
{"code":"SUCCESS","message":"Success","data":[{"orderId":3,"productId":1,"productName":"Samsung Galaxy S26 Ultra 5G 12GB 256GB","variantAttr":"{\"color\":\"Đen Classic\",\"storage\":\"256GB\"}","produ</t>
  </si>
  <si>
    <t>API_PH3_026</t>
  </si>
  <si>
    <t>/api/v1/orders/{{ordB}}/ship</t>
  </si>
  <si>
    <t>Admin xác nhận giao hàng → SHIPPED có mã vận đơn</t>
  </si>
  <si>
    <t>HTTP 200; status=SHIPPED; trackingCode MOCK-GHTK-*</t>
  </si>
  <si>
    <t>HTTP 200  (22 ms)
{"code":"SUCCESS","message":"Success","data":{"id":13,"userId":"eeb77c2d-9938-474c-aa6a-438308be1a87","status":"SHIPPED","totalAmount":29890000.00,"discountAmount":0.00,"finalAmount":32909000.00,"coup</t>
  </si>
  <si>
    <t>API_PH3_027</t>
  </si>
  <si>
    <t>/api/v1/orders/{{ordB}}/cancel</t>
  </si>
  <si>
    <t>Khách không hủy được đơn đang giao</t>
  </si>
  <si>
    <t>HTTP 400  (23 ms)
{"code": "INVALID_STATE", "message": "Cannot cancel order in status: SHIPPED"}</t>
  </si>
  <si>
    <t>API_PH3_028</t>
  </si>
  <si>
    <t>Webhook vận chuyển chữ ký đúng → DELIVERED</t>
  </si>
  <si>
    <t>Không (public)
X-Shipping-Signature: {{ship_sig}}</t>
  </si>
  <si>
    <t>{"trackingCode": "{{ordB_tracking}}", "status": "DELIVERED"}</t>
  </si>
  <si>
    <t>HTTP 200; đơn chuyển DELIVERED</t>
  </si>
  <si>
    <t>HTTP 200  (18 ms)
{"code": "SUCCESS", "message": "Success"}</t>
  </si>
  <si>
    <t>API_PH3_029</t>
  </si>
  <si>
    <t>/api/v1/orders/{{ordB}}</t>
  </si>
  <si>
    <t>Đơn ở trạng thái DELIVERED</t>
  </si>
  <si>
    <t>HTTP 200; status=DELIVERED</t>
  </si>
  <si>
    <t>HTTP 200  (20 ms)
{"code":"SUCCESS","message":"Success","data":{"id":13,"userId":"eeb77c2d-9938-474c-aa6a-438308be1a87","status":"DELIVERED","totalAmount":29890000.00,"discountAmount":0.00,"finalAmount":32909000.00,"co</t>
  </si>
  <si>
    <t>API_PH3_030</t>
  </si>
  <si>
    <t>/api/v1/orders/{{ordB}}/delivery-status?status=SHIPPED</t>
  </si>
  <si>
    <t>Không chuyển lùi DELIVERED → SHIPPED</t>
  </si>
  <si>
    <t>HTTP 400  (23 ms)
{"code": "INVALID_STATE", "message": "Order ID 13 is in final state DELIVERED. Cannot update status to SHIPPED"}</t>
  </si>
  <si>
    <t>NHÓM: COD</t>
  </si>
  <si>
    <t>API_PH3_031</t>
  </si>
  <si>
    <t>/api/v1/payments/order/{{ordB}}</t>
  </si>
  <si>
    <t>COD chuyển SUCCESS sau khi giao</t>
  </si>
  <si>
    <t>HTTP 200; payment SUCCESS</t>
  </si>
  <si>
    <t>HTTP 200  (23 ms)
{"code": "SUCCESS", "message": "Success", "data.id": 8, "data.status": "SUCCESS"}</t>
  </si>
  <si>
    <t>API_PH3_032</t>
  </si>
  <si>
    <t>Bảo hành có sản phẩm của đơn đã giao</t>
  </si>
  <si>
    <t>HTTP 200; chứa sản phẩm của đơn B</t>
  </si>
  <si>
    <t>HTTP 200  (65 ms)
{"code":"SUCCESS","message":"Success","data":[{"orderId":3,"productId":1,"productName":"Samsung Galaxy S26 Ultra 5G 12GB 256GB","variantAttr":"{\"color\":\"Đen Classic\",\"storage\":\"256GB\"}","produ</t>
  </si>
  <si>
    <t>API_PH3_033</t>
  </si>
  <si>
    <t>Đánh giá sản phẩm đã nhận thành công</t>
  </si>
  <si>
    <t>{"productId": {{pid}}, "orderId": {{ordB}}, "rating": 5, "comment": "Hàng tốt (kiểm thử API)"}</t>
  </si>
  <si>
    <t>HTTP 200; đánh giá được tạo</t>
  </si>
  <si>
    <t>HTTP 200  (54 ms)
{"code": "SUCCESS", "message": "Success", "data.id": 3}</t>
  </si>
  <si>
    <t>API_PH3_034</t>
  </si>
  <si>
    <t>Không đánh giá lần 2 cho cùng đơn</t>
  </si>
  <si>
    <t>{"productId": {{pid}}, "orderId": {{ordB}}, "rating": 4, "comment": "Lần 2"}</t>
  </si>
  <si>
    <t>HTTP 409 'đã đánh giá'</t>
  </si>
  <si>
    <t>HTTP 409  (19 ms)
{"code": "CONFLICT", "message": "Bạn đã đánh giá sản phẩm này cho đơn hàng này rồi."}</t>
  </si>
  <si>
    <t>API_PH3_035</t>
  </si>
  <si>
    <t>Từ chối điểm đánh giá ngoài khoảng 1–5</t>
  </si>
  <si>
    <t>{"productId": 2, "orderId": {{ordB}}, "rating": 10, "comment": "rating 10"}</t>
  </si>
  <si>
    <t>HTTP 400 (rating phải 1–5)</t>
  </si>
  <si>
    <t>HTTP 409  (30 ms)
{"code": "CONFLICT", "message": "Bạn không thể đánh giá sản phẩm này vì chưa mua sản phẩm hoặc đơn hàng chưa giao thành công."}</t>
  </si>
  <si>
    <t>npx playwright test ui/PH3.spec.ts</t>
  </si>
  <si>
    <t>OrderPricingHelperTest.java</t>
  </si>
  <si>
    <t>assertMoney("1000000", p.getSubtotal());
assertMoney("30000", p.getShippingFee());
assertMoney("90000", p.getVatAmount());
assertMoney("100000", p.getTotalDiscount());
assertMoney("1020000", p.getFinalAmount());</t>
  </si>
  <si>
    <t>assertMoney("0", zero.getShippingFee());
assertMoney("0", zero.getFinalAmount());
assertMoney("0", zero.getTotalDiscount());
assertMoney("0", negative.getTotalDiscount());
assertMoney("140000", negative.getFinalAmount()); // 100.000 + 10.000 VAT + 30.000 ship</t>
  </si>
  <si>
    <t>assertMoney("0", over.getVatAmount());
assertMoney("30000", over.getFinalAmount());
assertMoney("150000", OrderPricingHelper.calculatePointDiscount(300, new BigDecimal("150000")));
assertMoney("100000", OrderPricingHelper.calculatePointDiscount(100, new BigDecimal("150000")));
assertMoney("0", OrderPricingHelper.calculatePointDiscount(0, new BigDecimal("150000")));</t>
  </si>
  <si>
    <t>ShippingWebhookSignerTest.java</t>
  </si>
  <si>
    <t>assertEquals(64, sig.length());
assertTrue(sig.matches("[0-9a-f]{64}"));
assertEquals(sig, ShippingWebhookSigner.sign(SECRET, "MOCK-GHTK-AB12CD34", "DELIVERED"), "phải tất định");
assertTrue(ShippingWebhookSigner.verify(SECRET, "MOCK-GHTK-AB12CD34", "DELIVERED", sig));
assertTrue(ShippingWebhookSigner.verify(SECRET, "MOCK-GHTK-AB12CD34", "DELIVERED", "  " + sig.toUpperCase() + " "));</t>
  </si>
  <si>
    <t>CartServiceImplTest.java</t>
  </si>
  <si>
    <t>verify(hashOps).put(eq("cart:u1"), eq("5"), saved.capture());
assertEquals(5, ((CartItemRequest) saved.getValue()).getQuantity());
verify(redisTemplate).expire("cart:u1", Duration.ofDays(30));
verify(cartEventProducer).publishCartUpdated("u1", "sess-1", 5L, null, 5, "ADD_ITEM");</t>
  </si>
  <si>
    <t>InsufficientStockException ex = assertThrows(InsufficientStockException.class,
assertTrue(ex.getMessage().contains("chỉ còn 4"));
verify(hashOps, never()).put(any(), any(), any());</t>
  </si>
  <si>
    <t>assertEquals("u1", cart.getUserId());
assertEquals(2, cart.getItems().size());
assertEquals(0, new BigDecimal("650000").compareTo(cart.getTotalAmount()));
assertEquals(0, new BigDecimal("450000").compareTo(variantItem.getUnitPrice()));
assertEquals("256GB", variantItem.getSize());</t>
  </si>
  <si>
    <t>OrderServiceImplTest.java</t>
  </si>
  <si>
    <t>assertThrows(DuplicateRequestException.class,
verify(orderRepository, never()).save(any());</t>
  </si>
  <si>
    <t>assertEquals(99L, res.getId());
verify(orderRepository, never()).save(any());</t>
  </si>
  <si>
    <t>InvalidOrderStateException ex = assertThrows(InvalidOrderStateException.class,
assertEquals("Cart is empty", ex.getMessage());
verify(stringRedisTemplate).delete("checkout:lock:u1:key-3");
verify(orderRepository, never()).save(any());</t>
  </si>
  <si>
    <t>assertThrows(InsufficientStockException.class,
verify(stringRedisTemplate).execute(eq(stockIncrementScript), eq(List.of("product:stock:1:0")), eq("1"));
verify(stringRedisTemplate, never()).execute(eq(stockIncrementScript), eq(List.of("product:stock:2:0")), any());
verify(orderRepository, never()).save(any());
verify(cartService, never()).clearCart(any(), any());</t>
  </si>
  <si>
    <t>assertEquals(1000L, res.getId());
assertEquals("PENDING", res.getStatus());
assertEquals(0, new BigDecimal("1000000").compareTo(res.getTotalAmount()));
assertEquals(0, new BigDecimal("100000").compareTo(res.getVatAmount()));
assertEquals(0, new BigDecimal("30000").compareTo(res.getShippingFee()));</t>
  </si>
  <si>
    <t>assertEquals("SALE10", res.getCouponCode());
assertTrue(res.isVoucherApplied());
assertEquals(0, new BigDecimal("50000").compareTo(res.getPointDiscount()));
assertEquals(0, new BigDecimal("85000").compareTo(res.getVatAmount()));
assertEquals(0, new BigDecimal("180000").compareTo(res.getTotalDiscount()));</t>
  </si>
  <si>
    <t>assertThrows(AccessDeniedException.class, () -&gt; orderService.getOrder(10L, "intruder-2", "ROLE_CUSTOMER"));
verify(orderItemRepository, never()).findByOrderId(anyLong());</t>
  </si>
  <si>
    <t>assertEquals(10L, orderService.getOrder(10L, "staff-9", "ROLE_CUSTOMER, ROLE_STAFF").getId());
assertEquals(10L, orderService.getOrder(10L, "owner-1", "").getId());
assertThrows(ResourceNotFoundException.class, () -&gt; orderService.getOrder(404L, "owner-1", null));</t>
  </si>
  <si>
    <t>assertEquals("CANCELLED", o.getStatus());
verify(outboxEventRepository).save(outbox.capture());
assertEquals("OrderCancelledEvent", outbox.getValue().getEventType());
assertTrue(outbox.getValue().getPayload().contains("\"productId\":1"));
verify(promotionClient).releaseVoucher(argThat(r -&gt; r.getOrderId() == 20L));</t>
  </si>
  <si>
    <t>InvalidOrderStateException ex = assertThrows(InvalidOrderStateException.class,
assertTrue(ex.getMessage().contains("Cannot cancel order in status: " + status));
assertEquals(status, o.getStatus());
verify(orderRepository, never()).save(any());
verify(outboxEventRepository, never()).save(any());</t>
  </si>
  <si>
    <t>assertThrows(AccessDeniedException.class,
verify(orderRepository, never()).findByIdForUpdate(anyLong());
assertEquals("CANCELLED", o.getStatus());
verify(outboxEventRepository).save(outbox.capture());
assertEquals("owner-1", payload.get("userId").asText());</t>
  </si>
  <si>
    <t>assertEquals("SHIPPED", res.getStatus());
assertTrue(res.getTrackingCode().matches("MOCK-GHTK-[0-9A-F]{8}"));
verify(outboxEventRepository).save(argThat(e -&gt; "OrderShippedEvent".equals(e.getEventType())));
assertThrows(InvalidOrderStateException.class, () -&gt; orderService.shipOrder(31L));
assertEquals("PENDING", pending.getStatus());</t>
  </si>
  <si>
    <t>assertEquals("DELIVERED", res.getStatus());
verify(orderRepository).save(o);
verify(outboxEventRepository).save(argThat(e -&gt; "OrderDeliveredEvent".equals(e.getEventType())));</t>
  </si>
  <si>
    <t>assertThrows(InvalidOrderStateException.class, () -&gt; orderService.updateDeliveryStatusByAdmin(41L, "CANCELLED"));
assertThrows(InvalidOrderStateException.class, () -&gt; orderService.updateDeliveryStatusByAdmin(41L, "SHIPPED"));
assertThrows(IllegalArgumentException.class, () -&gt; orderService.updateDeliveryStatusByAdmin(42L, "RETURNED"));
assertEquals("SHIPPED", orderService.updateDeliveryStatusByAdmin(42L, "SHIPPED").getStatus());
assertEquals("DELIVERED", delivered.getStatus());</t>
  </si>
  <si>
    <t>assertThrows(ResourceNotFoundException.class, () -&gt; orderService.handleShippingWebhook("UNKNOWN", "DELIVERED"));
assertEquals("DELIVERED", delivered.getStatus());
verify(orderRepository, never()).save(delivered);
assertEquals("DELIVERED", shipped.getStatus());
verify(orderRepository).save(shipped);</t>
  </si>
  <si>
    <t>OrderPricingHelperBugCheck.java</t>
  </si>
  <si>
    <t>assertAll(
() -&gt; assertEquals(0, new BigDecimal("1100000").compareTo(p.getFinalAmount()),
() -&gt; assertEquals(0, new BigDecimal("30000").compareTo(p.getShippingDiscount()),
() -&gt; assertEquals(0, new BigDecimal("30000").compareTo(p.getTotalDiscount()),</t>
  </si>
  <si>
    <t>OrderServiceImplBugCheck.java</t>
  </si>
  <si>
    <t>assertThrows(InvalidOrderStateException.class, () -&gt; orderService.updateDeliveryStatusByAdmin(60L, "DELIVERED"));
assertEquals("PENDING", pending.getStatus());</t>
  </si>
  <si>
    <t>pm.test('HTTP status ∈ ' + __exp.join('/'), () =&gt; pm.expect(__exp).to.include(pm.response.code));
pm.test('Giỏ có 1 dòng', () =&gt; pm.expect(j.data.items.length).to.eql(1));</t>
  </si>
  <si>
    <t>pm.test('HTTP status ∈ ' + __exp.join('/'), () =&gt; pm.expect(__exp).to.include(pm.response.code));
pm.test('code = OUT_OF_STOCK', () =&gt; pm.expect(j.code).to.eql('OUT_OF_STOCK'));</t>
  </si>
  <si>
    <t>pm.test('HTTP status ∈ ' + __exp.join('/'), () =&gt; pm.expect(__exp).to.include(pm.response.code));
pm.test('quantity = 2, subtotal = unitPrice × 2', () =&gt; { const it = j.data.items[0]; pm.expect(it.quantity).to.eql(2); pm.expect(Number(it.subtotal)).to.eql(Number(it.unitPrice) * 2); });</t>
  </si>
  <si>
    <t>pm.test('HTTP status ∈ ' + __exp.join('/'), () =&gt; pm.expect(__exp).to.include(pm.response.code));
pm.test('Giỏ rỗng', () =&gt; pm.expect(j.data.items.length).to.eql(0));</t>
  </si>
  <si>
    <t>pm.test('HTTP status ∈ ' + __exp.join('/'), () =&gt; pm.expect(__exp).to.include(pm.response.code));
pm.test('shippingFee = 30000', () =&gt; pm.expect(Number(j.data.shippingFee)).to.eql(30000));
pm.test('VAT = 10% × (subtotal − giảm giá)', () =&gt; { const d = j.data; const base = Number(d.subtotal) - Number(d.productDiscount || 0) - Number(d.pointDiscount || 0); pm.expect(Math.abs(Number(d.vatAmount) - Math.round(base * 0.1))).to.be.at.most(1); });</t>
  </si>
  <si>
    <t>pm.test('HTTP status ∈ ' + __exp.join('/'), () =&gt; pm.expect(__exp).to.include(pm.response.code));
pm.test('Trạng thái ban đầu PENDING', () =&gt; pm.expect(j.data.status).to.eql('PENDING'));</t>
  </si>
  <si>
    <t>pm.test('HTTP status ∈ ' + __exp.join('/'), () =&gt; pm.expect(__exp).to.include(pm.response.code));
pm.test('Trả lại đúng đơn A', () =&gt; pm.expect(j.data.id).to.eql(Number(pm.environment.get('ordA'))));</t>
  </si>
  <si>
    <t>pm.test('HTTP status ∈ ' + __exp.join('/'), () =&gt; pm.expect(__exp).to.include(pm.response.code));
pm.test('status = AWAITING_PAYMENT', () =&gt; pm.expect(j.data.status).to.eql('AWAITING_PAYMENT'));</t>
  </si>
  <si>
    <t>pm.test('HTTP status ∈ ' + __exp.join('/'), () =&gt; pm.expect(__exp).to.include(pm.response.code));
pm.test('Có đơn A', () =&gt; pm.expect(j.data.map(o =&gt; o.id)).to.include(Number(pm.environment.get('ordA'))));
pm.test('Chỉ đơn của mình', () =&gt; pm.expect(new Set(j.data.map(o =&gt; o.userId)).size).to.be.at.most(1));</t>
  </si>
  <si>
    <t>pm.test('HTTP status ∈ ' + __exp.join('/'), () =&gt; pm.expect(__exp).to.include(pm.response.code));
pm.test('shippingFee server tính = 30000', () =&gt; pm.expect(Number(j.data.shippingFee)).to.eql(30000));</t>
  </si>
  <si>
    <t>pm.test('HTTP status ∈ ' + __exp.join('/'), () =&gt; pm.expect(__exp).to.include(pm.response.code));
pm.test('status = CANCELLED', () =&gt; pm.expect(j.data.status).to.eql('CANCELLED'));</t>
  </si>
  <si>
    <t>pm.test('HTTP status ∈ ' + __exp.join('/'), () =&gt; pm.expect(__exp).to.include(pm.response.code));
pm.test('code = INVALID_STATE', () =&gt; pm.expect(j.code).to.eql('INVALID_STATE'));</t>
  </si>
  <si>
    <t>pm.test('HTTP status ∈ ' + __exp.join('/'), () =&gt; pm.expect(__exp).to.include(pm.response.code));
pm.test('SHIPPED + MOCK-GHTK', () =&gt; { pm.expect(j.data.status).to.eql('SHIPPED'); pm.expect(j.data.trackingCode).to.include('MOCK-GHTK'); });</t>
  </si>
  <si>
    <t>pm.test('HTTP status ∈ ' + __exp.join('/'), () =&gt; pm.expect(__exp).to.include(pm.response.code));
pm.test('status = DELIVERED', () =&gt; pm.expect(j.data.status).to.eql('DELIVERED'));</t>
  </si>
  <si>
    <t>pm.test('HTTP status ∈ ' + __exp.join('/'), () =&gt; pm.expect(__exp).to.include(pm.response.code));
pm.test('status = SUCCESS', () =&gt; pm.expect(j.data.status).to.eql('SUCCESS'));</t>
  </si>
  <si>
    <t>pm.test('HTTP status ∈ ' + __exp.join('/'), () =&gt; pm.expect(__exp).to.include(pm.response.code));
pm.test('Có đơn B', () =&gt; pm.expect(j.data.map(w =&gt; w.orderId)).to.include(Number(pm.environment.get('ordB'))));</t>
  </si>
  <si>
    <t>ui/PH3.spec.ts</t>
  </si>
  <si>
    <t>KIỂM THỬ HIỆU NĂNG - PHÂN HỆ GIỎ HÀNG &amp; ĐƠN HÀNG</t>
  </si>
  <si>
    <t>http://localhost:8082 (order-service)</t>
  </si>
  <si>
    <t>Load Test: GET /api/v1/cart, GET /api/v1/orders</t>
  </si>
  <si>
    <t>Stress Test: GET /api/v1/orders/warranty/me</t>
  </si>
  <si>
    <t>POST /api/v1/orders/checkout</t>
  </si>
  <si>
    <t>Tạo đơn thật, trừ kho và kích hoạt Saga – không chạy tải trên dữ liệu dùng chung.</t>
  </si>
  <si>
    <t>POST /api/v1/orders/{id}/cancel</t>
  </si>
  <si>
    <t>Thay đổi trạng thái đơn.</t>
  </si>
  <si>
    <t>GET /api/v1/cart (giỏ hàng)</t>
  </si>
  <si>
    <t>GET /api/v1/orders (danh sách đơn của tôi)</t>
  </si>
  <si>
    <t>GET /api/v1/orders/warranty/me (bảo hành – tải nặng)</t>
  </si>
  <si>
    <t>35 ca, 6 ca không đạt — chủ yếu sai mã lỗi HTTP / phân quyền / bảo mật (xem sheet API).</t>
  </si>
  <si>
    <t>Line coverage tầng service 44.8%, branch 40.0%. 3 ca BugCheck ghi nhận lỗi.</t>
  </si>
  <si>
    <t>1. API_PH3_006: Từ chối cập nhật số lượng 0 — mong đợi HTTP 400 (quantity ≥ 1); thực tế HTTP 500.
2. API_PH3_014: Khách khác không xem được đơn — mong đợi HTTP 403 Forbidden; thực tế HTTP 500.
3. API_PH3_016: Khách khác không hủy được đơn — mong đợi HTTP 403 Forbidden; đơn không đổi; thực tế HTTP 500.
4. API_PH3_017: Customer không được gọi API giao hàng — mong đợi HTTP 403 Forbidden; thực tế HTTP 500.
5. API_PH3_023: Webhook vận chuyển sai chữ ký bị từ chối — mong đợi HTTP 401 (chữ ký HMAC sai); thực tế HTTP 500.
6. API_PH3_024: Trạng thái giao hàng không hợp lệ trả 400 — mong đợi HTTP 400 (status không hỗ trợ); thực tế HTTP 500.
7. TC_PH3_PRICE_04: OrderPricingHelper.calculate không chặn shippingDiscount theo phí ship: giảm ship 50.000 khi phí ship 30.000 làm thành tiền 1.080.000 (trừ lấn 20.000 vào tiền hàng) và totalDiscount báo 50.000. Hiện promotion-service đã chặn min(shippingFee, cap) nên lỗi tiềm ẩn (chỉ lộ ra nếu promotion trả giá trị lớn hơn), nhưng helper không tự bảo vệ bất biến.
8. TC_PH3_DELIV_03: updateDeliveryStatusByAdmin chỉ so sánh thứ hạng trạng thái (rank tăng là cho phép) nên PENDING/AWAITING_PAYMENT có thể nhảy thẳng sang SHIPPED/DELIVERED, bỏ qua thanh toán và shipOrder (không có mã vận đơn); đơn DELIVERED còn được tính bảo hành/đủ điều kiện đánh giá.
9. TC_PH3_OWNER_03: GlobalExceptionHandler @ExceptionHandler(Exception.class) bắt AccessDeniedException -&gt; xem/hủy đơn của người khác, CUSTOMER gọi /ship hoặc /delivery-status nhận HTTP 500 thay vì 403 (Finding F2).
10. UI_PH3_FR02_005: Màn hình đặt hàng thành công hiển thị đúng địa chỉ nhận hàng — Người nhận hiển thị đúng nhưng dòng "Địa chỉ nhận hàng" để trống, dù đơn trên server lưu "Số 20 Đường Kiểm Thử, Phường An Bình, Thành phố Cần Thơ". Màn hình dùng state shippingAddress, vốn rỗng khi nhập địa chỉ mới. Bằng chứng: Đơn B #1327; shippingAddress lưu trên server: "Số 20 Đường Kiểm Thử, Phường An Bình, Thành phố Cần Thơ"; màn hình thành công hiển thị: ""
11. UI_PH3_FR03_002: Chi tiết đơn hàng COD và dòng thời gian — Dòng thời gian, sản phẩm, SĐT 0987654321, địa chỉ, ghi chú và "Thanh toán khi nhận hàng" hiển thị đúng, nhưng "Người nhận hàng" là "hai Thanh" (tên tài khoản) thay vì "UI Test Khach A" đã nhập ở checkout. Đơn hàng không lưu tên người nhận (OrderResponse không có trường này).
12. UI_PH3_FR03_005: Khách hàng xem đơn của khách khác — Không lộ dữ liệu đơn (đúng), nhưng trang chỉ hiện "Đã có lỗi hệ thống xảy ra. Vui lòng thử lại sau." vì GET /orders/{id} trả HTTP 500 thay vì 403/404 (AccessDeniedException không được map, Finding F2). Bằng chứng: Đơn #12 của qa_cust2; HTTP 500; trang hiển thị: "Đã có lỗi hệ thống xảy ra. Vui lòng thử lại sau."
13. UI_PH3_FR03_006: Mở đơn hàng với mã không hợp lệ — Trang hiện "Đã có lỗi hệ thống xảy ra. Vui lòng thử lại sau." thay vì thông báo không tìm thấy đơn (API trả 500 với id không phải số). Bằng chứng: Trang hiển thị: "Đã có lỗi hệ thống xảy ra. Vui lòng thử lại sau."</t>
  </si>
  <si>
    <t>Ưu điểm:
- Giữ chỗ kho ảo bằng Lua nguyên tử, idempotency checkout bằng Redis SETNX và lưu lại response cũ trong 15 phút.
- Transactional Outbox + Debezium CDC: mọi chuyển trạng thái có phát sự kiện đều ghi outbox trong cùng transaction và ném lỗi để rollback nếu ghi outbox thất bại.
- Lời gọi Feign nằm ngoài transaction DB. Có khối bù trừ (CANCELLED + OrderCancelledEvent + release voucher/refund điểm) và bảng compensation_tasks được retry mỗi 5 phút.
- Khóa bi quan trên dòng orders ở mọi chuyển trạng thái; getStatusRank chặn chuyển ngược; webhook vận chuyển có HMAC-SHA256 so sánh thời gian hằng.
- Comment giải thích lý do (BUG FIX/V-xx) nên dễ truy vết quyết định thiết kế.</t>
  </si>
  <si>
    <t>Hạn chế:
- Phần lớn file ngắn và theo cùng một kiểu Spring/Lombok, nhưng file lõi BE/order-service/src/main/java/com/ecommerce/orderservice/service/impl/OrderServiceImpl.java dài 1592 dòng, riêng createOrder chiếm dòng 90-475 với try lồng 3-4 cấp. Hàm getMyWarranty (1417-1502) viết tên kiểu đầy đủ java.util.* ngay trong thân hàm nên rất khó đọc.
- Không file Java nào có header tác giả/ngày/bản quyền, file nào cũng bắt đầu ngay bằng dòng package.
- Hầu hết field không có ghi chú. Chỉ vài chỗ có: internalApiKey (BE/order-service/src/main/java/com/ecommerce/orderservice/service/impl/OrderServiceImpl.java:85-86), Order.status (BE/order-service/src/main/java/com/ecommerce/orderservice/entity/Order.java:29), OrderItem.variantAttr (BE/order-service/src/main/java/com/ecommerce/orderservice/entity/OrderItem.java:36).
- Chỉ 15/63 file Java có Javadoc. Interface BE/order-service/src/main/java/com/ecommerce/orderservice/service/OrderService.java và mọi method public của OrderServiceImpl/CartServiceImpl đều không có Javadoc.
- Một số comment đã cũ: CheckoutRequest.shippingFee ghi 'dùng cho voucher FREESHIP' nhưng server bỏ qua giá trị này (BE/order-service/src/main/java/com/ecommerce/orderservice/dto/request/CheckoutRequest.java:25-26); BE/order-service/src/main/java/com/ecommerce/orderservice/grpc/ProductGrpcClient.java:32 ghi addItemToCart có gọi getPriceInfo nhưng thực tế không gọi; BE/order-service/src/main/java/com/ecommerce/orderservice/service/impl/OrderServiceImpl.java:904 ghi 'below' trong khi đoạn được nhắc nằm phía trên (881).
- Giá trị ApiResponse trả về từ Feign bị bỏ qua: releaseVoucherForOrder (BE/order-service/src/main/java/com/ecommerce/orderservice/service/impl/OrderServiceImpl.java:1292-1293), refundPoints (1266-1268), redeemVoucher (1402). retryCompensationTask đánh COMPLETED mà không kiểm tra code của response (1337-1358).</t>
  </si>
  <si>
    <t>Phân hệ Giỏ hàng &amp; đơn hàng đáp ứng các luồng nghiệp vụ chính khi kiểm thử trên môi trường local; các lỗi phát hiện tập trung ở xử lý ngoại lệ (mã lỗi HTTP), phân quyền chi tiết và một số điểm bảo mật/độ bền đã liệt kê ở mục 2. Cần sửa các lỗi mức Cao trước khi triển khai.</t>
  </si>
  <si>
    <t>4 UC (Import Goods, Manage Inventory, Reserve Stock, Release Stock); 0 kịch bản chi tiết trong Chương II; ~485 dòng tài liệu dịch vụ</t>
  </si>
  <si>
    <t>docs/services/04_INVENTORY_SERVICE.md; docs/DETAILED_ORDER_FLOW.md (giai đoạn 2, 4, mục III.1, III.3); CHUONG_I_DAC_TA.md mục 1 (dòng 14-15, 29, 44-46, 53-54), Bước 2 (Nhân viên kho), mục 3.1 (Import Goods, Manage Inventory), 3.5 (Reserve Stock), 3.6 (Release Stock); CHUONG_II_PHA_PHAN_TICH.md mục 2.e; đối chiếu RA_SOAT_BAO_CAO_VS_CODE.md (A7, B7, B19, C27, D5)</t>
  </si>
  <si>
    <t>File Markdown tự do, không có mã hiệu, quy trình phê duyệt hay phân phối; chỉ có banner 'rà soát 2026-10-11' ở đầu docs/services/04_INVENTORY_SERVICE.md.</t>
  </si>
  <si>
    <t>Không dùng mẫu SRS chuẩn; tài liệu chia mục I–X theo kiểu tài liệu thiết kế kỹ thuật.</t>
  </si>
  <si>
    <t>Không có trang tiêu đề; chỉ có heading '# TÀI LIỆU THIẾT KẾ: INVENTORY SERVICE' và dòng 'Port 8094 (gRPC 9093) | DB | Version 1.0.0'; không có logo, mã dự án, mã hiệu hay ngày ban hành.</t>
  </si>
  <si>
    <t>Markdown không có header/footer chứa tên, phiên bản hay mã template.</t>
  </si>
  <si>
    <t>Không có trang ký người xem xét/người phê duyệt.</t>
  </si>
  <si>
    <t>Không có bảng lịch sử thay đổi; banner docs/services/04_INVENTORY_SERVICE.md dòng 3-10 chỉ liệt kê các điểm lệch so với code.</t>
  </si>
  <si>
    <t>Tài liệu vẫn ghi Version 1.0.0 dù đã được sửa (banner rà soát), nên điều kiện 'phiên bản &gt; v1.0' không áp dụng được.</t>
  </si>
  <si>
    <t>Không có bảng ghi nhận thay đổi nên không đánh giá được.</t>
  </si>
  <si>
    <t>docs/services/04_INVENTORY_SERVICE.md không có mục mục đích tài liệu; mục 1.1 chỉ mô tả nghiệp vụ service.</t>
  </si>
  <si>
    <t>docs/services/04_INVENTORY_SERVICE.md mục 1.1 có bảng 6 nhóm chức năng (quản lý tồn kho, deduct, release, flash sale, đồng bộ Redis, idempotent consumer); CHUONG_I_DAC_TA.md Bước 2 mô tả phạm vi Nhân viên kho.</t>
  </si>
  <si>
    <t>CHUONG_I_DAC_TA.md mục 1 có định nghĩa Kho hàng, Lịch sử biến động kho, Phiếu nhập kho, Giữ chỗ/Trừ/Hoàn tồn kho, Nhập/Điều chỉnh kho (dòng 14-15, 29, 44-46, 53-54). Các thuật ngữ kỹ thuật như kho ảo, tombstone, self-healing, drift thì không được định nghĩa.</t>
  </si>
  <si>
    <t>Không có mục Tài liệu tham khảo.</t>
  </si>
  <si>
    <t>Banner docs/services/04_INVENTORY_SERVICE.md ghi 'Thiết kế ban đầu — một số phần KHÔNG khớp với code' và liệt kê các khác biệt (port, đường dẫn API, Redisson không dùng, tham số Kafka).</t>
  </si>
  <si>
    <t>Không có đoạn mô tả cấu trúc tài liệu.</t>
  </si>
  <si>
    <t>Mục 1.2 có kịch bản Flash Sale (10.000 người tranh 10 sản phẩm), mục 2.3 có sơ đồ tuần tự trừ kho; docs/DETAILED_ORDER_FLOW.md giai đoạn 2 và 4 mô tả ngữ cảnh trừ/hoàn kho.</t>
  </si>
  <si>
    <t>Mục 1.1 liệt kê chức năng; mục VI liệt kê endpoint public và admin.</t>
  </si>
  <si>
    <t>Đây là câu dẫn; đánh giá chi tiết nằm ở A38–A39.</t>
  </si>
  <si>
    <t>Phân nhóm hợp lý theo vai trò nghiệp vụ (quản lý kho / trừ / hoàn / đồng bộ) và theo loại API (public, admin).</t>
  </si>
  <si>
    <t>Mục 2.2 bước 3, sơ đồ 2.3 và mục 3.2 ghi 'SET đè Redis sau mọi thao tác', trong khi code cố ý không ghi đè và dùng INCRBY tương đối (InventoryDeductService.java:127-128, 257-279). Sơ đồ 2.3 nhắc 'InventoryFailedEvent' nhưng code dùng InventoryDeductedEvent status=FAILED. Response ở 6.1 có redisStock và không có ApiResponse wrapper. CHUONG_I_DAC_TA.md mô tả Import Goods có ký nhận/phê duyệt, nhưng code ghi COMPLETED ngay (RA_SOAT B19, C27).</t>
  </si>
  <si>
    <t>Mục 6.2 ghi 'Cần ROLE_ADMIN hoặc ROLE_STAFF'; CHUONG_I_DAC_TA.md 3.1 gắn Import Goods/Manage Inventory cho nhân viên kho.</t>
  </si>
  <si>
    <t>CHUONG_I_DAC_TA.md Bước 2 mô tả vai trò Nhân viên kho. Tuy nhiên code không có role kho riêng, chỉ có ADMIN/STAFF (SecurityConfig.java:29).</t>
  </si>
  <si>
    <t>Có sơ đồ tuần tự 2.3 và ERD mục VIII; docs/DETAILED_ORDER_FLOW.md có sơ đồ tổng thể.</t>
  </si>
  <si>
    <t>Không mô tả đặc điểm người dùng (nhân viên kho/admin).</t>
  </si>
  <si>
    <t>Có nêu ràng buộc: MariaDB 10.11, port 8094/9093, quantity ≥ 0 (CHECK), unique (product_id, variant_id), key Redis không có TTL.</t>
  </si>
  <si>
    <t>Không có mục giả thiết/phụ thuộc. Tài liệu không nhắc việc phụ thuộc product-service (Feign /api/internal/products/bulk để validate, InventoryService.java:318-362) và chỉ nhắc phụ thuộc order-service qua Kafka.</t>
  </si>
  <si>
    <t>Yêu cầu không có mã định danh duy nhất.</t>
  </si>
  <si>
    <t>Không thống nhất: docs/services/04_INVENTORY_SERVICE.md mục 3.2 ghi ghi đè tuyệt đối sau mọi thao tác; docs/DETAILED_ORDER_FLOW.md III.3 ghi đồng bộ sau commit; docs/DETAILED_ORDER_FLOW.md dòng 439 ghi 'RELEASE … rồi ghi đè lại Redis', trong khi code dùng INCRBY tương đối. Mục 1.1 coi Flash Sale là chức năng, nhưng docs/services/03_CART_ORDER_SERVICE.md mục XI lại xếp Flash Sale vào cải tiến tương lai.</t>
  </si>
  <si>
    <t>Chỉ bảng 'Điểm cải tiến tương lai' (mục X) có cột ưu tiên.</t>
  </si>
  <si>
    <t>Không có mã yêu cầu; UC Import Goods/Manage Inventory không có mã.</t>
  </si>
  <si>
    <t>Banner dẫn chiếu mục 4.3 đúng, nhưng link biểu đồ UC tổng quan trong CHUONG_I_DAC_TA.md mục 3.1 trỏ tới đường dẫn máy cá nhân file:///d:/Downloads/…</t>
  </si>
  <si>
    <t>Không có tiêu chí nghiệm thu.</t>
  </si>
  <si>
    <t>Thiếu: quy tắc validate product/variant qua product-service; ngữ nghĩa của PUT cập nhật (đặt giá trị tuyệt đối, Redis cập nhật theo delta); ngưỡng low-stock mặc định 10; đặc tả gRPC GetInventory/GetBatchInventory (chỉ có trong banner).</t>
  </si>
  <si>
    <t>Các chức năng thiếu (gRPC, validate qua product-service, tombstone) chỉ được nhắc trong banner, không được đánh dấu TBD tại chỗ.</t>
  </si>
  <si>
    <t>Chỉ có số liệu minh họa ('10.000+ người', '&lt; 1ms', 'giảm 99.9% tải'), không có chỉ tiêu đo kèm ngưỡng chấp nhận.</t>
  </si>
  <si>
    <t>Các yêu cầu chính (trừ/hoàn/nhập kho, đồng bộ Redis) nằm trong phạm vi; Multi-warehouse và Forecast được xếp vào cải tiến tương lai.</t>
  </si>
  <si>
    <t>Phần lớn là giải pháp (SQL DDL, đoạn Java, cấu hình YAML, bảng so sánh concurrency ở mục VII).</t>
  </si>
  <si>
    <t>Sơ đồ 2.3 có nhánh quantity &lt; requested → ROLLBACK + phát sự kiện thất bại; nhánh message trùng → phát lại sự kiện; banner mô tả tombstone khi Cancelled đến trước.</t>
  </si>
  <si>
    <t>Có schema DB, Redis key, Kafka schema và API đủ để thiết kế (một phần đã cũ nhưng có ghi chú).</t>
  </si>
  <si>
    <t>Các yêu cầu đều đã được hiện thực trong inventory-service với ràng buộc MariaDB/Redis/Kafka.</t>
  </si>
  <si>
    <t>Thuật toán trừ kho 2 lớp (Redis + SELECT FOR UPDATE), idempotency theo order_id, và sync phân trang + pipelining (mục 3.2) đều được mô tả.</t>
  </si>
  <si>
    <t>API, schema event và sơ đồ đủ để viết test/demo.</t>
  </si>
  <si>
    <t>Không có danh mục thông báo lỗi; câu lỗi thật 'Insufficient stock for product %d: requested=%d, available=%d' (InsufficientStockException.java:10) không được đặc tả.</t>
  </si>
  <si>
    <t>docs/services/04_INVENTORY_SERVICE.md không truy vết về UC Import Goods/Manage Inventory/Reserve Stock/Release Stock, và CHUONG_II_PHA_PHAN_TICH.md không có kịch bản nào cho phân hệ kho.</t>
  </si>
  <si>
    <t>Mục 6.2 có nêu quyền admin. Mục 6.1 gọi /api/v1/inventories/** là 'Internal Endpoints' nhưng code lại permitAll công khai (SecurityConfig.java:28), dễ gây hiểu nhầm.</t>
  </si>
  <si>
    <t>Loại bảo mật: phân quyền theo vai trò dựa trên JWT Keycloak cho API admin. Không nhắc API key nội bộ khi gọi product-service hay việc bảo vệ cổng gRPC 9093.</t>
  </si>
  <si>
    <t>Không có yêu cầu sao lưu; inventory_daily_snapshots phục vụ AI dự báo chứ không phải backup.</t>
  </si>
  <si>
    <t>Không có yêu cầu usability cho màn hình quản trị kho.</t>
  </si>
  <si>
    <t>Có mô tả cơ chế self-healing và idempotent consumer nhưng không có chỉ tiêu ổn định.</t>
  </si>
  <si>
    <t>Không có chỉ tiêu hiệu năng đo được (chỉ có '&lt; 1ms' định tính).</t>
  </si>
  <si>
    <t>Chỉ có kịch bản minh họa 10.000 người / 10 sản phẩm; không nêu lưu lượng giao dịch hay số lượng SKU.</t>
  </si>
  <si>
    <t>Không có yêu cầu về hỗ trợ/bảo trì.</t>
  </si>
  <si>
    <t>Có nêu MariaDB, Redis, Kafka (mục 4.3, đã cũ), Docker (mục IX) và so sánh phương pháp concurrency (mục VII).</t>
  </si>
  <si>
    <t>Đây là câu dẫn; giao tiếp được mô tả ở mục IV (Kafka) và VI (API).</t>
  </si>
  <si>
    <t>Không có đặc tả giao diện quản trị kho trong docs/services/04_INVENTORY_SERVICE.md hay CHUONG_II_PHA_PHAN_TICH.md.</t>
  </si>
  <si>
    <t>Không có giao tiếp phần cứng.</t>
  </si>
  <si>
    <t>inventory-service không giao tiếp với hệ thống ngoài; mọi giao tiếp đều là nội bộ.</t>
  </si>
  <si>
    <t>Mục 4.1–4.2 có topic order-events/inventory-events và schema; gRPC chỉ có trong banner. Schema OrderCancelledEvent thiếu items, trong khi code dùng items để hoàn kho ảo (InventoryDeductService.java:176-180).</t>
  </si>
  <si>
    <t>Giao thức: REST/HTTP, Kafka JSON, gRPC plaintext 9093 (trong banner).</t>
  </si>
  <si>
    <t>Không có yêu cầu về tài liệu người dùng.</t>
  </si>
  <si>
    <t>Dùng Redis, Kafka, MariaDB; Redisson được khai báo nhưng không dùng.</t>
  </si>
  <si>
    <t>Thành phần ngoài chỉ được nêu tên, không có phiên bản (trừ MariaDB 10.11) hay giấy phép.</t>
  </si>
  <si>
    <t>Không có yêu cầu pháp lý/bản quyền.</t>
  </si>
  <si>
    <t>Không khai báo áp dụng tiêu chuẩn ngoài nào.</t>
  </si>
  <si>
    <t>Điểm mạnh: phân tích rõ bài toán oversell và lý do chọn kiến trúc 2 lớp (Redis + SELECT FOR UPDATE); có schema DB, Redis key, schema sự kiện, sơ đồ tuần tự; banner rà soát đã liệt kê phần lớn các điểm lệch (port, đường dẫn API, Lua, tombstone, lịch sync 02:00).
Điểm yếu: không phải SRS (không có mã yêu cầu, ưu tiên, nghiệm thu, NFR định lượng); thiếu kiểm soát tài liệu. Thân tài liệu vẫn mô tả 'SET đè Redis sau mọi thao tác', mâu thuẫn với code và với banner. Không có kịch bản chi tiết cho UC kho trong Chương II; nhập kho có phê duyệt và vai trò Nhân viên kho không tồn tại trong code.</t>
  </si>
  <si>
    <t>1. Thêm trang tiêu đề, bảng lịch sử thay đổi và nâng Version; đổi tên mục 6.1 'Internal Endpoints' thành public cho đúng cấu hình bảo mật.
2. Sửa thân tài liệu (mục 2.2, 2.3, 3.2) theo cơ chế thật: không ghi đè Redis khi DEDUCT, RELEASE dùng INCRBY sau commit, InventoryDeductedEvent status=FAILED; bổ sung items vào schema OrderCancelledEvent.
3. Bổ sung đặc tả gRPC GetInventory/GetBatchInventory, phụ thuộc product-service khi validate, ngữ nghĩa PUT (đặt tuyệt đối) và loại giao dịch CANCEL_RECEIVED.
4. Viết kịch bản Chương II cho Import Goods/Manage Inventory theo đúng code (phiếu COMPLETED ngay, không có duyệt), hoặc ghi rõ đây là phạm vi tương lai.
5. Lập danh sách FR-INV-xx có ưu tiên và tiêu chí nghiệm thu; thêm NFR định lượng (thời gian xử lý OrderCreatedEvent, độ lệch Redis–DB tối đa, số SKU).</t>
  </si>
  <si>
    <t>inventory-service (BE/inventory-service/src/main/java/com/ecommerce/inventoryservice/) — trừ/hoàn kho qua Kafka, quản trị kho, gRPC tồn kho, đồng bộ Redis</t>
  </si>
  <si>
    <t>Đã đọc 28/38 file (≈2.160 LOC): InventoryService, InventoryDeductService, Kafka consumer/producer, InventorySyncScheduler, InventoryGrpcServerService, 2 controller, 4 entity, 2 repository, 2 DTO request, 3 event, KafkaConfig, SecurityConfig, InternalApiKeyFilter, RedisConfig, RedisLuaScripts, FeignClientConfig, ProductClient, GlobalExceptionHandler, InsufficientStockException, application.yml</t>
  </si>
  <si>
    <t>Các file ngắn (file dài nhất là InventoryService 363 dòng), luồng xử lý chia bước rõ bằng comment 'Step 1..4' (BE/inventory-service/src/main/java/com/ecommerce/inventoryservice/service/InventoryDeductService.java:45-87). Có code thừa: method syncToRedis không được gọi (BE/inventory-service/src/main/java/com/ecommerce/inventoryservice/service/InventoryDeductService.java:247-255) và getBatchInventoryByVariants không có nơi dùng (BE/inventory-service/src/main/java/com/ecommerce/inventoryservice/service/InventoryService.java:74-86).</t>
  </si>
  <si>
    <t>Theo quy ước Java/Spring và phân tầng controller/service/repository/kafka/grpc. Loại giao dịch là String literal ('DEDUCT', 'RELEASE', 'CANCEL_RECEIVED') thay cho enum (BE/inventory-service/src/main/java/com/ecommerce/inventoryservice/service/InventoryDeductService.java:47, 118, 166).</t>
  </si>
  <si>
    <t>Tên rõ nghĩa: currentQuantity, newQuantity, sortedItems, lockAcquired (BE/inventory-service/src/main/java/com/ecommerce/inventoryservice/service/InventoryDeductService.java:65, 101-109; BE/inventory-service/src/main/java/com/ecommerce/inventoryservice/kafka/consumer/InventoryKafkaConsumer.java:48).</t>
  </si>
  <si>
    <t>Thụt 4 dấu cách thống nhất. Còn vài dòng chỉ chứa khoảng trắng thừa (BE/inventory-service/src/main/java/com/ecommerce/inventoryservice/service/InventoryDeductService.java:153, 260).</t>
  </si>
  <si>
    <t>Dùng kiểu K&amp;R thống nhất và mọi khối if/for đều có ngoặc nhọn.</t>
  </si>
  <si>
    <t>Không có header tác giả/ngày/bản quyền ở bất kỳ file nào.</t>
  </si>
  <si>
    <t>Chỉ có vài ghi chú: transactionType và referenceId (BE/inventory-service/src/main/java/com/ecommerce/inventoryservice/entity/InventoryTransaction.java:31, 41), stockLevel (BE/inventory-service/src/main/java/com/ecommerce/inventoryservice/entity/InventoryDailySnapshot.java:28, viết sai thành 'sả phẩm'). Các field còn lại không có ghi chú.</t>
  </si>
  <si>
    <t>quantity khai báo Integer kèm nullable=false và giá trị mặc định 0 (BE/inventory-service/src/main/java/com/ecommerce/inventoryservice/entity/Inventory.java:29-31). Còn magic number: pageSize 1000 lặp lại (BE/inventory-service/src/main/java/com/ecommerce/inventoryservice/service/InventoryService.java:237; scheduler/InventorySyncScheduler.java:74), 50 lần × 100 ms và TTL 10 s của khóa (BE/inventory-service/src/main/java/com/ecommerce/inventoryservice/kafka/consumer/InventoryKafkaConsumer.java:51-58).</t>
  </si>
  <si>
    <t>Chỉ 3/38 file có Javadoc (RedisLuaScripts, InventoryGrpcServerService…). Các method public của InventoryService và InventoryDeductService đều không có Javadoc.</t>
  </si>
  <si>
    <t>Có giải thích việc sắp xếp item để tránh deadlock (BE/inventory-service/src/main/java/com/ecommerce/inventoryservice/service/InventoryDeductService.java:64, 184), V-13 dùng Lua thay cho check-then-increment (261-263), và lý do đồng bộ Redis sau commit (BE/inventory-service/src/main/java/com/ecommerce/inventoryservice/service/InventoryService.java:111-115).</t>
  </si>
  <si>
    <t>Không có code bị comment-out. Tuy nhiên method chết syncToRedis (BE/inventory-service/src/main/java/com/ecommerce/inventoryservice/service/InventoryDeductService.java:247-255) bị để lại mà không có ghi chú giải thích.</t>
  </si>
  <si>
    <t>Comment ở BE/inventory-service/src/main/java/com/ecommerce/inventoryservice/entity/InventoryTransaction.java:31 liệt kê 'DEDUCT, RELEASE, RESTOCK' nhưng code còn ghi CANCEL_RECEIVED (BE/inventory-service/src/main/java/com/ecommerce/inventoryservice/service/InventoryDeductService.java:166). Javadoc ở BE/inventory-service/src/main/java/com/ecommerce/inventoryservice/grpc/InventoryGrpcServerService.java:19 ghi 'Replaces' REST endpoint trong khi InventoryController vẫn mở các endpoint đó.</t>
  </si>
  <si>
    <t>Comment ngắn và đúng với hành vi, ví dụ không ghi đè Redis sau khi DEDUCT để tránh lost update (BE/inventory-service/src/main/java/com/ecommerce/inventoryservice/service/InventoryDeductService.java:127-128). Ngôn ngữ comment trộn Việt và Anh.</t>
  </si>
  <si>
    <t>Comment chủ yếu nêu lý do: V-14 chạy sync lúc 02:00 để không ghi đè kho ảo khi Kafka đang trễ (BE/inventory-service/src/main/java/com/ecommerce/inventoryservice/scheduler/InventorySyncScheduler.java:34-35); dùng afterCommit để Redis không lệch khi commit thất bại (BE/inventory-service/src/main/java/com/ecommerce/inventoryservice/service/InventoryService.java:111-115).</t>
  </si>
  <si>
    <t>Tên method mô tả đúng hành vi: processOrderCreated, releaseInventory, syncRedisFromDatabase. Gây hiểu nhầm: InventoryDeductedEvent dùng cho cả kết quả FAILED; updateInventory ghi log loại RESTOCK kể cả khi giảm kho (BE/inventory-service/src/main/java/com/ecommerce/inventoryservice/service/InventoryService.java:107-109).</t>
  </si>
  <si>
    <t>Kết quả Lua có kiểm tra null/-1 (BE/inventory-service/src/main/java/com/ecommerce/inventoryservice/service/InventoryDeductService.java:270-275; BE/inventory-service/src/main/java/com/ecommerce/inventoryservice/service/InventoryService.java:283), setIfAbsent có kiểm tra (BE/inventory-service/src/main/java/com/ecommerce/inventoryservice/kafka/consumer/InventoryKafkaConsumer.java:52-55), response Feign có kiểm tra code (BE/inventory-service/src/main/java/com/ecommerce/inventoryservice/service/InventoryService.java:329-336). Ngoại lệ: Kafka send lỗi chỉ ghi log (BE/inventory-service/src/main/java/com/ecommerce/inventoryservice/kafka/producer/InventoryKafkaProducer.java:37-40).</t>
  </si>
  <si>
    <t>Consumer phân biệt lỗi nghiệp vụ với lỗi hệ thống và có DLT (BE/inventory-service/src/main/java/com/ecommerce/inventoryservice/kafka/consumer/InventoryKafkaConsumer.java:91-114; config/KafkaConfig.java:28-49). Nhưng findByOrderIdAndTransactionType trả Optional (BE/inventory-service/src/main/java/com/ecommerce/inventoryservice/repository/InventoryTransactionRepository.java:19) sẽ ném IncorrectResultSizeDataAccessException khi đơn nhiều sản phẩm có nhiều dòng DEDUCT/RELEASE và bị gửi trùng (BE/inventory-service/src/main/java/com/ecommerce/inventoryservice/service/InventoryDeductService.java:46-47, 139-140). releaseInventory ném RuntimeException trần (207-209).</t>
  </si>
  <si>
    <t>Ở nhánh hết hàng, message được parse lại mà không xử lý trường hợp payload là chuỗi JSON lồng (BE/inventory-service/src/main/java/com/ecommerce/inventoryservice/kafka/consumer/InventoryKafkaConsumer.java:100-101, khác với dòng 33-35). Khi chạy bằng BE/docker-compose-infra.yml (thiếu expand.json.payload), sự kiện FAILED không được gửi nhưng offset vẫn bị ack, nên đơn treo PENDING tới khi bị hủy sau 30 phút. Sự kiện CONFIRMED gửi sau commit mà không có outbox.</t>
  </si>
  <si>
    <t>Sync Redis và snapshot đều phân trang 1000 bản ghi để tránh OOM (BE/inventory-service/src/main/java/com/ecommerce/inventoryservice/service/InventoryService.java:237-263; scheduler/InventorySyncScheduler.java:74-108). Ngoại lệ: findLowStock trả toàn bộ list không phân trang (BE/inventory-service/src/main/java/com/ecommerce/inventoryservice/repository/InventoryRepository.java:27-28).</t>
  </si>
  <si>
    <t>Connection do Spring quản lý; khóa Redis được xóa trong finally (BE/inventory-service/src/main/java/com/ecommerce/inventoryservice/kafka/consumer/InventoryKafkaConsumer.java:115-122). Điểm trừ: lời gọi Feign validateProductAndVariant nằm trong @Transactional (BE/inventory-service/src/main/java/com/ecommerce/inventoryservice/service/InventoryService.java:88-93, 136-141) và không có timeout, nên giữ connection DB trong lúc chờ product-service.</t>
  </si>
  <si>
    <t>lockKey được gán trước khi thử giành khóa (BE/inventory-service/src/main/java/com/ecommerce/inventoryservice/kafka/consumer/InventoryKafkaConsumer.java:47), còn finally luôn chạy DEL (115-122). Vì vậy instance không giành được khóa, hoặc instance xử lý quá TTL 10 s, sẽ xóa khóa đang thuộc về instance khác.</t>
  </si>
  <si>
    <t>Tồn kho được đổi dưới SELECT … FOR UPDATE (BE/inventory-service/src/main/java/com/ecommerce/inventoryservice/repository/InventoryRepository.java:23-25), kho ảo đổi bằng Lua INCRBY nguyên tử (BE/inventory-service/src/main/java/com/ecommerce/inventoryservice/config/RedisLuaScripts.java:23-34). Service không giữ trạng thái.</t>
  </si>
  <si>
    <t>Khóa Redis theo orderId tuần tự hóa việc xử lý Created/Cancelled của cùng một đơn (BE/inventory-service/src/main/java/com/ecommerce/inventoryservice/kafka/consumer/InventoryKafkaConsumer.java:47-68), nhưng khóa không kiểm tra chủ (xem câu giải phóng &gt; 1 lần).</t>
  </si>
  <si>
    <t>Item được sắp theo (productId, variantId) trước khi khóa dòng (BE/inventory-service/src/main/java/com/ecommerce/inventoryservice/service/InventoryDeductService.java:64-69, 184-190), và các khóa được nhả cùng lúc khi commit.</t>
  </si>
  <si>
    <t>Có tranh chấp: thread Kafka listener chờ quay bằng Thread.sleep tối đa 5 s (BE/inventory-service/src/main/java/com/ecommerce/inventoryservice/kafka/consumer/InventoryKafkaConsumer.java:51-63), chặn cả partition. Deadlock DB khó xảy ra nhờ khóa theo thứ tự đã sắp.</t>
  </si>
  <si>
    <t>Vòng giành khóa giới hạn 50 lần (BE/inventory-service/src/main/java/com/ecommerce/inventoryservice/kafka/consumer/InventoryKafkaConsumer.java:51); vòng phân trang dừng theo hasNext() (BE/inventory-service/src/main/java/com/ecommerce/inventoryservice/service/InventoryService.java:263); vòng tìm root cause có chặn trường hợp cause trỏ về chính nó (BE/inventory-service/src/main/java/com/ecommerce/inventoryservice/kafka/consumer/InventoryKafkaConsumer.java:93).</t>
  </si>
  <si>
    <t>Không có vòng lặp vô hạn. Retry của Kafka được giới hạn bởi ExponentialBackOff maxAttempts=3, sau đó chuyển sang DLT.</t>
  </si>
  <si>
    <t>Snapshot dùng Set để tra key thay vì lặp lồng (BE/inventory-service/src/main/java/com/ecommerce/inventoryservice/scheduler/InventorySyncScheduler.java:70-72, 90). Vòng duyệt variant trong validate chỉ có 1 cấp (BE/inventory-service/src/main/java/com/ecommerce/inventoryservice/service/InventoryService.java:344-349).</t>
  </si>
  <si>
    <t>Không thấy sao chép object. Trùng lặp nằm ở code: đoạn map Inventory sang InventoryResponse bị lặp 4 lần (BE/inventory-service/src/main/java/com/ecommerce/inventoryservice/service/InventoryService.java:52-57, 64-71, 78-85, 225-232).</t>
  </si>
  <si>
    <t>show-sql: true bật cho mọi môi trường (BE/inventory-service/src/main/resources/application.yml:23). findAll(pageable) không sort nên phân trang offset không ổn định (BE/inventory-service/src/main/java/com/ecommerce/inventoryservice/service/InventoryService.java:243-244). Tham số size của getTransactions không có giới hạn (BE/inventory-service/src/main/java/com/ecommerce/inventoryservice/controller/AdminInventoryController.java:59-64).</t>
  </si>
  <si>
    <t>Phần nặng đã được tối ưu: Redis pipelining khi sync (BE/inventory-service/src/main/java/com/ecommerce/inventoryservice/service/InventoryService.java:249-259), saveAll theo lô cho snapshot, idempotency tra theo order_id. Cần sửa thêm show-sql, sort phân trang và giới hạn size.</t>
  </si>
  <si>
    <t>DTO có @NotNull/@Min (BE/inventory-service/src/main/java/com/ecommerce/inventoryservice/dto/InventoryUpdateRequest.java:16-18; dto/RestockRequestDto.java:16-18); product/variant được đối chiếu với product-service trước khi ghi (BE/inventory-service/src/main/java/com/ecommerce/inventoryservice/service/InventoryService.java:318-362). Chưa kiểm tra threshold, page/size và độ dài list productIds của /batch.</t>
  </si>
  <si>
    <t>data.get(0) có kiểm tra isEmpty trước (BE/inventory-service/src/main/java/com/ecommerce/inventoryservice/service/InventoryService.java:334-339).</t>
  </si>
  <si>
    <t>Trình biên dịch bắt buộc điều này. Có bean RedissonClient được khai báo mà không dùng (BE/inventory-service/src/main/java/com/ecommerce/inventoryservice/config/RedisConfig.java:34-47).</t>
  </si>
  <si>
    <t>Method dài nhất là consumeOrderEvent khoảng 97 dòng (BE/inventory-service/src/main/java/com/ecommerce/inventoryservice/kafka/consumer/InventoryKafkaConsumer.java:27-124) và processOrderCancelled khoảng 65 dòng (BE/inventory-service/src/main/java/com/ecommerce/inventoryservice/service/InventoryDeductService.java:135-199). Vẫn chấp nhận được, nhưng consumer nên tách thành parse / acquireLock / dispatch.</t>
  </si>
  <si>
    <t>Consumer Kafka có idempotent đúng với đơn nhiều sản phẩm không?</t>
  </si>
  <si>
    <t>Kiểm tra idempotent dùng Optional findByOrderIdAndTransactionType (BE/inventory-service/src/main/java/com/ecommerce/inventoryservice/repository/InventoryTransactionRepository.java:19). Với đơn có từ 2 sản phẩm, message trùng sẽ ném IncorrectResultSizeDataAccessException thay vì bỏ qua, rồi bị retry 3 lần và vào DLT; sự kiện CONFIRMED cũng không được phát lại.</t>
  </si>
  <si>
    <t>Khóa phân tán Redis có kiểm tra chủ sở hữu khi nhả không?</t>
  </si>
  <si>
    <t>Giá trị khóa là hằng 'locked', và lệnh DEL vô điều kiện trong finally (BE/inventory-service/src/main/java/com/ecommerce/inventoryservice/kafka/consumer/InventoryKafkaConsumer.java:52, 115-122). order-service đã có mẫu đúng dùng UUID và kiểm tra trước khi xóa; nên dùng Lua compare-and-delete.</t>
  </si>
  <si>
    <t>Kho ảo Redis có chỉ được cập nhật sau khi DB commit không?</t>
  </si>
  <si>
    <t>Restock/update/release đều dùng afterCommit (BE/inventory-service/src/main/java/com/ecommerce/inventoryservice/service/InventoryService.java:117-126; BE/inventory-service/src/main/java/com/ecommerce/inventoryservice/service/InventoryDeductService.java:232-241). Riêng nhánh tombstone lại INCRBY Redis ngay trong transaction (BE/inventory-service/src/main/java/com/ecommerce/inventoryservice/service/InventoryDeductService.java:175-180). Endpoint sync-redis thủ công ghi đè tuyệt đối giữa giờ cao điểm, mâu thuẫn với lý do V-14 (BE/inventory-service/src/main/java/com/ecommerce/inventoryservice/controller/AdminInventoryController.java:80-86).</t>
  </si>
  <si>
    <t>Các lời gọi liên dịch vụ có timeout không?</t>
  </si>
  <si>
    <t>Feign ProductClient không có cấu hình timeout (BE/inventory-service/src/main/java/com/ecommerce/inventoryservice/client/ProductClient.java; application.yml không có mục feign) và được gọi bên trong transaction (BE/inventory-service/src/main/java/com/ecommerce/inventoryservice/service/InventoryService.java:93, 141).</t>
  </si>
  <si>
    <t>BE/inventory-service/src/test không tồn tại, nên trừ kho, hoàn kho, tombstone và đồng bộ Redis không có test tự động.</t>
  </si>
  <si>
    <t>* Điểm mạnh:
- Trừ kho vật lý bằng SELECT … FOR UPDATE và sắp item theo (productId, variantId) để tránh deadlock; mỗi biến động đều ghi inventory_transactions kèm số lượng trước/sau.
- Có tombstone CANCEL_RECEIVED để xử lý Kafka giao sự kiện sai thứ tự (Cancelled đến trước Created).
- Cập nhật Redis tương đối bằng Lua INCRBY và chạy sau commit (afterCommit) để tránh lost update với kho ảo của order-service.
- Sync Redis và snapshot phân trang 1000 bản ghi, dùng pipelining và saveAll; scheduler có khóa phân tán.
- Phân biệt lỗi nghiệp vụ (hết hàng → phát FAILED và ack) với lỗi hệ thống (ném lại → retry rồi DLT).</t>
  </si>
  <si>
    <t>1. Sửa kiểm tra idempotent: dùng existsByOrderIdAndTransactionType hoặc findFirst… thay cho Optional trên kết quả có thể nhiều dòng (InventoryTransactionRepository.java:19).
2. Khóa consumer: lưu giá trị UUID và nhả bằng Lua compare-and-delete; chỉ nhả khi đã giành được khóa; cân nhắc bỏ spin-wait vì Kafka đã đảm bảo thứ tự theo key orderId.
3. Ở nhánh hết hàng, dùng lại jsonNode đã parse (đã xử lý chuỗi JSON lồng) để lấy orderId; nếu không lấy được thì không ack mà ném lỗi để message vào DLT.
4. Phát InventoryDeductedEvent qua outbox (hoặc ít nhất retry/ghi bảng chờ) thay vì fire-and-forget sau commit.
5. Chuyển INCRBY ở nhánh tombstone sang afterCommit; giới hạn hoặc bỏ endpoint sync-redis thủ công trong giờ cao điểm; thêm Sort.by(id) khi phân trang.
6. Đưa lời gọi Feign validate ra trước transaction và cấu hình timeout; dùng loại giao dịch ADJUST cho updateInventory thay vì RESTOCK với giá trị tuyệt đối.
7. Tắt show-sql, xóa code chết (syncToRedis, getBatchInventoryByVariants, RedissonClient), thêm test cho deduct/release/tombstone.</t>
  </si>
  <si>
    <t>Phân hệ: PH4 – Tồn kho</t>
  </si>
  <si>
    <t>Theo dõi tồn kho &amp; cảnh báo</t>
  </si>
  <si>
    <t>KPI tồn kho, cảnh báo tồn thấp theo ngưỡng, tìm kiếm SKU, lọc trạng thái</t>
  </si>
  <si>
    <t>Nhập kho &amp; điều chỉnh tồn</t>
  </si>
  <si>
    <t>Nhập kho bổ sung (restock), chỉnh số lượng tuyệt đối, kiểm tra dữ liệu nhập</t>
  </si>
  <si>
    <t>Lịch sử giao dịch kho &amp; đồng bộ Redis</t>
  </si>
  <si>
    <t>Lịch sử RESTOCK/DEDUCT/RELEASE, hiển thị ghi chú an toàn, đồng bộ Redis từ DB</t>
  </si>
  <si>
    <t>1. TỔNG QUAN KẾT QUẢ
- Tổng cộng 19 test case được thực hiện, trong đó 15 Pass (78,9%) và 4 Fail (21,1%), không có Pending.
- Phân loại theo nhóm: UI/UX 2, Function 9, Negative 8.
Các chức năng nhập kho, chỉnh tồn, lịch sử giao dịch và đồng bộ Redis chạy đúng với dữ liệu hợp lệ. Lỗi tập trung ở kiểm tra dữ liệu nhập và điều kiện cảnh báo tồn thấp.</t>
  </si>
  <si>
    <t>2. PHÂN TÍCH KẾT QUẢ
Nhóm UI/UX (2 test case): 100% Pass. KPI, biểu đồ, bảng SKU và hộp thoại (tên sản phẩm · SKU, nút đóng) hiển thị đúng.
Nhóm Function (9 test case): 8 Pass, 1 Fail. Với ngưỡng mặc định 10, banner cảnh báo không hiện dù KPI "Sắp hết hàng" báo 1955 SKU có tồn ≤ 10 (UI_PH4_FR01_002). Nhập kho +5, chỉnh tồn tuyệt đối, tìm SKU, lọc "Sắp hết", ngưỡng 20, lịch sử RESTOCK/DEDUCT/RELEASE và đồng bộ Redis đều đạt.
Nhóm Negative (8 test case): 5 Pass, 3 Fail.
- Ngưỡng 1000 không bị giới hạn trong 1–100 (UI_PH4_FR01_004).
- Nhập kho 2.5 vẫn báo thành công, tồn tăng 2 (UI_PH4_FR02_004).
- Để trống ô chỉnh tồn thì tồn kho về 0, kèm thông báo thành công (UI_PH4_FR02_007).
Điểm tích cực: chặn số lượng nhập 0 và âm; backend chặn tồn âm; ghi chú XSS hiển thị dạng text; hủy hộp xác nhận đồng bộ thì không gọi API.</t>
  </si>
  <si>
    <t>3. PHÂN TÍCH NGUYÊN NHÂN GỐC
- inventory-service lọc low-stock với điều kiện "&lt; threshold", trong khi FE (KPI và nội dung banner) dùng "≤ threshold".
- InventoryTab chuyển giá trị ô bằng Number(...) mà không kiểm tra rỗng hay số nguyên: "" thành 0, 2.5 giữ nguyên. Trường quantity kiểu Integer để Jackson tự cắt phần thập phân. Ô ngưỡng chỉ có thuộc tính min/max, không kẹp giá trị trong onChange.</t>
  </si>
  <si>
    <t>4. MỨC ĐỘ NGHIÊM TRỌNG
- Cao (High): để trống ô chỉnh tồn đưa tồn kho về 0 kèm thông báo thành công. Đây là mất dữ liệu tồn, sản phẩm bị coi là hết hàng.
- Trung bình (Medium): cảnh báo tồn thấp bỏ sót toàn bộ SKU có tồn bằng ngưỡng; số lượng thập phân bị cắt mà không báo.
- Thấp (Low): ngưỡng cảnh báo vượt quá 100.</t>
  </si>
  <si>
    <t>FR_01 – Theo dõi tồn kho &amp; cảnh báo</t>
  </si>
  <si>
    <t>UI_PH4_FR01_001</t>
  </si>
  <si>
    <t>Kiểm tra giao diện tab Quản lý tồn kho</t>
  </si>
  <si>
    <t>admin; tab Quản Lý Tồn Kho</t>
  </si>
  <si>
    <t>1. Đăng nhập admin.
2. Mở tab "Quản Lý Tồn Kho".</t>
  </si>
  <si>
    <t>Hiện KPI SKU theo dõi/Tổng tồn kho/Sắp hết hàng/Hết hàng, biểu đồ phân bổ, bảng có cột Tồn kho/Trạng thái/Cập nhật/Thao tác, nút "Đồng bộ Redis từ DB", ngưỡng cảnh báo mặc định 10.</t>
  </si>
  <si>
    <t>UI_PH4_FR01_002</t>
  </si>
  <si>
    <t>Cảnh báo tồn kho thấp theo ngưỡng mặc định</t>
  </si>
  <si>
    <t>Ngưỡng 10; nhiều SKU đang có tồn đúng 10</t>
  </si>
  <si>
    <t>1. Mở tab tồn kho.
2. So sánh KPI "Sắp hết hàng" (tồn ≤ 10) với banner cảnh báo.</t>
  </si>
  <si>
    <t>Banner "Cảnh báo: N SKU tồn kho thấp (≤ 10)" hiển thị, N bằng số SKU có tồn ≤ 10 (bằng KPI "Sắp hết hàng").</t>
  </si>
  <si>
    <t>KPI "Sắp hết hàng" (tồn ≤ 10) là 1955 SKU nhưng banner cảnh báo không hiển thị. API GET /admin/inventories/low-stock?threshold=10 trả 0 SKU, threshold=11 trả 1955: backend lọc "&lt; ngưỡng" trong khi giao diện ghi "≤ ngưỡng". Bằng chứng: KPI "Sắp hết hàng" (tồn ≤ 10) = 1955; API low-stock?threshold=10 trả 0 SKU; banner: (không hiển thị banner)</t>
  </si>
  <si>
    <t>UI_PH4_FR01_003</t>
  </si>
  <si>
    <t>Đổi ngưỡng cảnh báo lên 20</t>
  </si>
  <si>
    <t>Ngưỡng cảnh báo: 20</t>
  </si>
  <si>
    <t>1. Mở tab tồn kho.
2. Nhập 20 vào "Ngưỡng cảnh báo".</t>
  </si>
  <si>
    <t>Gọi lại low-stock?threshold=20; banner hiển thị "(≤ 20)" với số SKU bằng kết quả API.</t>
  </si>
  <si>
    <t>Bằng chứng: Banner: 1955; API: 1955</t>
  </si>
  <si>
    <t>UI_PH4_FR01_004</t>
  </si>
  <si>
    <t>Nhập ngưỡng cảnh báo ngoài khoảng 1–100</t>
  </si>
  <si>
    <t>Ngưỡng: 1000</t>
  </si>
  <si>
    <t>1. Mở tab tồn kho.
2. Nhập 1000 vào "Ngưỡng cảnh báo".</t>
  </si>
  <si>
    <t>Giá trị bị giới hạn trong 1–100 hoặc báo lỗi; không gọi API với ngưỡng ngoài khoảng.</t>
  </si>
  <si>
    <t>Ô nhận giá trị 1000 (thuộc tính max=100 không được áp dụng), FE gọi low-stock?threshold=1000 và banner hiện "Cảnh báo: 1956 SKU tồn kho thấp (≤ 1000)". Bằng chứng: Giá trị ô sau khi nhập: 1000; ngưỡng gửi lên API: 1000; banner: Cảnh báo: 1956 SKU tồn kho thấp (≤ 1000)</t>
  </si>
  <si>
    <t>UI_PH4_FR01_005</t>
  </si>
  <si>
    <t>Tìm kiếm SKU theo tên sản phẩm</t>
  </si>
  <si>
    <t>Từ khóa: Samsung Galaxy S26 Ultra</t>
  </si>
  <si>
    <t>1. Mở tab tồn kho.
2. Nhập tên sản phẩm vào "Tìm sản phẩm theo tên...".</t>
  </si>
  <si>
    <t>Bảng chỉ còn các SKU của sản phẩm, đủ 3 biến thể (SSIC/BALT/BLUE).</t>
  </si>
  <si>
    <t>Bằng chứng: 3 dòng</t>
  </si>
  <si>
    <t>UI_PH4_FR01_006</t>
  </si>
  <si>
    <t>Lọc trạng thái "Sắp hết"</t>
  </si>
  <si>
    <t>Bộ lọc trạng thái: Sắp hết</t>
  </si>
  <si>
    <t>1. Mở tab tồn kho.
2. Chọn "Sắp hết" ở bộ lọc trạng thái.</t>
  </si>
  <si>
    <t>Mọi dòng có trạng thái "Sắp hết".</t>
  </si>
  <si>
    <t>Bằng chứng: 59 dòng sau khi lọc</t>
  </si>
  <si>
    <t>FR_02 – Nhập kho &amp; điều chỉnh tồn</t>
  </si>
  <si>
    <t>UI_PH4_FR02_001</t>
  </si>
  <si>
    <t>Nhập kho bổ sung 5 sản phẩm</t>
  </si>
  <si>
    <t>SKU 3ZX1GQ-BLUE-256GB; SL 5; NCC "NCC Kiểm Thử UI"; ghi chú "UI test PH4 nhập kho"</t>
  </si>
  <si>
    <t>1. Tìm SKU, bấm "Nhập kho".
2. Nhập SL 5, nhà cung cấp, ghi chú.
3. Bấm "Xác nhận nhập kho".</t>
  </si>
  <si>
    <t>Alert "Nhập kho thành công!"; tồn kho tăng đúng 5 (API và bảng).</t>
  </si>
  <si>
    <t>UI_PH4_FR02_002</t>
  </si>
  <si>
    <t>Nhập kho với số lượng 0</t>
  </si>
  <si>
    <t>SL nhập: 0</t>
  </si>
  <si>
    <t>1. Mở hộp thoại "Nhập kho".
2. Nhập 0.
3. Bấm "Xác nhận nhập kho".</t>
  </si>
  <si>
    <t>Alert "Số lượng nhập phải ≥ 1.", không gọi API, tồn không đổi.</t>
  </si>
  <si>
    <t>UI_PH4_FR02_003</t>
  </si>
  <si>
    <t>Nhập kho với số lượng âm</t>
  </si>
  <si>
    <t>SL nhập: -5</t>
  </si>
  <si>
    <t>1. Mở hộp thoại "Nhập kho".
2. Nhập -5.
3. Bấm "Xác nhận nhập kho".</t>
  </si>
  <si>
    <t>UI_PH4_FR02_004</t>
  </si>
  <si>
    <t>Nhập kho với số lượng thập phân</t>
  </si>
  <si>
    <t>SL nhập: 2.5</t>
  </si>
  <si>
    <t>1. Mở hộp thoại "Nhập kho".
2. Nhập 2.5.
3. Bấm "Xác nhận nhập kho".</t>
  </si>
  <si>
    <t>Bị từ chối vì số lượng phải là số nguyên; tồn kho không đổi.</t>
  </si>
  <si>
    <t>FE gửi {"quantity":2.5}, hệ thống báo "Nhập kho thành công!" và tồn tăng từ 15 lên 17 (2.5 bị cắt thành 2). Đã khôi phục tồn kho sau ca. Bằng chứng: Body gửi lên: {"quantity":2.5}; alert: Nhập kho thành công!; tồn trước 15, sau 17</t>
  </si>
  <si>
    <t>UI_PH4_FR02_005</t>
  </si>
  <si>
    <t>Chỉnh tồn về số lượng tuyệt đối</t>
  </si>
  <si>
    <t>SKU 3ZX1GQ-BLUE-256GB; số lượng = giá trị trước khi nhập kho</t>
  </si>
  <si>
    <t>1. Bấm "Chỉnh tồn".
2. Nhập số lượng tuyệt đối.
3. Bấm "Cập nhật tồn".</t>
  </si>
  <si>
    <t>Alert "Cập nhật tồn kho thành công!"; tồn bằng giá trị đã nhập (API và bảng).</t>
  </si>
  <si>
    <t>UI_PH4_FR02_006</t>
  </si>
  <si>
    <t>Chỉnh tồn với số âm</t>
  </si>
  <si>
    <t>Số lượng tuyệt đối: -1</t>
  </si>
  <si>
    <t>1. Bấm "Chỉnh tồn".
2. Nhập -1.
3. Bấm "Cập nhật tồn".</t>
  </si>
  <si>
    <t>Báo lỗi số lượng không được âm, tồn không đổi.</t>
  </si>
  <si>
    <t>Bằng chứng: alert: Lỗi: Validation failed quantity: Quantity cannot be negative; tồn trước 10, sau 10</t>
  </si>
  <si>
    <t>UI_PH4_FR02_007</t>
  </si>
  <si>
    <t>Chỉnh tồn khi để trống ô số lượng</t>
  </si>
  <si>
    <t>Số lượng tuyệt đối: (trống)</t>
  </si>
  <si>
    <t>1. Bấm "Chỉnh tồn".
2. Xóa trống ô số lượng.
3. Bấm "Cập nhật tồn".</t>
  </si>
  <si>
    <t>Bị chặn, yêu cầu nhập số lượng; tồn không đổi.</t>
  </si>
  <si>
    <t>Ô trống được chuyển thành 0 (Number("")), hệ thống báo "Cập nhật tồn kho thành công!" và tồn kho của SKU về 0 (trước đó 10). Đã khôi phục tồn kho sau ca. Bằng chứng: alert: Cập nhật tồn kho thành công!; tồn trước 10, sau 0</t>
  </si>
  <si>
    <t>FR_03 – Lịch sử giao dịch kho &amp; đồng bộ Redis</t>
  </si>
  <si>
    <t>UI_PH4_FR03_001</t>
  </si>
  <si>
    <t>Lịch sử giao dịch có dòng RESTOCK vừa nhập</t>
  </si>
  <si>
    <t>SKU 3ZX1GQ-BLUE-256GB</t>
  </si>
  <si>
    <t>1. Bấm "Lịch sử" ở SKU.
2. Tìm giao dịch có ghi chú "UI test PH4 nhập kho".</t>
  </si>
  <si>
    <t>Có dòng RESTOCK, hiển thị "trước → sau (+5)" và ghi chú.</t>
  </si>
  <si>
    <t>UI_PH4_FR03_002</t>
  </si>
  <si>
    <t>Lịch sử có giao dịch trừ kho và hoàn kho từ đơn hàng</t>
  </si>
  <si>
    <t>SKU 3ZX1GQ-SSIC-256GB (đã có đơn đặt/hủy ở PH3)</t>
  </si>
  <si>
    <t>1. Bấm "Lịch sử" ở SKU biến thể 1.</t>
  </si>
  <si>
    <t>Danh sách có cả DEDUCT (đặt hàng) và RELEASE (hủy đơn).</t>
  </si>
  <si>
    <t>Bằng chứng: Loại giao dịch hiển thị: RESTOCK, DEDUCT, RELEASE</t>
  </si>
  <si>
    <t>UI_PH4_FR03_003</t>
  </si>
  <si>
    <t>Ghi chú nhập kho chứa mã HTML/script hiển thị dạng text (XSS)</t>
  </si>
  <si>
    <t>SL 1; Ghi chú: &lt;img src=x onerror=alert(1)&gt;UI-XSS</t>
  </si>
  <si>
    <t>1. Nhập kho 1 sản phẩm với ghi chú chứa thẻ img onerror.
2. Mở "Lịch sử".</t>
  </si>
  <si>
    <t>Ghi chú hiển thị nguyên văn, không chạy script, không chèn thẻ img (tồn kho được khôi phục sau test).</t>
  </si>
  <si>
    <t>UI_PH4_FR03_004</t>
  </si>
  <si>
    <t>Đồng bộ Redis từ DB</t>
  </si>
  <si>
    <t>Nút "Đồng bộ Redis từ DB"</t>
  </si>
  <si>
    <t>1. Bấm "Đồng bộ Redis từ DB".
2. Đồng ý hộp xác nhận.</t>
  </si>
  <si>
    <t>Hộp xác nhận "Đồng bộ Redis từ Database?...", API trả 200, alert "✅ Đồng bộ thành công!..."; số tồn ở bảng khớp số đọc từ API công khai.</t>
  </si>
  <si>
    <t>UI_PH4_FR03_005</t>
  </si>
  <si>
    <t>Hủy hộp xác nhận đồng bộ Redis</t>
  </si>
  <si>
    <t>Chọn "Cancel" ở hộp xác nhận</t>
  </si>
  <si>
    <t>1. Bấm "Đồng bộ Redis từ DB".
2. Bấm Hủy ở hộp xác nhận.</t>
  </si>
  <si>
    <t>Không gọi API sync-redis.</t>
  </si>
  <si>
    <t>UI_PH4_FR03_006</t>
  </si>
  <si>
    <t>Hộp thoại chỉnh tồn hiển thị tên sản phẩm, SKU và đóng được</t>
  </si>
  <si>
    <t>1. Bấm "Chỉnh tồn".
2. Quan sát tiêu đề hộp thoại.
3. Bấm nút đóng (X).</t>
  </si>
  <si>
    <t>Hiện "Samsung Galaxy S26 Ultra · 3ZX1GQ-BLUE-256GB", ô số lượng có sẵn tồn hiện tại; bấm X thì hộp thoại đóng.</t>
  </si>
  <si>
    <t>Project: TECHSTORE_2026 | Phân hệ: PH4 – Tồn kho | Framework: JUnit 5 + Mockito (Spring Boot 3.2.5, Java 17)</t>
  </si>
  <si>
    <t>MariaDB + Redis (mock repository / RedisTemplate / Lua script)</t>
  </si>
  <si>
    <t>BE/inventory-service/src/test/java/com/ecommerce/inventoryservice/</t>
  </si>
  <si>
    <t>mvn -q -pl inventory-service -am org.jacoco:jacoco-maven-plugin:0.8.11:prepare-agent test org.jacoco:jacoco-maven-plugin:0.8.11:report -DfailIfNoTests=false -Dsurefire.failIfNoSpecifiedTests=false  (BugCheck: mvn -q -pl inventory-service -am test -Dtest=*BugCheck ...)</t>
  </si>
  <si>
    <t>InventoryService.java</t>
  </si>
  <si>
    <t>restock(), updateInventory(), syncSingleProductToRedis(), getLowStockProducts(), getInventory(), getTransactions(), validateProductAndVariant() (private)</t>
  </si>
  <si>
    <t>Nhập kho cộng dồn / đặt tồn tuyệt đối, xác thực sản phẩm-biến thể qua product-service (Feign mock), ghi lịch sử giao dịch, đồng bộ Redis sau commit (afterCommit), fallback ghi tuyệt đối khi key Redis chưa có.</t>
  </si>
  <si>
    <t>InventoryDeductService.java</t>
  </si>
  <si>
    <t>processOrderCreated(), deductInventory(), processOrderCancelled(), releaseInventory()</t>
  </si>
  <si>
    <t>Trừ kho theo đơn có khóa dòng theo thứ tự (productId, variantId), idempotent theo orderId (DEDUCT/RELEASE), tombstone CANCEL_RECEIVED khi hủy trước khi trừ, phát InventoryDeductedEvent.</t>
  </si>
  <si>
    <t>InventoryKafkaConsumer.java</t>
  </si>
  <si>
    <t>consumeOrderEvent()</t>
  </si>
  <si>
    <t>Định tuyến OrderCreated/OrderCancelled, payload JSON lồng (outbox), khóa Redis theo orderId, phân biệt hết hàng (FAILED + ack) với lỗi hệ thống (ném lỗi để retry/DLT).</t>
  </si>
  <si>
    <t>Quy tắc tồn kho nằm ở service + consumer</t>
  </si>
  <si>
    <t>Controller admin chỉ chuyển tiếp; trừ/hoàn kho được kích hoạt bởi Kafka nên chỉ kiểm được bằng cách gọi trực tiếp InventoryDeductService / InventoryKafkaConsumer.</t>
  </si>
  <si>
    <t>Dựng được các tình huống race khó tái hiện</t>
  </si>
  <si>
    <t>Sự kiện lặp lại, hủy đến trước tạo, transaction chưa commit (TransactionSynchronizationManager), key Redis bị evict (Lua trả -1), product-service sập... đều dựng bằng mock trong vài mili giây.</t>
  </si>
  <si>
    <t>Không đụng dữ liệu thật</t>
  </si>
  <si>
    <t>RedisTemplate, KafkaProducer, ProductClient, repository đều mock: không ghi topic order-events/inventory-events thật, không thay đổi tồn kho thật.</t>
  </si>
  <si>
    <t>AdminInventoryController / InventoryController</t>
  </si>
  <si>
    <t>Tầng web mỏng (bean validation @Min/@NotNull ở DTO); đã phủ bằng kiểm thử API PH4.</t>
  </si>
  <si>
    <t>InventoryGrpcServerService.java</t>
  </si>
  <si>
    <t>Chỉ đọc repository và map sang protobuf; được order-service gọi, kiểm ở mức tích hợp.</t>
  </si>
  <si>
    <t>InventorySyncScheduler / InventoryService.syncRedisFromDatabase()</t>
  </si>
  <si>
    <t>Job nền chạy theo lịch, dùng Redis pipeline (executePipelined); cần Redis thật để kiểm có ý nghĩa.</t>
  </si>
  <si>
    <t>InventoryTransactionRepository.findByOrderIdAndTransactionType (idempotency đơn nhiều sản phẩm)</t>
  </si>
  <si>
    <t>Ghi nhận khi review: phương thức trả Optional nhưng một đơn nhiều sản phẩm có nhiều dòng DEDUCT -&gt; IncorrectResultSizeDataAccessException khi message trùng (InventoryTransactionRepository.java:19). Với repository mock không tái hiện được hành vi của Spring Data, cần test tích hợp với DB.</t>
  </si>
  <si>
    <t>InventoryKafkaProducer.java</t>
  </si>
  <si>
    <t>Wrapper KafkaTemplate gửi bất đồng bộ; được mock.</t>
  </si>
  <si>
    <t>InventoryService</t>
  </si>
  <si>
    <t>com.ecommerce.inventoryservice.service</t>
  </si>
  <si>
    <t>146/211</t>
  </si>
  <si>
    <t>InventoryDeductService</t>
  </si>
  <si>
    <t>143/166</t>
  </si>
  <si>
    <t>InventoryKafkaConsumer</t>
  </si>
  <si>
    <t>com.ecommerce.inventoryservice.kafka.consumer</t>
  </si>
  <si>
    <t>51/62</t>
  </si>
  <si>
    <t>Tính gộp trên các lớp nghiệp vụ trong scope (liệt kê dưới), gồm cả lớp ẩn danh bên trong (TransactionSynchronization...), không gồm lớp lồng có tên (record/DTO); nguồn: target/site/jacoco/jacoco.csv của lần chạy thật (lệnh mặc định, chỉ các lớp *Test; lớp *BugCheck chạy riêng không đo coverage).</t>
  </si>
  <si>
    <t>TC_PH4_STOCK_01</t>
  </si>
  <si>
    <t>BE/inventory-service/src/test/java/com/ecommerce/inventoryservice/service/InventoryServiceTest.java</t>
  </si>
  <si>
    <t>restock()</t>
  </si>
  <si>
    <t>Nhập thêm hàng cộng dồn tồn kho, ghi giao dịch và phiếu nhập</t>
  </si>
  <si>
    <t>SP 1 biến thể 11 tồn 10; product-service (mock) có SP 1 với biến thể 11</t>
  </si>
  <si>
    <t>productId=1, variantId=11
quantity=5, supplier='Công ty ABC', note='Nhập lô tháng 10'
adminId=admin-1</t>
  </si>
  <si>
    <t>Trước 10, thêm 5, hiện tại 15; giao dịch RESTOCK (5, 10-&gt;15, ref=supplier); RestockRequest COMPLETED requestedBy admin-1; Redis tăng +5 bằng Lua</t>
  </si>
  <si>
    <t>TC_PH4_STOCK_02</t>
  </si>
  <si>
    <t>restock(), syncSingleProductToRedis()</t>
  </si>
  <si>
    <t>Nhập hàng cho sản phẩm chưa có bản ghi tồn kho</t>
  </si>
  <si>
    <t>SP 2 chưa có bản ghi kho; key Redis chưa tồn tại (Lua trả -1)</t>
  </si>
  <si>
    <t>productId=2, variantId=null, quantity=7</t>
  </si>
  <si>
    <t>Tạo bản ghi variant 0, tồn 0-&gt;7; Redis ghi tuyệt đối product:stock:2:0 = 7</t>
  </si>
  <si>
    <t>TC_PH4_STOCK_03</t>
  </si>
  <si>
    <t>restock() / validateProductAndVariant()</t>
  </si>
  <si>
    <t>Từ chối nhập hàng cho sản phẩm không tồn tại</t>
  </si>
  <si>
    <t>product-service trả data rỗng cho SP 404 và code NOT_FOUND cho SP 405</t>
  </si>
  <si>
    <t>restock(404, null, qty 5)
restock(405, null, qty 5)</t>
  </si>
  <si>
    <t>ResourceNotFoundException cả 2; không lưu tồn kho, giao dịch, phiếu nhập</t>
  </si>
  <si>
    <t>TC_PH4_STOCK_04</t>
  </si>
  <si>
    <t>Từ chối biến thể không thuộc sản phẩm</t>
  </si>
  <si>
    <t>SP 1 có biến thể 11, 12</t>
  </si>
  <si>
    <t>productId=1, variantId=99, quantity=5</t>
  </si>
  <si>
    <t>ResourceNotFoundException 'ProductVariant'; không khóa dòng, không lưu</t>
  </si>
  <si>
    <t>TC_PH4_STOCK_05</t>
  </si>
  <si>
    <t>restock(), updateInventory()</t>
  </si>
  <si>
    <t>Xử lý khi product-service không phản hồi hoặc productId null</t>
  </si>
  <si>
    <t>Feign ném 'Connection refused'</t>
  </si>
  <si>
    <t>restock(1, null, qty 5)
updateInventory(null, null, 10)</t>
  </si>
  <si>
    <t>RuntimeException 'dịch vụ sản phẩm không phản hồi'; IllegalArgumentException; không lưu</t>
  </si>
  <si>
    <t>TC_PH4_STOCK_06</t>
  </si>
  <si>
    <t>restock() (TransactionSynchronization.afterCommit)</t>
  </si>
  <si>
    <t>Đồng bộ Redis chỉ sau khi transaction commit</t>
  </si>
  <si>
    <t>Bật TransactionSynchronizationManager; SP 1 tồn 3</t>
  </si>
  <si>
    <t>restock(1, 0, qty 4) rồi gọi afterCommit()</t>
  </si>
  <si>
    <t>Trước commit: không chạm Redis; đăng ký đúng 1 synchronization; sau afterCommit: Lua INCRBY +4 key product:stock:1:0</t>
  </si>
  <si>
    <t>TC_PH4_UPDATE_01</t>
  </si>
  <si>
    <t>updateInventory()</t>
  </si>
  <si>
    <t>Admin đặt tồn kho tuyệt đối</t>
  </si>
  <si>
    <t>SP 3 tồn 20</t>
  </si>
  <si>
    <t>productId=3, variantId=null, quantity=8</t>
  </si>
  <si>
    <t>Tồn 8; giao dịch quantityChanged=12 (|8-20|), trước 20 sau 8, note 'Admin manual update'; Redis tăng theo delta -12</t>
  </si>
  <si>
    <t>TC_PH4_UPDATE_02</t>
  </si>
  <si>
    <t>syncSingleProductToRedis()</t>
  </si>
  <si>
    <t>Các nhánh đồng bộ Redis đơn lẻ</t>
  </si>
  <si>
    <t>SP 4 tồn 42; SP 5 không có bản ghi; key Redis SP 4 chưa có</t>
  </si>
  <si>
    <t>sync(4, null, delta 2)
sync(4, 0, delta null)
sync(5, null, 1)</t>
  </si>
  <si>
    <t>Ghi tuyệt đối '42' 2 lần (Lua -1 và delta null); SP 5 lỗi bị nuốt, không ném ra</t>
  </si>
  <si>
    <t>TC_PH4_LOW_01</t>
  </si>
  <si>
    <t>getLowStockProducts(), getInventory(), getTransactions()</t>
  </si>
  <si>
    <t>Tồn kho thấp, tra cứu và lịch sử giao dịch</t>
  </si>
  <si>
    <t>findLowStock(5) trả SP1 (2 cái), SP2/21 (0 cái); không có kho SP 9</t>
  </si>
  <si>
    <t>threshold=5
getInventory(9, null)
getTransactions(1, null|0|11)</t>
  </si>
  <si>
    <t>2 SP dưới ngưỡng; ResourceNotFoundException; variantId null/0 lọc theo SP, 11 lọc theo biến thể</t>
  </si>
  <si>
    <t>TC_PH4_DEDUCT_01</t>
  </si>
  <si>
    <t>BE/inventory-service/src/test/java/com/ecommerce/inventoryservice/service/InventoryDeductServiceTest.java</t>
  </si>
  <si>
    <t>processOrderCreated(), deductInventory()</t>
  </si>
  <si>
    <t>Trừ kho đơn nhiều sản phẩm theo thứ tự khóa chống deadlock</t>
  </si>
  <si>
    <t>Đơn 100 chưa xử lý; kho SP1=6, SP1/v5=4, SP2=10</t>
  </si>
  <si>
    <t>items: (SP2,null,1), (SP1,v5,2), (SP1,null,3)</t>
  </si>
  <si>
    <t>Khóa theo thứ tự SP1/0 -&gt; SP1/5 -&gt; SP2/0; tồn còn 3, 2, 9; 3 giao dịch DEDUCT ref ORDER-100; phát InventoryDeductedEvent CONFIRMED</t>
  </si>
  <si>
    <t>TC_PH4_DEDUCT_02</t>
  </si>
  <si>
    <t>processOrderCreated()</t>
  </si>
  <si>
    <t>Sự kiện OrderCreated lặp lại không trừ kho 2 lần</t>
  </si>
  <si>
    <t>Đã có giao dịch DEDUCT cho đơn 101</t>
  </si>
  <si>
    <t>OrderCreatedEvent orderId=101</t>
  </si>
  <si>
    <t>Không khóa/không trừ/không ghi giao dịch; phát lại CONFIRMED</t>
  </si>
  <si>
    <t>TC_PH4_DEDUCT_03</t>
  </si>
  <si>
    <t>Đơn bị hủy trước khi sự kiện tạo đơn đến</t>
  </si>
  <si>
    <t>Có tombstone CANCEL_RECEIVED cho đơn 102</t>
  </si>
  <si>
    <t>OrderCreatedEvent orderId=102</t>
  </si>
  <si>
    <t>Bỏ qua: không trừ kho, không phát sự kiện</t>
  </si>
  <si>
    <t>TC_PH4_DEDUCT_04</t>
  </si>
  <si>
    <t>Biên tồn kho: thiếu hàng, không có bản ghi, đặt đúng bằng tồn</t>
  </si>
  <si>
    <t>SP1 tồn 2; SP77 không có bản ghi; SP6 tồn 5</t>
  </si>
  <si>
    <t>đơn 103 đặt SP1 x5
deduct(SP77, 1)
deduct(SP6, 5)</t>
  </si>
  <si>
    <t>InsufficientStockException 'requested=5, available=2', tồn giữ 2, không phát CONFIRMED; InsufficientStockException; SP6 về 0 (trước 5 sau 0)</t>
  </si>
  <si>
    <t>TC_PH4_RELEASE_01</t>
  </si>
  <si>
    <t>processOrderCancelled(), releaseInventory()</t>
  </si>
  <si>
    <t>Hoàn kho khi hủy đơn đã trừ</t>
  </si>
  <si>
    <t>Đơn 200 có DEDUCT SP3 x1, SP1 x2 và 1 giao dịch RESTOCK SP9; tồn SP1=8, SP3=0</t>
  </si>
  <si>
    <t>OrderCancelledEvent orderId=200</t>
  </si>
  <si>
    <t>SP1 -&gt; 10, SP3 -&gt; 1 (khóa theo thứ tự SP1, SP3), bỏ qua SP9; 2 giao dịch RELEASE; Redis +2, +1</t>
  </si>
  <si>
    <t>TC_PH4_RELEASE_02</t>
  </si>
  <si>
    <t>processOrderCancelled()</t>
  </si>
  <si>
    <t>Sự kiện hủy lặp lại không hoàn kho 2 lần</t>
  </si>
  <si>
    <t>Đã có RELEASE cho đơn 201</t>
  </si>
  <si>
    <t>OrderCancelledEvent orderId=201</t>
  </si>
  <si>
    <t>Không đọc DEDUCT, không khóa, không ghi, không chạm Redis</t>
  </si>
  <si>
    <t>TC_PH4_RELEASE_03</t>
  </si>
  <si>
    <t>Hủy trước khi trừ kho: tombstone và trả kho Redis đã giữ lúc checkout</t>
  </si>
  <si>
    <t>Đơn 202 chưa có giao dịch nào</t>
  </si>
  <si>
    <t>OrderCancelledEvent 202 items (SP1,null,2), (SP4,41,1); gọi 2 lần</t>
  </si>
  <si>
    <t>Lần 1: lưu CANCEL_RECEIVED, Redis +2 (product:stock:1:0) và +1 (product:stock:4:41), không đổi DB kho; lần 2 (đã có tombstone): không lưu, không chạm Redis</t>
  </si>
  <si>
    <t>TC_PH4_RELEASE_04</t>
  </si>
  <si>
    <t>releaseInventory()</t>
  </si>
  <si>
    <t>Hoàn kho cho bản ghi không tồn tại; Redis chỉ tăng sau commit</t>
  </si>
  <si>
    <t>Không có kho SP88; SP1 tồn 0; bật TransactionSynchronization</t>
  </si>
  <si>
    <t>release(SP88, 1)
release(SP1, 3) rồi afterCommit()</t>
  </si>
  <si>
    <t>RuntimeException; SP1 -&gt; 3, Redis chưa đụng trước commit, sau afterCommit +3</t>
  </si>
  <si>
    <t>TC_PH4_KAFKA_01</t>
  </si>
  <si>
    <t>BE/inventory-service/src/test/java/com/ecommerce/inventoryservice/kafka/consumer/InventoryKafkaConsumerTest.java</t>
  </si>
  <si>
    <t>Định tuyến OrderCreatedEvent (cả payload JSON lồng)</t>
  </si>
  <si>
    <t>Khóa Redis rảnh</t>
  </si>
  <si>
    <t>JSON OrderCreatedEvent orderId=300 (có field lạ totalAmount, price) và bản double-encoded</t>
  </si>
  <si>
    <t>processOrderCreated được gọi 2 lần (orderId 300, qty 2); ack 2 lần; xóa khóa lock:inventory-consumer:300</t>
  </si>
  <si>
    <t>CheckDB: không (repository/KafkaTemplate mock, không gửi lên topic thật)
Rollback: không cần</t>
  </si>
  <si>
    <t>TC_PH4_KAFKA_02</t>
  </si>
  <si>
    <t>Định tuyến OrderCancelledEvent</t>
  </si>
  <si>
    <t>OrderCancelledEvent orderId=301, items [(5,51,1)]</t>
  </si>
  <si>
    <t>processOrderCancelled(orderId 301, variant 51); không gọi processOrderCreated; ack</t>
  </si>
  <si>
    <t>TC_PH4_KAFKA_03</t>
  </si>
  <si>
    <t>Bỏ qua payload thiếu orderId và loại sự kiện không liên quan</t>
  </si>
  <si>
    <t>{eventType: OrderCreatedEvent} (thiếu orderId)
{eventType: OrderShippedEvent, orderId: 302}</t>
  </si>
  <si>
    <t>Cả 2 được ack, không gọi service; payload thiếu orderId không lấy khóa Redis</t>
  </si>
  <si>
    <t>TC_PH4_KAFKA_04</t>
  </si>
  <si>
    <t>Hết hàng: phát FAILED và ack thay vì retry</t>
  </si>
  <si>
    <t>processOrderCreated ném RuntimeException bọc InsufficientStockException(1, 5, 2)</t>
  </si>
  <si>
    <t>OrderCreatedEvent orderId=303</t>
  </si>
  <si>
    <t>Không ném lỗi; publishFailureEvent(303, '...requested=5, available=2'); ack; nhả khóa</t>
  </si>
  <si>
    <t>TC_PH4_KAFKA_05</t>
  </si>
  <si>
    <t>Lỗi hệ thống: ném lỗi để Kafka retry/DLT</t>
  </si>
  <si>
    <t>processOrderCancelled ném 'Deadlock found...'</t>
  </si>
  <si>
    <t>OrderCancelledEvent orderId=304</t>
  </si>
  <si>
    <t>RuntimeException; không ack; không phát FAILED; vẫn nhả khóa</t>
  </si>
  <si>
    <t>TC_PH4_RELEASE_05</t>
  </si>
  <si>
    <t>BE/inventory-service/src/test/java/com/ecommerce/inventoryservice/service/InventoryDeductServiceBugCheck.java</t>
  </si>
  <si>
    <t>processOrderCancelled() (nhánh tombstone)</t>
  </si>
  <si>
    <t>Nhánh tombstone chỉ trả kho Redis sau commit (giống restock/release)</t>
  </si>
  <si>
    <t>Bật TransactionSynchronization; đơn 500 chưa có giao dịch</t>
  </si>
  <si>
    <t>OrderCancelledEvent 500 items (SP1,null,2); không gọi afterCommit (giả lập rollback)</t>
  </si>
  <si>
    <t>Redis không bị thay đổi trước khi commit</t>
  </si>
  <si>
    <t>TC_PH4_KAFKA_06</t>
  </si>
  <si>
    <t>BE/inventory-service/src/test/java/com/ecommerce/inventoryservice/kafka/consumer/InventoryKafkaConsumerBugCheck.java</t>
  </si>
  <si>
    <t>Không giành được khóa thì không được xóa khóa của instance khác</t>
  </si>
  <si>
    <t>setIfAbsent luôn trả false (instance khác giữ khóa đơn 400)</t>
  </si>
  <si>
    <t>OrderCancelledEvent orderId=400</t>
  </si>
  <si>
    <t>RuntimeException để retry; không gọi service; KHÔNG gọi redisTemplate.delete('lock:inventory-consumer:400')</t>
  </si>
  <si>
    <t>TC_PH4_KAFKA_07</t>
  </si>
  <si>
    <t>Payload JSON lồng + hết hàng vẫn phải phát FAILED</t>
  </si>
  <si>
    <t>processOrderCreated ném InsufficientStockException</t>
  </si>
  <si>
    <t>Chuỗi JSON double-encoded của OrderCreatedEvent orderId=401</t>
  </si>
  <si>
    <t>publishFailureEvent(401, ...) được gọi trước khi ack</t>
  </si>
  <si>
    <t>Nhánh tombstone của processOrderCancelled (hủy đơn trước khi OrderCreated được xử lý) gọi INCRBY kho Redis ngay trong transaction, khác với restock/update/release đều dùng afterCommit. Nếu transaction rollback (lỗi lưu tombstone, deadlock khi commit) thì Redis đã được cộng lại nhưng DB không có tombstone -&gt; message retry cộng Redis lần nữa, kho ảo lệch (bán vượt).</t>
  </si>
  <si>
    <t>BE/inventory-service/src/main/java/com/ecommerce/inventoryservice/service/InventoryDeductService.java:175-180 (so với :231-241 dùng afterCommit)</t>
  </si>
  <si>
    <t>Khóa phân tán theo orderId không kiểm tra chủ sở hữu: lockKey được gán trước vòng giành khóa và finally luôn DEL. Instance không giành được khóa (sau 5 giây chờ) vẫn xóa khóa đang thuộc instance khác, làm mất tác dụng tuần tự hóa Created/Cancelled của cùng đơn.</t>
  </si>
  <si>
    <t>BE/inventory-service/src/main/java/com/ecommerce/inventoryservice/kafka/consumer/InventoryKafkaConsumer.java:47, 52, 115-122</t>
  </si>
  <si>
    <t>Ở nhánh hết hàng, consumer parse lại message gốc mà không giải chuỗi JSON lồng (khác dòng 33-35) nên payload double-encoded (outbox/Debezium) không có orderId -&gt; không phát InventoryDeductedEvent FAILED nhưng vẫn ack; đơn hàng treo PENDING, kho Redis đã giữ không được trả.</t>
  </si>
  <si>
    <t>BE/inventory-service/src/main/java/com/ecommerce/inventoryservice/kafka/consumer/InventoryKafkaConsumer.java:100-101</t>
  </si>
  <si>
    <t>NHÓM: TRA CỨU</t>
  </si>
  <si>
    <t>API_PH4_001</t>
  </si>
  <si>
    <t>/api/v1/inventories/{{pid}}?variantId={{vid}}</t>
  </si>
  <si>
    <t>Xem tồn kho công khai</t>
  </si>
  <si>
    <t>HTTP 200; success=true; có quantity</t>
  </si>
  <si>
    <t>HTTP 200  (14 ms)
{"message": "Success"}</t>
  </si>
  <si>
    <t>API_PH4_002</t>
  </si>
  <si>
    <t>/api/v1/inventories/99999999</t>
  </si>
  <si>
    <t>Tồn kho sản phẩm không tồn tại trả 404</t>
  </si>
  <si>
    <t>HTTP 404; success=false</t>
  </si>
  <si>
    <t>HTTP 404  (14 ms)
{"message": "Inventory not found with productId:variantId : '99999999:0'"}</t>
  </si>
  <si>
    <t>API_PH4_003</t>
  </si>
  <si>
    <t>/api/v1/inventories/batch?productIds={{pid}},2,3</t>
  </si>
  <si>
    <t>Tra cứu tồn kho nhiều sản phẩm</t>
  </si>
  <si>
    <t>HTTP 200; danh sách tồn kho</t>
  </si>
  <si>
    <t>HTTP 200  (20 ms)
{"success":true,"message":"Success","data":[{"productId":1,"variantId":1,"quantity":168,"lastUpdated":"2026-10-17T21:13:47.635371"},{"productId":1,"variantId":2,"quantity":10,"lastUpdated":"2026-10-17</t>
  </si>
  <si>
    <t>API_PH4_004</t>
  </si>
  <si>
    <t>/api/v1/inventories/batch</t>
  </si>
  <si>
    <t>Tra cứu nhiều sản phẩm thiếu tham số trả 400</t>
  </si>
  <si>
    <t>HTTP 400 (thiếu productIds)</t>
  </si>
  <si>
    <t>HTTP 500  (17 ms)
{"message": "Đã xảy ra lỗi hệ thống. Vui lòng thử lại sau."}
Không đạt: HTTP status ∈ 400</t>
  </si>
  <si>
    <t>NHÓM: NHẬP KHO</t>
  </si>
  <si>
    <t>API_PH4_005</t>
  </si>
  <si>
    <t>/api/v1/admin/inventories/{{pid}}/restock?variantId={{vid}}</t>
  </si>
  <si>
    <t>Nhập thêm hàng hợp lệ</t>
  </si>
  <si>
    <t>{
 "quantity": 5,
 "supplier": "Nhà cung cấp QA",
 "note": "Kiểm thử"
}</t>
  </si>
  <si>
    <t>HTTP 200; currentQuantity = previousQuantity + 5</t>
  </si>
  <si>
    <t>HTTP 200  (65 ms)
{"message": "Product restocked successfully", "data.currentQuantity": 173}</t>
  </si>
  <si>
    <t>API_PH4_006</t>
  </si>
  <si>
    <t>Từ chối nhập kho số lượng 0</t>
  </si>
  <si>
    <t>{
 "quantity": 0
}</t>
  </si>
  <si>
    <t>HTTP 400; lỗi validation quantity</t>
  </si>
  <si>
    <t>HTTP 400  (17 ms)
{"message": "Validation failed"}</t>
  </si>
  <si>
    <t>API_PH4_007</t>
  </si>
  <si>
    <t>/api/v1/admin/inventories/99999999/restock</t>
  </si>
  <si>
    <t>Từ chối nhập kho sản phẩm không tồn tại</t>
  </si>
  <si>
    <t>{
 "quantity": 5
}</t>
  </si>
  <si>
    <t>HTTP 404  (32 ms)
{"message": "Product not found with id : '99999999'"}</t>
  </si>
  <si>
    <t>API_PH4_008</t>
  </si>
  <si>
    <t>/api/v1/admin/inventories/{{pid}}?variantId={{vid}}</t>
  </si>
  <si>
    <t>Từ chối cập nhật tồn kho âm</t>
  </si>
  <si>
    <t>{
 "quantity": -1
}</t>
  </si>
  <si>
    <t>HTTP 400</t>
  </si>
  <si>
    <t>HTTP 400  (18 ms)
{"message": "Validation failed"}</t>
  </si>
  <si>
    <t>API_PH4_009</t>
  </si>
  <si>
    <t>Staff được nhập kho</t>
  </si>
  <si>
    <t>{
 "quantity": 1,
 "note": "staff"
}</t>
  </si>
  <si>
    <t>HTTP 200  (69 ms)
{"message": "Product restocked successfully", "data.currentQuantity": 174}</t>
  </si>
  <si>
    <t>API_PH4_010</t>
  </si>
  <si>
    <t>Customer không được nhập kho</t>
  </si>
  <si>
    <t>HTTP 403</t>
  </si>
  <si>
    <t>NHÓM: LỊCH SỬ</t>
  </si>
  <si>
    <t>API_PH4_011</t>
  </si>
  <si>
    <t>/api/v1/admin/inventories/{{pid}}/transactions?variantId={{vid}}</t>
  </si>
  <si>
    <t>Lịch sử giao dịch kho có dòng RESTOCK</t>
  </si>
  <si>
    <t>HTTP 200; có giao dịch RESTOCK</t>
  </si>
  <si>
    <t>HTTP 200  (39 ms)
{"success":true,"message":"Success","data":{"content":[{"id":1,"orderId":null,"productId":1,"variantId":1,"transactionType":"RESTOCK","quantityChanged":10,"quantityBefore":0,"quantityAfter":10,"refere</t>
  </si>
  <si>
    <t>API_PH4_012</t>
  </si>
  <si>
    <t>/api/v1/admin/inventories/low-stock?threshold=5</t>
  </si>
  <si>
    <t>Danh sách sắp hết hàng theo ngưỡng</t>
  </si>
  <si>
    <t>HTTP 200; mọi phần tử có quantity ≤ 5</t>
  </si>
  <si>
    <t>HTTP 200  (32 ms)
{"message": "Success", "data": "[0 phần tử]"}</t>
  </si>
  <si>
    <t>NHÓM: ĐỒNG BỘ</t>
  </si>
  <si>
    <t>API_PH4_013</t>
  </si>
  <si>
    <t>/api/v1/admin/inventories/sync-redis</t>
  </si>
  <si>
    <t>Đồng bộ tồn kho sang Redis</t>
  </si>
  <si>
    <t>HTTP 200; 'Redis sync triggered successfully'</t>
  </si>
  <si>
    <t>HTTP 200  (103 ms)
{"message": "Redis sync triggered successfully"}</t>
  </si>
  <si>
    <t>npx playwright test ui/PH4.spec.ts</t>
  </si>
  <si>
    <t>InventoryServiceTest.java</t>
  </si>
  <si>
    <t>assertEquals(10, res.getPreviousQuantity());
assertEquals(5, res.getAddedQuantity());
assertEquals(15, res.getCurrentQuantity());
assertEquals(555L, res.getTransactionId());
assertEquals(15, inv.getQuantity());</t>
  </si>
  <si>
    <t>assertEquals(0L, res.getVariantId());
assertEquals(0, res.getPreviousQuantity());
assertEquals(7, res.getCurrentQuantity());
verify(inventoryRepository).save(saved.capture());
assertEquals(2L, saved.getValue().getProductId());</t>
  </si>
  <si>
    <t>assertThrows(ResourceNotFoundException.class, () -&gt; inventoryService.restock(404L, null, req, "admin-1"));
assertThrows(ResourceNotFoundException.class, () -&gt; inventoryService.restock(405L, null, req, "admin-1"));
verify(inventoryRepository, never()).save(any());
verify(transactionRepository, never()).save(any());
verify(restockRequestRepository, never()).save(any());</t>
  </si>
  <si>
    <t>ResourceNotFoundException ex = assertThrows(ResourceNotFoundException.class,
assertTrue(ex.getMessage().contains("ProductVariant"));
verify(inventoryRepository, never()).findByProductIdAndVariantIdForUpdate(anyLong(), anyLong());
verify(inventoryRepository, never()).save(any());</t>
  </si>
  <si>
    <t>RuntimeException ex = assertThrows(RuntimeException.class, () -&gt; inventoryService.restock(1L, null, req, "admin-1"));
assertTrue(ex.getMessage().contains("dịch vụ sản phẩm không phản hồi"));
assertThrows(IllegalArgumentException.class, () -&gt; inventoryService.updateInventory(null, null, 10));
verify(inventoryRepository, never()).save(any());</t>
  </si>
  <si>
    <t>assertEquals(1, syncs.size());
verify(redisTemplate).execute(eq(stockIncrementScript), eq(List.of("product:stock:1:0")), eq("4"));</t>
  </si>
  <si>
    <t>assertEquals(8, res.getQuantity());
verify(transactionRepository).save(tx.capture());
assertEquals(12, tx.getValue().getQuantityChanged());
assertEquals(20, tx.getValue().getQuantityBefore());
assertEquals(8, tx.getValue().getQuantityAfter());</t>
  </si>
  <si>
    <t>assertDoesNotThrow(() -&gt; inventoryService.syncSingleProductToRedis(5L, null, 1));
verify(valueOps, times(2)).set("product:stock:4:0", "42");
verify(redisTemplate, times(1)).execute(eq(stockIncrementScript), anyList(), any());</t>
  </si>
  <si>
    <t>assertEquals(2, low.size());
assertEquals(2, low.get(0).getQuantity());
assertEquals(21L, low.get(1).getVariantId());
assertThrows(ResourceNotFoundException.class, () -&gt; inventoryService.getInventory(9L, null));
verify(transactionRepository, times(2)).findByProductId(1L, p);</t>
  </si>
  <si>
    <t>InventoryDeductServiceTest.java</t>
  </si>
  <si>
    <t>order.verify(inventoryRepository).findByProductIdAndVariantIdForUpdate(1L, 0L);
order.verify(inventoryRepository).findByProductIdAndVariantIdForUpdate(1L, 5L);
order.verify(inventoryRepository).findByProductIdAndVariantIdForUpdate(2L, 0L);
assertEquals(3, p1.getQuantity());
assertEquals(2, p1v5.getQuantity());</t>
  </si>
  <si>
    <t>verify(inventoryRepository, never()).findByProductIdAndVariantIdForUpdate(anyLong(), anyLong());
verify(inventoryRepository, never()).save(any());
verify(transactionRepository, never()).save(any());
verify(kafkaProducer).publishInventoryEvent(argThat(e -&gt; e.getOrderId() == 101L &amp;&amp; "CONFIRMED".equals(e.getStatus())));</t>
  </si>
  <si>
    <t>verify(inventoryRepository, never()).findByProductIdAndVariantIdForUpdate(anyLong(), anyLong());</t>
  </si>
  <si>
    <t>InsufficientStockException ex = assertThrows(InsufficientStockException.class, () -&gt; deductService.processOrderCreated(
assertTrue(ex.getMessage().contains("requested=5, available=2"));
assertEquals(2, inv.getQuantity());
assertThrows(InsufficientStockException.class, () -&gt; deductService.deductInventory(77L, null, 1, 104L));
verify(inventoryRepository, never()).save(any());</t>
  </si>
  <si>
    <t>assertEquals(10, p1.getQuantity());
assertEquals(1, p3.getQuantity());
order.verify(inventoryRepository).findByProductIdAndVariantIdForUpdate(1L, 0L);
order.verify(inventoryRepository).findByProductIdAndVariantIdForUpdate(3L, 0L);
verify(inventoryRepository, never()).findByProductIdAndVariantIdForUpdate(9L, 0L);</t>
  </si>
  <si>
    <t>verify(transactionRepository, never()).findByOrderId(anyLong());
verify(inventoryRepository, never()).findByProductIdAndVariantIdForUpdate(anyLong(), anyLong());
verify(transactionRepository, never()).save(any());</t>
  </si>
  <si>
    <t>verify(transactionRepository).save(t.capture());
assertEquals("CANCEL_RECEIVED", t.getValue().getTransactionType());
assertEquals(202L, t.getValue().getOrderId());
assertEquals(0, t.getValue().getQuantityChanged());
verify(redisTemplate).execute(eq(stockIncrementScript), eq(List.of("product:stock:1:0")), eq("2"));</t>
  </si>
  <si>
    <t>assertThrows(RuntimeException.class, () -&gt; deductService.releaseInventory(88L, null, 1, 203L));
assertEquals(3, inv.getQuantity());
verify(redisTemplate).execute(eq(stockIncrementScript), eq(List.of("product:stock:1:0")), eq("3"));</t>
  </si>
  <si>
    <t>InventoryKafkaConsumerTest.java</t>
  </si>
  <si>
    <t>verify(deductService, times(2)).processOrderCreated(ev.capture());
assertEquals(300L, ev.getAllValues().get(1).getOrderId());
assertEquals(2, ev.getAllValues().get(1).getItems().get(0).getQuantity());
verify(ack, times(2)).acknowledge();
verify(redisTemplate, times(2)).delete("lock:inventory-consumer:300");</t>
  </si>
  <si>
    <t>verify(deductService).processOrderCancelled(ev.capture());
assertEquals(301L, ev.getValue().getOrderId());
assertEquals(51L, ev.getValue().getItems().get(0).getVariantId());
verify(deductService, never()).processOrderCreated(any());
verify(ack).acknowledge();</t>
  </si>
  <si>
    <t>verify(ack, times(2)).acknowledge();</t>
  </si>
  <si>
    <t>assertDoesNotThrow(() -&gt; consumer.consumeOrderEvent(
verify(deductService).publishFailureEvent(eq(303L), contains("requested=5, available=2"));
verify(ack).acknowledge();
verify(redisTemplate).delete("lock:inventory-consumer:303");</t>
  </si>
  <si>
    <t>assertThrows(RuntimeException.class, () -&gt; consumer.consumeOrderEvent(
verify(ack, never()).acknowledge();
verify(deductService, never()).publishFailureEvent(anyLong(), anyString());
verify(redisTemplate).delete("lock:inventory-consumer:304");</t>
  </si>
  <si>
    <t>InventoryDeductServiceBugCheck.java</t>
  </si>
  <si>
    <t>(xem file test)</t>
  </si>
  <si>
    <t>InventoryKafkaConsumerBugCheck.java</t>
  </si>
  <si>
    <t>assertThrows(RuntimeException.class, () -&gt; consumer.consumeOrderEvent(
verify(redisTemplate, never()).delete("lock:inventory-consumer:400");</t>
  </si>
  <si>
    <t>verify(deductService).publishFailureEvent(eq(401L), anyString());</t>
  </si>
  <si>
    <t>pm.test('HTTP status ∈ ' + __exp.join('/'), () =&gt; pm.expect(__exp).to.include(pm.response.code));
pm.test('success=true, có quantity', () =&gt; { pm.expect(j.success).to.eql(true); pm.expect(j.data.quantity).to.be.a('number'); });</t>
  </si>
  <si>
    <t>pm.test('HTTP status ∈ ' + __exp.join('/'), () =&gt; pm.expect(__exp).to.include(pm.response.code));
pm.test('Có kết quả', () =&gt; pm.expect(j.data.length).to.be.above(0));</t>
  </si>
  <si>
    <t>pm.test('HTTP status ∈ ' + __exp.join('/'), () =&gt; pm.expect(__exp).to.include(pm.response.code));
pm.test('current = previous + 5', () =&gt; pm.expect(j.data.currentQuantity).to.eql(j.data.previousQuantity + 5));</t>
  </si>
  <si>
    <t>pm.test('HTTP status ∈ ' + __exp.join('/'), () =&gt; pm.expect(__exp).to.include(pm.response.code));
pm.test('Có RESTOCK', () =&gt; pm.expect(j.data.content.map(t =&gt; t.transactionType)).to.include('RESTOCK'));</t>
  </si>
  <si>
    <t>pm.test('HTTP status ∈ ' + __exp.join('/'), () =&gt; pm.expect(__exp).to.include(pm.response.code));
pm.test('Mọi phần tử ≤ 5', () =&gt; j.data.forEach(i =&gt; pm.expect(i.quantity).to.be.at.most(5)));</t>
  </si>
  <si>
    <t>ui/PH4.spec.ts</t>
  </si>
  <si>
    <t>KIỂM THỬ HIỆU NĂNG - PHÂN HỆ TỒN KHO</t>
  </si>
  <si>
    <t>http://localhost:8094 (inventory-service)</t>
  </si>
  <si>
    <t>Load Test: GET /api/v1/inventories/{productId}, GET /api/v1/inventories/batch</t>
  </si>
  <si>
    <t>Stress Test: GET /api/v1/inventories/{productId}</t>
  </si>
  <si>
    <t>POST /api/v1/admin/inventories/{id}/restock</t>
  </si>
  <si>
    <t>Ghi tồn kho thật.</t>
  </si>
  <si>
    <t>POST /api/v1/admin/inventories/sync-redis</t>
  </si>
  <si>
    <t>Tác vụ nền nặng, chạy thủ công.</t>
  </si>
  <si>
    <t>GET /api/v1/inventories/{productId} (tồn kho)</t>
  </si>
  <si>
    <t>GET /api/v1/inventories/batch (nhiều sản phẩm)</t>
  </si>
  <si>
    <t>GET /api/v1/inventories/{productId} (tải nặng)</t>
  </si>
  <si>
    <t>13 ca, 1 ca không đạt — chủ yếu sai mã lỗi HTTP / phân quyền / bảo mật (xem sheet API).</t>
  </si>
  <si>
    <t>Line coverage tầng service 77.4%, branch 71.4%. 3 ca BugCheck ghi nhận lỗi.</t>
  </si>
  <si>
    <t>1. API_PH4_004: Tra cứu nhiều sản phẩm thiếu tham số trả 400 — mong đợi HTTP 400 (thiếu productIds); thực tế HTTP 500.
2. TC_PH4_RELEASE_05: Nhánh tombstone của processOrderCancelled (hủy đơn trước khi OrderCreated được xử lý) gọi INCRBY kho Redis ngay trong transaction, khác với restock/update/release đều dùng afterCommit. Nếu transaction rollback (lỗi lưu tombstone, deadlock khi commit) thì Redis đã được cộng lại nhưng DB không có tombstone -&gt; message retry cộng Redis lần nữa, kho ảo lệch (bán vượt).
3. TC_PH4_KAFKA_06: Khóa phân tán theo orderId không kiểm tra chủ sở hữu: lockKey được gán trước vòng giành khóa và finally luôn DEL. Instance không giành được khóa (sau 5 giây chờ) vẫn xóa khóa đang thuộc instance khác, làm mất tác dụng tuần tự hóa Created/Cancelled của cùng đơn.
4. TC_PH4_KAFKA_07: Ở nhánh hết hàng, consumer parse lại message gốc mà không giải chuỗi JSON lồng (khác dòng 33-35) nên payload double-encoded (outbox/Debezium) không có orderId -&gt; không phát InventoryDeductedEvent FAILED nhưng vẫn ack; đơn hàng treo PENDING, kho Redis đã giữ không được trả.
5. UI_PH4_FR01_002: Cảnh báo tồn kho thấp theo ngưỡng mặc định — KPI "Sắp hết hàng" (tồn ≤ 10) là 1955 SKU nhưng banner cảnh báo không hiển thị. API GET /admin/inventories/low-stock?threshold=10 trả 0 SKU, threshold=11 trả 1955: backend lọc "&lt; ngưỡng" trong khi giao diện ghi "≤ ngưỡng". Bằng chứng: KPI "Sắp hết hàng" (tồn ≤ 10) = 1955; API low-stock?threshold=10 trả 0 SKU; banner: (không hiển thị banner)
6. UI_PH4_FR01_004: Nhập ngưỡng cảnh báo ngoài khoảng 1–100 — Ô nhận giá trị 1000 (thuộc tính max=100 không được áp dụng), FE gọi low-stock?threshold=1000 và banner hiện "Cảnh báo: 1956 SKU tồn kho thấp (≤ 1000)". Bằng chứng: Giá trị ô sau khi nhập: 1000; ngưỡng gửi lên API: 1000; banner: Cảnh báo: 1956 SKU tồn kho thấp (≤ 1000)
7. UI_PH4_FR02_004: Nhập kho với số lượng thập phân — FE gửi {"quantity":2.5}, hệ thống báo "Nhập kho thành công!" và tồn tăng từ 15 lên 17 (2.5 bị cắt thành 2). Đã khôi phục tồn kho sau ca. Bằng chứng: Body gửi lên: {"quantity":2.5}; alert: Nhập kho thành công!; tồn trước 15, sau 17
8. UI_PH4_FR02_007: Chỉnh tồn khi để trống ô số lượng — Ô trống được chuyển thành 0 (Number("")), hệ thống báo "Cập nhật tồn kho thành công!" và tồn kho của SKU về 0 (trước đó 10). Đã khôi phục tồn kho sau ca. Bằng chứng: alert: Cập nhật tồn kho thành công!; tồn trước 10, sau 0</t>
  </si>
  <si>
    <t>Ưu điểm:
- Trừ kho vật lý bằng SELECT … FOR UPDATE và sắp item theo (productId, variantId) để tránh deadlock; mỗi biến động đều ghi inventory_transactions kèm số lượng trước/sau.
- Có tombstone CANCEL_RECEIVED để xử lý Kafka giao sự kiện sai thứ tự (Cancelled đến trước Created).
- Cập nhật Redis tương đối bằng Lua INCRBY và chạy sau commit (afterCommit) để tránh lost update với kho ảo của order-service.
- Sync Redis và snapshot phân trang 1000 bản ghi, dùng pipelining và saveAll; scheduler có khóa phân tán.
- Phân biệt lỗi nghiệp vụ (hết hàng → phát FAILED và ack) với lỗi hệ thống (ném lại → retry rồi DLT).</t>
  </si>
  <si>
    <t>Hạn chế:
- Không có header tác giả/ngày/bản quyền ở bất kỳ file nào.
- Chỉ có vài ghi chú: transactionType và referenceId (BE/inventory-service/src/main/java/com/ecommerce/inventoryservice/entity/InventoryTransaction.java:31, 41), stockLevel (BE/inventory-service/src/main/java/com/ecommerce/inventoryservice/entity/InventoryDailySnapshot.java:28, viết sai thành 'sả phẩm'). Các field còn lại không có ghi chú.
- Chỉ 3/38 file có Javadoc (RedisLuaScripts, InventoryGrpcServerService…). Các method public của InventoryService và InventoryDeductService đều không có Javadoc.
- Comment ở BE/inventory-service/src/main/java/com/ecommerce/inventoryservice/entity/InventoryTransaction.java:31 liệt kê 'DEDUCT, RELEASE, RESTOCK' nhưng code còn ghi CANCEL_RECEIVED (BE/inventory-service/src/main/java/com/ecommerce/inventoryservice/service/InventoryDeductService.java:166). Javadoc ở BE/inventory-service/src/main/java/com/ecommerce/inventoryservice/grpc/InventoryGrpcServerService.java:19 ghi 'Replaces' REST endpoint trong khi InventoryController vẫn mở các endpoint đó.
- Consumer phân biệt lỗi nghiệp vụ với lỗi hệ thống và có DLT (BE/inventory-service/src/main/java/com/ecommerce/inventoryservice/kafka/consumer/InventoryKafkaConsumer.java:91-114; config/KafkaConfig.java:28-49). Nhưng findByOrderIdAndTransactionType trả Optional (BE/inventory-service/src/main/java/com/ecommerce/inventoryservice/repository/InventoryTransactionRepository.java:19) sẽ ném IncorrectResultSizeDataAccessException khi đơn nhiều sản phẩm có nhiều dòng DEDUCT/RELEASE và bị gửi trùng (BE/inventory-service/src/main/java/com/ecommerce/inventoryservice/service/InventoryDeductService.java:46-47, 139-140). releaseInventory ném RuntimeException trần (207-209).
- Ở nhánh hết hàng, message được parse lại mà không xử lý trường hợp payload là chuỗi JSON lồng (BE/inventory-service/src/main/java/com/ecommerce/inventoryservice/kafka/consumer/InventoryKafkaConsumer.java:100-101, khác với dòng 33-35). Khi chạy bằng BE/docker-compose-infra.yml (thiếu expand.json.payload), sự kiện FAILED không được gửi nhưng offset vẫn bị ack, nên đơn treo PENDING tới khi bị hủy sau 30 phút. Sự kiện CONFIRMED gửi sau commit mà không có outbox.</t>
  </si>
  <si>
    <t>Phân hệ Tồn kho đáp ứng các luồng nghiệp vụ chính khi kiểm thử trên môi trường local; các lỗi phát hiện tập trung ở xử lý ngoại lệ (mã lỗi HTTP), phân quyền chi tiết và một số điểm bảo mật/độ bền đã liệt kê ở mục 2. Cần sửa các lỗi mức Cao trước khi triển khai.</t>
  </si>
  <si>
    <t>4 Use Case (Online Payment, Verify Payment Webhook, Process Refund, Verify Refund Webhook) + 2 kịch bản (CHUONG_II 1.4, 1.5); 05_PAYMENT_SERVICE.md 615 dòng</t>
  </si>
  <si>
    <t>docs/services/05_PAYMENT_SERVICE.md; CHUONG_I_DAC_TA.md mục 1 (từ khoá #7, #21, #22, #47, #48), mục 2 Bước 2–3 (Chức năng 4, 5), mục 3.1, 3.5, 3.6; CHUONG_II_PHA_PHAN_TICH.md mục 1.4, 1.5; RA_SOAT_BAO_CAO_VS_CODE.md (A14, B6, B10, B22, C5, E28)</t>
  </si>
  <si>
    <t>05_PAYMENT_SERVICE.md và các chương báo cáo là file Markdown, không có mã hiệu tài liệu, quy trình phê duyệt hay thông tin phát hành theo quy định kiểm soát tài liệu.</t>
  </si>
  <si>
    <t>Không theo mẫu SRS chuẩn nào (IEEE 830 hay mẫu công ty); 05 là tài liệu thiết kế kỹ thuật, CHUONG_I/II theo cấu trúc báo cáo đồ án.</t>
  </si>
  <si>
    <t>Chỉ có tiêu đề H1 'TÀI LIỆU THIẾT KẾ: PAYMENT SERVICE' và dòng 'Port | DB | Version: 1.0.0' (05 dòng 1, 14); không có tên công ty/logo, mã dự án, mã hiệu tài liệu, ngày ban hành.</t>
  </si>
  <si>
    <t>File Markdown không có header/footer chứa tên, phiên bản tài liệu hay mã template.</t>
  </si>
  <si>
    <t>File Markdown không đánh số trang dạng số thứ tự/tổng số trang.</t>
  </si>
  <si>
    <t>Không có trang ký Người xem xét/Người phê duyệt.</t>
  </si>
  <si>
    <t>Không có bảng lịch sử thay đổi; chỉ có banner 'Thiết kế ban đầu... rà soát 2026-10-11' (05 dòng 3-11) liệt kê khác biệt với code.</t>
  </si>
  <si>
    <t>05 ghi Version 1.0.0 (dòng 14), không thuộc trường hợp phiên bản &gt; v1.0.</t>
  </si>
  <si>
    <t>Không có bảng ghi nhận thay đổi để đánh giá.</t>
  </si>
  <si>
    <t>05 mục I mô tả nhiệm vụ của service, CHUONG_I Bước 1 mô tả mục đích hệ thống; không có câu nêu mục đích hay đối tượng đọc của chính tài liệu.</t>
  </si>
  <si>
    <t>CHUONG_I Bước 2 nêu phạm vi theo từng tác nhân (thanh toán qua cổng điện tử hoặc khi nhận hàng), 05 mục 1.1 nêu nhóm chức năng. Tuy nhiên sơ đồ 05 mục 1.2 vẫn vẽ Momo/Stripe nằm ngoài phạm vi.</t>
  </si>
  <si>
    <t>CHUONG_I mục 1 định nghĩa Cổng thanh toán, Giao dịch thanh toán/hoàn tiền, Xác nhận thanh toán (#7, #21, #22, #48) nhưng không định nghĩa IPN, TxnRef, QueryDR, HMAC-SHA512, Outbox/CDC được dùng xuyên suốt 05.</t>
  </si>
  <si>
    <t>Không có danh mục tài liệu tham khảo, kể cả tài liệu API VNPay 2.1.0 mà 05 mục 3.3 dựa vào.</t>
  </si>
  <si>
    <t>Không có danh mục tài liệu tham khảo nên không đánh giá được.</t>
  </si>
  <si>
    <t>Banner đầu 05 (dòng 3-11) nêu rõ đây là thiết kế ban đầu và liệt kê phần không khớp code (không có MoMo/Stripe, trạng thái thực tế...); mục 3.1 ghi chú Strategy Pattern chỉ là thiết kế.</t>
  </si>
  <si>
    <t>Không có mục mô tả cấu trúc tài liệu; 05 chỉ có các heading I–X.</t>
  </si>
  <si>
    <t>CHUONG_II 1.4, 1.5 có kịch bản chính và ngoại lệ; 05 mục 2.1–2.3 có sequence diagram khởi tạo thanh toán, webhook và đối soát QueryDR.</t>
  </si>
  <si>
    <t>05 mục 1.1 liệt kê 5 nhóm chức năng; CHUONG_I 3.1/3.5/3.6 liệt kê UC Online Payment, Verify Payment Webhook, Process Refund, Verify Refund Webhook.</t>
  </si>
  <si>
    <t>Danh sách chức năng được phân nhóm hợp lý nhưng mô tả có nhiều điểm sai so với code (xem 2 câu dưới).</t>
  </si>
  <si>
    <t>Nhóm theo nghiệp vụ: Khởi tạo, Webhook, Idempotency, Lịch sử, Hoàn tiền (05 mục 1.1) và theo biểu đồ UC Đặt hàng/Hủy đơn (CHUONG_I 3.5, 3.6).</t>
  </si>
  <si>
    <t>05 mục 2.1 ghi txnRef 'PAY-{orderId}-{timestamp}' nhưng code dùng UUID (PaymentServiceImpl.java:177); 05 mục 2.2 ghi chữ ký sai trả 400 nhưng code trả HTTP 200 RspCode 97. CHUONG_II 1.5 bước 16 và ngoại lệ 16.1 mô tả gọi VNPay ngay, Refund 'REFUND_PENDING', backoff 10 phút, còn code tạo Refund PENDING và scheduler chạy mỗi phút (RA_SOAT C5, E28); UC Verify Refund Webhook không tồn tại (RA_SOAT B6).</t>
  </si>
  <si>
    <t>Mỗi API có cột quyền (05 mục 6.3: ADMIN, STAFF; refund chỉ ADMIN) và UC có actor; nhưng CHUONG_I 3.1 gán Process Refund cho 'nhân viên bán hàng và nhân viên quản lý', khác code chỉ ROLE_ADMIN (RA_SOAT B10).</t>
  </si>
  <si>
    <t>CHUONG_I mục 1 (#3, #6, #7) và Bước 2 mô tả vai trò Khách hàng, Quản trị viên, Cổng thanh toán.</t>
  </si>
  <si>
    <t>05 mục 1.2 có sơ đồ luồng thanh toán, mục VIII có ERD; CHUONG_I 3.1 có biểu đồ UC tổng quan (link puml dạng file:///d:/... không mở được, RA_SOAT A17).</t>
  </si>
  <si>
    <t>Chỉ liệt kê vai trò, không mô tả đặc điểm người dùng (trình độ, tần suất sử dụng, thiết bị).</t>
  </si>
  <si>
    <t>Có ràng buộc nghiệp vụ và kỹ thuật: bắt buộc xác thực HMAC-SHA512 (05 mục 6.2), hạn thanh toán 15 phút (05 mục 2.3), chỉ hỗ trợ VNPay + COD (banner).</t>
  </si>
  <si>
    <t>Không có mục giả thiết và phụ thuộc riêng; phụ thuộc vào order-service, Kafka/Debezium, VNPay sandbox chỉ thấy rải rác trong các sơ đồ.</t>
  </si>
  <si>
    <t>Yêu cầu không có mã định danh; chỉ mô tả dạng bảng chức năng và kịch bản.</t>
  </si>
  <si>
    <t>CHUONG_II 1.4 ghi hậu điều kiện đơn 'PAID' trong khi 05 banner ghi thanh toán xong đơn sang CONFIRMED; quan hệ Cancel–Process Refund vẽ include ở uc_tong_quan nhưng extend ở uc_huy_don (RA_SOAT B22).</t>
  </si>
  <si>
    <t>Yêu cầu chức năng không có độ ưu tiên; chỉ bảng 'Điểm cải tiến tương lai' (05 mục X) có cột ưu tiên.</t>
  </si>
  <si>
    <t>UC chỉ có tên tiếng Anh (Online Payment, Process Refund...), không có mã hiệu UC/REQ.</t>
  </si>
  <si>
    <t>Link puml trỏ vào máy cá nhân file:///d:/Downloads/... (CHUONG_I 3.1, 3.5, 3.6; RA_SOAT A17); sequence 05 mục 2.1 ghi 'POST /api/payments/initiate' khác bảng API mục 6.1 '/api/v1/payments/initiate'.</t>
  </si>
  <si>
    <t>Không có tiêu chí nghiệm thu cho chức năng thanh toán và hoàn tiền.</t>
  </si>
  <si>
    <t>Kịch bản CHUONG_II thiếu hoàn tiền một phần (PARTIALLY_REFUNDED), trạng thái PENDING_MANUAL, late payment tự hoàn tiền, COD chuyển SUCCESS khi giao hàng (05 chỉ nhắc trong banner).</t>
  </si>
  <si>
    <t>Trong 05, phần chưa có trong code được đánh dấu bằng banner và ghi chú ⚠️ (mục 3.1); nhưng CHUONG_I/II không đánh dấu phần chưa làm (email biên lai hoàn tiền, webhook hoàn tiền).</t>
  </si>
  <si>
    <t>Không có yêu cầu chất lượng định lượng (thời gian phản hồi, tỉ lệ xử lý IPN, SLA hoàn tiền); chỉ có thông điệp 'hoàn trong 1-3 ngày làm việc' (CHUONG_II 1.5 bước 19).</t>
  </si>
  <si>
    <t>Còn yêu cầu ngoài phạm vi thực hiện: Momo/Stripe/ZaloPay (05 mục 3.1–3.2), Verify Refund Webhook và email biên lai hoàn tiền (RA_SOAT A14).</t>
  </si>
  <si>
    <t>Nhiều nội dung là giải pháp thiết kế: code Java PaymentGateway, DDL SQL (05 mục III–V); kịch bản CHUONG_II 1.5 bước 11, 16 nêu cả tên hàm findByIdForUpdate, callVnPayRefundApi.</t>
  </si>
  <si>
    <t>Có ngoại lệ hết hàng, hủy/quá 15 phút (CHUONG_II 1.4: 17.1, 20.1), VNPay hoàn tiền lỗi (1.5: 16.1), chữ ký sai/giao dịch đã xử lý (05 mục 2.2, 4.3); nhưng 20.1 ('PAYMENT_FAILED') và 16.1 mô tả sai so với code.</t>
  </si>
  <si>
    <t>05 đủ cơ sở cho thiết kế: schema payments/refunds/webhook_logs (mục V), API (mục VI), event (mục VII), sequence (mục II), dù một số chi tiết đã cũ.</t>
  </si>
  <si>
    <t>VNPay + COD, QueryDR, hoàn tiền tự động đã được hiện thực trong payment-service; riêng Momo/Stripe và webhook hoàn tiền không làm được trong phạm vi hiện tại.</t>
  </si>
  <si>
    <t>Có mô tả thuật toán ký/kiểm tra HMAC-SHA512 (05 mục 4.2), đối soát QueryDR (mục 2.3), chống xử lý trùng webhook (mục 4.3).</t>
  </si>
  <si>
    <t>Phần lớn bước có kết quả quan sát được (RspCode 00/97/02, trạng thái SUCCESS/EXPIRED, hạn 15 phút) nên kiểm tra được bằng test/demo; các câu như 'tiền về trong 1-3 ngày' chỉ kiểm được bằng review.</t>
  </si>
  <si>
    <t>05 không có bảng thông báo lỗi; CHUONG_II 1.4 chỉ có 1 thông báo; RspCode 04 (sai số tiền) không được tài liệu hóa và code trả 'Unknown error' (WebhookController.java:46-61).</t>
  </si>
  <si>
    <t>UC Online Payment, Verify Payment Webhook gắn với Chức năng 4; Process Refund gắn với Chức năng 5 (CHUONG_I Bước 3).</t>
  </si>
  <si>
    <t>05 mục IV về bảo mật webhook (HMAC, idempotency), mục 6.1 yêu cầu JWT, mục 6.3 phân quyền ADMIN/STAFF.</t>
  </si>
  <si>
    <t>Xác thực JWT Keycloak, phân quyền theo vai trò, chữ ký HMAC-SHA512 so sánh constant-time (05 mục 4.2), chống xử lý trùng webhook; code hiện so sánh bằng equalsIgnoreCase (PaymentServiceImpl.java:296).</t>
  </si>
  <si>
    <t>Không có yêu cầu sao lưu dữ liệu giao dịch thanh toán.</t>
  </si>
  <si>
    <t>Không có yêu cầu usability; CHUONG_II chỉ mô tả giao diện mẫu.</t>
  </si>
  <si>
    <t>Không có yêu cầu định lượng về độ ổn định; đối soát QueryDR và outbox chỉ được mô tả như giải pháp (05 mục 2.3, VII).</t>
  </si>
  <si>
    <t>Không có yêu cầu hiệu năng (thời gian tạo URL thanh toán, xử lý IPN).</t>
  </si>
  <si>
    <t>Không nêu lưu lượng giao dịch/ngày hay quy mô dữ liệu payments/refunds.</t>
  </si>
  <si>
    <t>Không có yêu cầu hỗ trợ/giám sát (log, cảnh báo refund PENDING_MANUAL); bảng webhook_logs chỉ có ở mức schema.</t>
  </si>
  <si>
    <t>05 nêu MariaDB 10.11, Kafka + Debezium CDC, VNPay API 2.1.0, cấu hình Docker (đầu tài liệu, banner, mục 3.3, IX).</t>
  </si>
  <si>
    <t>Có mô tả giao tiếp GUI (CHUONG_II), với VNPay và Kafka (05); chi tiết ở các câu dưới.</t>
  </si>
  <si>
    <t>CHUONG_II 1.4, 1.5 mô tả màn hình checkout, chọn phương thức VNPay/COD, modal hủy đơn và hoàn tiền.</t>
  </si>
  <si>
    <t>Module không có giao tiếp phần cứng.</t>
  </si>
  <si>
    <t>Có giao tiếp phần mềm với VNPay và các service nội bộ (xem 2 câu dưới).</t>
  </si>
  <si>
    <t>05 mục 3.3, 6.2, 2.3 mô tả tạo URL VNPay, IPN callback, QueryDR; API hoàn tiền của VNPay chỉ được nhắc trong CHUONG_II 1.5.</t>
  </si>
  <si>
    <t>05 mục VII mô tả event trên payment-events (PaymentSuccessEvent, PaymentFailedEvent, PaymentCODConfirmedEvent, RefundCompletedEvent); thiếu lời gọi GET /api/internal/orders/{id}/summary sang order-service (sequence 2.1 vẫn vẽ 'SELECT * FROM orders').</t>
  </si>
  <si>
    <t>Giao tiếp REST/HTTP và Kafka được nêu (05 mục VI, VII) nhưng không quy định HTTPS, timeout, retry.</t>
  </si>
  <si>
    <t>Không có yêu cầu tài liệu người dùng hay hướng dẫn trực tuyến.</t>
  </si>
  <si>
    <t>Dùng cổng thanh toán VNPay (bên thứ ba), cùng Debezium và Keycloak.</t>
  </si>
  <si>
    <t>VNPay chỉ được mô tả qua cấu hình sandbox và ví dụ tham số; thiếu bảng mã phản hồi, đặc tả API hoàn tiền/QueryDR, điều kiện hợp đồng/SLA.</t>
  </si>
  <si>
    <t>Không đề cập yêu cầu pháp lý (bảo vệ dữ liệu thanh toán, hóa đơn điện tử, PCI-DSS).</t>
  </si>
  <si>
    <t>Không có yêu cầu pháp lý nào được nêu.</t>
  </si>
  <si>
    <t>Áp dụng chuẩn giao tiếp VNPay Payment API v2.1.0 và HMAC-SHA512 (05 mục 3.3, 4.2).</t>
  </si>
  <si>
    <t>Không dẫn chiếu tài liệu chuẩn của VNPay, không có bảng tham số và mã lỗi đầy đủ.</t>
  </si>
  <si>
    <t>Điểm mạnh: 05_PAYMENT_SERVICE.md có banner nêu rõ phần khác code, sequence diagram cho khởi tạo/IPN/QueryDR, schema, API và event; CHUONG_II 1.4–1.5 có kịch bản chi tiết kèm ngoại lệ; bảo mật webhook được giải thích rõ. Điểm yếu: không đáp ứng kiểm soát tài liệu (không mã hiệu, lịch sử thay đổi, trang ký); yêu cầu không có mã, độ ưu tiên, tiêu chí nghiệm thu; nhiều mô tả sai so với code (txnRef, mã lỗi chữ ký, luồng và trạng thái hoàn tiền, đơn 'PAID'); còn yêu cầu ngoài phạm vi (Momo/Stripe, webhook hoàn tiền, email biên lai); không có NFR định lượng.</t>
  </si>
  <si>
    <t>1. Thêm trang thông tin tài liệu (mã hiệu, phiên bản, ngày ban hành, người lập/xem xét/phê duyệt) và bảng lịch sử thay đổi.
2. Đánh mã UC/REQ (ví dụ UC-PAY-01), gán độ ưu tiên và tiêu chí nghiệm thu cho từng yêu cầu.
3. Sửa 05 theo code: txnRef UUID, callback trả HTTP 200 + RspCode 97/04, response có redirectUrl; bỏ Momo/Stripe khỏi sơ đồ 1.2; sequence 2.1 gọi order-service thay vì đọc bảng orders.
4. Viết lại CHUONG_II 1.4/1.5: thanh toán xong đơn sang CONFIRMED; hủy đơn tạo Refund PENDING, scheduler 1 phút, PENDING_MANUAL; bỏ Verify Refund Webhook và email biên lai hoặc chuyển sang hướng phát triển.
5. Bổ sung NFR định lượng (thời gian xử lý IPN, hạn thanh toán, số lần retry), bảng mã lỗi/thông báo, tài liệu tham khảo VNPay, thuật ngữ IPN/QueryDR/Outbox.
6. Tách phần thiết kế (code Java, DDL) khỏi phần đặc tả yêu cầu.</t>
  </si>
  <si>
    <t>payment-service (BE/payment-service/src/main/java/com/ecommerce/paymentservice/)</t>
  </si>
  <si>
    <t>23/26 file, khoảng 2.150 LOC: PaymentServiceImpl, PaymentService, 3 controller (Payment, AdminPayment, Webhook), PaymentScheduler, OrderKafkaConsumer, 4 repository, 3 config (Security, RestTemplate, InternalApiKeyFilter), GlobalExceptionHandler, entity Payment/Refund/OutboxEvent, DTO PaymentInitiateRequest/Response, RefundRequest, application.yml</t>
  </si>
  <si>
    <t>Phân lớp rõ (controller → PaymentServiceImpl → repository), các bước được đánh dấu STEP 1/2/3 (PaymentServiceImpl.java:120, 173, 414, 420). Điểm trừ: PaymentServiceImpl.java dồn 970 dòng cho mọi nghiệp vụ (khởi tạo, IPN, hoàn tiền, QueryDR, ký HMAC) nên khó đọc.</t>
  </si>
  <si>
    <t>Trạng thái dùng hằng String thay vì enum (PaymentServiceImpl.java:90-99, Payment.java:51); còn field inject nhưng không dùng (kafkaTemplate :50, vnpayExpiryHours :72, paymentTopic :84) và tên lớp đầy đủ viết inline (:55, :57).</t>
  </si>
  <si>
    <t>camelCase nhất quán (txnRef, gatewayTxnId, isFullRefundSnapshot). Ngoại lệ: biến chứa chuỗi hex HMAC đặt tên uuid (PaymentServiceImpl.java:818), biến cục bộ log che logger Slf4j (:746).</t>
  </si>
  <si>
    <t>Thụt lề 4 dấu cách, tham số xuống dòng thẳng hàng trong cả 25 file Java; chỉ vài comment bị ngắt dòng vụn (PaymentServiceImpl.java:103-108).</t>
  </si>
  <si>
    <t>Kiểu K&amp;R nhất quán; ngoại lệ là if không có ngoặc nhọn ở PaymentServiceImpl.java:821-822.</t>
  </si>
  <si>
    <t>Không file nào có header, thông tin bản quyền hay @author (grep 'copyright|@author' trên BE/payment-service/src không có kết quả).</t>
  </si>
  <si>
    <t>Chỉ một phần: field entity có comment cạnh bên (Payment.java:34-40), hằng REFUND_STATUS_PENDING_MANUAL có giải thích (PaymentServiceImpl.java:97-99); các field @Value và dependency (PaymentServiceImpl.java:46-84) không có ghi chú.</t>
  </si>
  <si>
    <t>Tiền dùng BigDecimal precision 19, scale 2 (Payment.java:42, Refund.java:27), TTL khai báo thành hằng Duration (PaymentServiceImpl.java:57). Điểm trừ: mã phản hồi VNPay '00','97','01','02','04','91','99' và hệ số ×100 là literal rải rác (:268-331, :561, :762).</t>
  </si>
  <si>
    <t>Cả module chỉ có 4 khối Javadoc; interface PaymentService.java và các public method (initiatePayment, verifyVnPayCallback, processRefund...) không mô tả tham số, giá trị trả về, ngoại lệ.</t>
  </si>
  <si>
    <t>Có giải thích chuỗi ký HMAC của API hoàn tiền theo spec VNPay (PaymentServiceImpl.java:517-518), lý do re-encode khi verify chữ ký (:288), phân loại mã refund được retry (:558-560) và nhánh late payment tự hoàn tiền (:339-342).</t>
  </si>
  <si>
    <t>Không phát hiện đoạn code bị comment-out trong BE/payment-service/src/main nên không có gì cần giải thích.</t>
  </si>
  <si>
    <t>Comment trạng thái đã cũ: Payment.java:51 ghi 'PENDING, SUCCESS, FAILED, REFUNDED' (thiếu EXPIRED/REFUND_PENDING/PARTIALLY_REFUNDED), Refund.java:35 ghi 'PENDING, SUCCESS, FAILED' trong khi code dùng PENDING_MANUAL; SecurityConfig.java:29 còn nhắc 'MoMo' không tồn tại.</t>
  </si>
  <si>
    <t>Comment trong luồng chính mô tả đúng hành vi, ví dụ lý do gọi order-service ngoài transaction (PaymentServiceImpl.java:121-123), lý do chỉ phát RefundCompletedEvent khi tiền đã chuyển (:458-463). Ngoại lệ là các comment liệt kê trạng thái cũ nêu ở câu trên.</t>
  </si>
  <si>
    <t>Đa số comment giải thích lý do: dùng Redis lock thay ConcurrentHashMap vì chạy nhiều instance (PaymentServiceImpl.java:103-108), tách PENDING_MANUAL để scheduler không lặp mãi (:97-98), dùng outbox để ghi DB và event nguyên tử (:953-954).</t>
  </si>
  <si>
    <t>Tên hàm phản ánh đúng việc làm (verifyVnPayCallback, cancelExpiredPayments, checkVnPayTransactionStatus); riêng initiateAutoRefund còn chuyển payment PENDING → FAILED (PaymentServiceImpl.java:861-865) nên tên chưa bao quát.</t>
  </si>
  <si>
    <t>Giá trị trả về đều được kiểm tra: response order-service null hoặc khác SUCCESS (PaymentServiceImpl.java:130-133), response VNPay null (:544, :729), Optional của repository (:305-311, :632-634).</t>
  </si>
  <si>
    <t>GlobalExceptionHandler map IllegalArgument→400, IllegalState→409, AccessDenied→403 (GlobalExceptionHandler.java:21-43) và mọi lời gọi VNPay đều có try/catch (:564-567, :739-741). Tuy nhiên initiatePayment bọc mọi lỗi nghiệp vụ thành RuntimeException 'Order verification failed' (:168-171) nên lỗi trạng thái đơn thành 500.</t>
  </si>
  <si>
    <t>Lỗi 'Cannot pay for order in status' bị che thành 500 với thông điệp chung (PaymentServiceImpl.java:148, 168-171 + GlobalExceptionHandler.java:79-86). processRefund nếu kiểm tra lại thất bại sau khi VNPay đã hoàn tiền (:416-436) thì ném exception và kết quả gateway bị mất, không có bản ghi Refund.</t>
  </si>
  <si>
    <t>Không cấp phát thủ công, bộ nhớ do GC quản lý, không có cache static tăng dần. Lưu ý cancelExpiredPayments nạp toàn bộ payment hết hạn vào List không giới hạn (PaymentServiceImpl.java:614).</t>
  </si>
  <si>
    <t>Kết nối DB do Spring/TransactionTemplate quản lý và rollback khi lỗi; Redis lock khởi tạo thanh toán được nhả trong finally (PaymentServiceImpl.java:243-249); RestTemplate có connect/read timeout 3s/5s (RestTemplateConfig.java:27-29, 44-46).</t>
  </si>
  <si>
    <t>Không thấy đối tượng nào bị giải phóng 2 lần; lock Redis chỉ bị xóa khi giá trị còn khớp lockValue (PaymentServiceImpl.java:246-248).</t>
  </si>
  <si>
    <t>Bean service, scheduler, consumer chỉ có field final được inject và cấu hình @Value, không có trạng thái dùng chung thay đổi được giữa các thread.</t>
  </si>
  <si>
    <t>processRefund gọi VNPay trước khi khóa payment (PaymentServiceImpl.java:416-418, khóa ở :423) nên 2 admin thao tác đồng thời có thể hoàn tiền 2 lần ở cổng. OrderKafkaConsumer cập nhật COD → SUCCESS bằng findByOrderId không khóa (OrderKafkaConsumer.java:66-72), có thể ghi đè trạng thái do luồng hủy đơn vừa đặt.</t>
  </si>
  <si>
    <t>Mỗi luồng chỉ giữ một khóa tại một thời điểm (Redis lock hoặc SELECT ... FOR UPDATE, nhả khi commit). Tuy vậy bước nhả Redis lock là get rồi delete, không nguyên tử (PaymentServiceImpl.java:246-248); nên dùng script Lua compare-and-delete.</t>
  </si>
  <si>
    <t>Deadlock khó xảy ra (thứ tự khóa Refund→Payment chỉ có ở processPendingRefunds :907, :920), nhưng có tranh chấp: lock scheduler processPendingRefunds TTL 45s (PaymentScheduler.java:47) có thể hết hạn khi đang chạy (mỗi lời gọi VNPay tới 8s), nên 2 instance có thể cùng gọi VNPay cho một refund trước khi khóa hàng (:899-907).</t>
  </si>
  <si>
    <t>Các vòng for-each trên danh sách payment/refund và vòng ghép chuỗi ký (PaymentServiceImpl.java:283-293, 786-805) đều kết thúc theo iterator.</t>
  </si>
  <si>
    <t>Không có while vô hạn, nhưng có vòng retry không giới hạn qua scheduler: refund lỗi retryable (mã 91/99 hoặc exception) giữ PENDING và được gọi lại VNPay mỗi phút mãi mãi, không có số lần tối đa hay backoff (PaymentServiceImpl.java:473-477, 561-566). Payment có kết quả QueryDR không rõ cũng bị truy vấn lại mỗi 5 phút vô hạn (:669-673).</t>
  </si>
  <si>
    <t>Không có vòng lặp lồng nhau đáng kể; các vòng chính chỉ một tầng (cancelExpiredPayments :618, processPendingRefunds :885).</t>
  </si>
  <si>
    <t>Tạo mới TransactionTemplate trong mỗi lần gọi (PaymentServiceImpl.java:175, 421, 616, 883) thay vì dùng một bean chung; khối mapping Payment→PaymentResponse lặp nguyên văn ở :574-584 và :598-608.</t>
  </si>
  <si>
    <t>sumSuccessfulRefunds tải toàn bộ refund rồi lọc trong bộ nhớ thay vì SUM ở DB (PaymentServiceImpl.java:450-456); processPendingRefunds gọi findById cho từng refund (N+1, :888); findAllByStatusAndCreatedAtBefore không phân trang (:614); show-sql: true (application.yml:19) làm chậm và phình log.</t>
  </si>
  <si>
    <t>Ngoài các điểm trên, COD lưu payment 2 lần liên tiếp (PaymentServiceImpl.java:217, 222) và danh sách admin trả kèm gatewayResponse JSON thô cho mọi dòng (:581).</t>
  </si>
  <si>
    <t>PaymentInitiateRequest chỉ có @NotNull orderId và @NotBlank paymentMethod (PaymentInitiateRequest.java:17-23), không giới hạn VNPAY/COD: mọi giá trị khác COD đều sinh URL VNPay (PaymentServiceImpl.java:219-235), nhưng khi hoàn tiền chỉ 'VNPAY' mới gọi cổng, giá trị khác bị coi như COD và đánh dấu SUCCESS mà không chuyển tiền (:416-418, 466-468).</t>
  </si>
  <si>
    <t>Module không truy cập mảng theo chỉ số; dữ liệu đọc từ Map/JSON đều được kiểm tra null (PaymentServiceImpl.java:151-154, 315-318; OrderKafkaConsumer.java:46-50).</t>
  </si>
  <si>
    <t>Java bắt buộc khai báo trước khi dùng; biến dùng trong lambda được tách thành biến final (finalVnpStatus, PaymentServiceImpl.java:626).</t>
  </si>
  <si>
    <t>PaymentServiceImpl.java dài 970 dòng; initiatePayment khoảng 150 dòng (:102-251), verifyVnPayCallback khoảng 130 dòng (:255-386). Nên tách VnPayClient (ký, build URL, QueryDR, API hoàn tiền) và RefundService riêng.</t>
  </si>
  <si>
    <t>Chữ ký HMAC của VNPay có được so sánh an toàn và không bị lộ qua log không?</t>
  </si>
  <si>
    <t>So sánh bằng equalsIgnoreCase (không constant-time) thay vì MessageDigest.isEqual như 05_PAYMENT_SERVICE.md mục 4.2 (PaymentServiceImpl.java:296); khi chữ ký sai, log in cả hash đúng do server tính (:299) và toàn bộ tham số callback (:256, WebhookController.java:40).</t>
  </si>
  <si>
    <t>Số tiền thanh toán có được lấy từ nguồn tin cậy thay vì client gửi lên không?</t>
  </si>
  <si>
    <t>Số tiền lấy từ order-service /api/internal/orders/{id}/summary rồi ghi đè request.amount (PaymentServiceImpl.java:124-163), IPN đối chiếu vnp_Amount (:314-332). Điểm trừ: đổi Number qua doubleValue() (:158) có thể sai số, và nếu order trả userId null thì bỏ qua kiểm tra chủ đơn (:141).</t>
  </si>
  <si>
    <t>Luồng hoàn tiền có chống gọi trùng cổng VNPay khi xử lý đồng thời không?</t>
  </si>
  <si>
    <t>Cả processRefund (PaymentServiceImpl.java:416-423) và processPendingRefunds (:899-907) gọi VNPay trước khi khóa hàng và kiểm tra lại trạng thái, nên khi chạy đồng thời có thể hoàn tiền 2 lần ở cổng dù DB chỉ ghi 1 lần.</t>
  </si>
  <si>
    <t>Bí mật cấu hình (hash-secret VNPay, API key nội bộ) có được tách khỏi mã nguồn không?</t>
  </si>
  <si>
    <t>application.yml:53 để sẵn giá trị mặc định cho VNPAY_HASH_SECRET và :63 INTERNAL_API_KEY=dev-internal-api-key; InternalApiKeyFilter.java:30-33 cho qua mọi request /api/internal/** nếu key rỗng.</t>
  </si>
  <si>
    <t>Module có test tự động (unit/integration) cho khởi tạo thanh toán, IPN và hoàn tiền không?</t>
  </si>
  <si>
    <t>BE/payment-service không có thư mục src/test.</t>
  </si>
  <si>
    <t>* Điểm mạnh:
- Bảo mật thanh toán khá đầy đủ: ký và kiểm tra HMAC-SHA512, lấy số tiền từ order-service và đối chiếu vnp_Amount ở IPN, chặn IDOR khi xem payment theo JWT (PaymentServiceImpl.java:593-596, PaymentController.java:56-68).
- Có ý thức về giao dịch phân tán: event ghi outbox cho Debezium, gọi mạng (order-service, VNPay) nằm ngoài transaction DB, khóa bi quan khi xử lý IPN/refund, scheduler có khóa Redis.
- Xử lý nghiệp vụ biên tốt: đối soát QueryDR trước khi đánh dấu EXPIRED, late payment tự tạo refund, phân loại refund retry được và PENDING_MANUAL, hỗ trợ hoàn tiền một phần.
- Comment chủ yếu giải thích lý do thiết kế (V-01/V-10/BUG-03...).</t>
  </si>
  <si>
    <t>1. Chống hoàn tiền trùng: ghi Refund trạng thái PROCESSING dưới khóa trước khi gọi VNPay (hoặc dùng vnp_RequestId cố định theo refund) cho cả processRefund và processPendingRefunds; tăng TTL hoặc gia hạn lock scheduler.
2. So sánh chữ ký bằng MessageDigest.isEqual, bỏ log hash tính toán và tham số callback đầy đủ.
3. Đổi paymentMethod và trạng thái Payment/Refund sang enum, từ chối phương thức ngoài VNPAY/COD.
4. Thêm số lần retry tối đa + backoff cho refund và QueryDR, quá ngưỡng thì chuyển PENDING_MANUAL và cảnh báo.
5. Không bọc lỗi nghiệp vụ thành RuntimeException trong initiatePayment; trả 400/409 đúng nghĩa. Khóa hàng khi cập nhật COD trong OrderKafkaConsumer.
6. Tách PaymentServiceImpl (VnPayClient, RefundService), dùng truy vấn SUM cho refund, xóa field không dùng, tắt show-sql.
7. Đưa secret ra biến môi trường không có giá trị mặc định; viết test cho ký HMAC, IPN và hoàn tiền.</t>
  </si>
  <si>
    <t>Phân hệ: PH5 – Thanh toán</t>
  </si>
  <si>
    <t>Chọn phương thức &amp; khởi tạo thanh toán</t>
  </si>
  <si>
    <t>Chọn COD/VNPay ở checkout, chuyển hướng cổng VNPay, trạng thái thanh toán trên trang đơn</t>
  </si>
  <si>
    <t>Kết quả thanh toán VNPay</t>
  </si>
  <si>
    <t>Callback/redirect VNPay về /order/{id}?paymentStatus=..., banner kết quả, chữ ký và số tiền bị sửa</t>
  </si>
  <si>
    <t>Quản lý giao dịch &amp; hoàn tiền (Admin)</t>
  </si>
  <si>
    <t>Tab Transaction: hiển thị, tìm kiếm, lọc, chi tiết, hoàn tiền VNPay và phân quyền hoàn tiền</t>
  </si>
  <si>
    <t>1. TỔNG QUAN KẾT QUẢ
- Tổng cộng 21 test case được thực hiện, trong đó 17 Pass (81%) và 4 Fail (19%), không có Pending.
- Phân loại theo nhóm: UI/UX 3, Function 10, Negative 8.
Sandbox VNPay trả "Website này chưa được phê duyệt" (Error.html?code=71), nên không nhập được thẻ NCB. Bước VNPay trả kết quả về được thực hiện bán tự động: trình duyệt mở URL callback có chữ ký HMAC-SHA512 hợp lệ (hash secret sandbox trong .env.example). Banner kết quả cũng được kiểm tra trực tiếp qua ?paymentStatus=.</t>
  </si>
  <si>
    <t>2. PHÂN TÍCH KẾT QUẢ
Nhóm UI/UX (3 test case): 100% Pass. Chọn phương thức COD/VNPAY, responsive 375px và tab Transaction hiển thị đúng.
Nhóm Function (10 test case): 9 Pass, 1 Fail. Admin hoàn tiền nhận thông báo "Thực hiện hoàn tiền thành công!" nhưng payment vẫn SUCCESS (UI_PH5_FR03_008). Các ca còn lại đều đạt: chuyển hướng VNPay đúng số tiền và mã đơn; thanh toán thành công chuyển đơn CONFIRMED, payment SUCCESS; trạng thái COD "Chờ thanh toán"/"Đã nhận thanh toán"; banner mã 24 và banner đơn đã hủy; tìm và xem chi tiết giao dịch.
Nhóm Negative (8 test case): 5 Pass, 3 Fail.
- Chỉ cần sửa URL thành ?paymentStatus=00 là hiện banner "Thanh toán thành công" dù payment còn PENDING (UI_PH5_FR02_004).
- Khách hủy tại VNPay (mã 24) bị redirect về paymentStatus=00, trang báo "được ghi nhận thành công... liên hệ hoàn tiền" (UI_PH5_FR02_007).
- Giao dịch REFUND_PENDING hiện "Chờ duyệt" (UI_PH5_FR03_006).
Điểm tích cực: callback sai chữ ký (mã 97) và sai số tiền (mã 04) bị từ chối, không ghi nhận thanh toán; giao dịch COD không có nút hoàn tiền; thiếu lý do hoàn tiền bị chặn; STAFF hoàn tiền nhận 403 "Access Denied".</t>
  </si>
  <si>
    <t>3. PHÂN TÍCH NGUYÊN NHÂN GỐC
- OrderDetailPage quyết định banner chỉ theo query param paymentStatus, không đối chiếu trạng thái từ GET /payments/order/{id}.
- WebhookController redirect trình duyệt bằng mã kết quả xử lý callback (rspCode "00" nghĩa là đã xử lý xong), không dùng vnp_ResponseCode của giao dịch.
- TransactionsTab chỉ map SUCCESS/REFUNDED/FAILED/EXPIRED/CANCELLED; REFUND_PENDING rơi vào nhánh "Pending".
- processRefund trả 200 cả khi cổng chưa xác nhận hoàn tiền (refund PENDING/PENDING_MANUAL), FE luôn báo thành công.</t>
  </si>
  <si>
    <t>4. MỨC ĐỘ NGHIÊM TRỌNG
- Cao (High): khách hủy giao dịch tại VNPay lại thấy "ghi nhận thành công" và được hướng dẫn hoàn tiền; admin được báo hoàn tiền thành công trong khi tiền chưa hoàn. Cả hai gây sai lệch nghiệp vụ và dễ dẫn tới khiếu nại.
- Trung bình (Medium): banner thành công giả mạo được bằng URL (chỉ ảnh hưởng hiển thị, không đổi trạng thái thanh toán); REFUND_PENDING hiển thị sai trạng thái.
- Ghi chú môi trường: merchant sandbox VNPay chưa được duyệt (code 71), cần cấu hình TMN code hợp lệ để kiểm thử thanh toán và hoàn tiền thật.</t>
  </si>
  <si>
    <t>FR_01 – Chọn phương thức &amp; khởi tạo thanh toán</t>
  </si>
  <si>
    <t>UI_PH5_FR01_001</t>
  </si>
  <si>
    <t>Kiểm tra giao diện chọn phương thức thanh toán</t>
  </si>
  <si>
    <t>1. Mở /checkout.
2. Quan sát khối phương thức thanh toán.
3. Chọn VNPAY.</t>
  </si>
  <si>
    <t>Có 2 lựa chọn "COD (Thanh toán khi nhận hàng)" (mặc định) và "Thanh toán qua VNPAY"; chọn VNPAY thì COD bỏ chọn.</t>
  </si>
  <si>
    <t>UI_PH5_FR01_002</t>
  </si>
  <si>
    <t>Đặt hàng VNPay chuyển hướng sang cổng thanh toán</t>
  </si>
  <si>
    <t>Người nhận UI Test VNPay V; địa chỉ mới; VNPAY</t>
  </si>
  <si>
    <t>1. Mở /checkout, điền địa chỉ, chọn VNPAY.
2. Bấm "Xác nhận &amp; Đặt hàng".
3. Quan sát request /payments/initiate và URL chuyển tới.</t>
  </si>
  <si>
    <t>Gửi /payments/initiate với paymentMethod "VNPAY"; trình duyệt chuyển sang sandbox.vnpayment.vn với vnp_Amount = tổng tiền × 100 và vnp_OrderInfo chứa mã đơn; đơn ở trạng thái chờ thanh toán.</t>
  </si>
  <si>
    <t>Chuyển hướng đúng. Trang sandbox VNPay trả "Website này chưa được phê duyệt" (Error.html?code=71) do mã merchant sandbox chưa được duyệt – lỗi môi trường, không phải lỗi ứng dụng. Bằng chứng: Đơn #1324; body initiate={"orderId":1324,"paymentMethod":"VNPAY"}; vnp_Amount=3290900000 (finalAmount=32909000); trang VNPay hiện tại: /paymentv2/Payment/Error.html?code=71 - Vi Thông báo Website này chưa được phê duyệt Mã tra cứu 2d2p4CdnOb Thời gian gia</t>
  </si>
  <si>
    <t>UI_PH5_FR01_003</t>
  </si>
  <si>
    <t>Thanh toán VNPay thành công và quay về trang đơn hàng</t>
  </si>
  <si>
    <t>Đơn VNPay mới (UI Test VNPay P); mô phỏng VNPay trả về mã 00 với chữ ký HMAC-SHA512 hợp lệ</t>
  </si>
  <si>
    <t>1. Đặt đơn VNPay qua giao diện (tới trang sandbox).
2. Vì sandbox báo merchant chưa duyệt (code 71), mô phỏng bước VNPay chuyển trình duyệt về callback với mã 00 và chữ ký hợp lệ (bán tự động).
3. Quan sát trang /order/{id}?paymentStatus=00, tải lại trang.</t>
  </si>
  <si>
    <t>Về /order/{id}?paymentStatus=00, hiện banner xanh "Thanh toán thành công qua cổng VNPAY!..."; đơn chuyển CONFIRMED, payment SUCCESS, trang hiện "Thanh toán Online VNPAY" và "Đã nhận thanh toán".</t>
  </si>
  <si>
    <t>Thực hiện bán tự động (không thể nhập thẻ NCB vì sandbox chặn merchant). Bằng chứng: Trang sandbox: "Vi Thông báo Website này chưa được phê duyệt Mã tra cứu ypu3tuWiqy Thời gian giao dịch 17/10/2026 10:46:46 CH hotrovnpay". Mô phỏng VNPay redirect (chữ ký hợp lệ, mã 00) -&gt; paymentStatus=00; trạng thái đơn CONFIRMED; payment SUCCESS</t>
  </si>
  <si>
    <t>UI_PH5_FR01_004</t>
  </si>
  <si>
    <t>Đơn COD đã giao hiển thị đã nhận thanh toán</t>
  </si>
  <si>
    <t>Đơn B (COD, DELIVERED ở PH3)</t>
  </si>
  <si>
    <t>1. Mở /order/{B}.</t>
  </si>
  <si>
    <t>Hiện "Thanh toán khi nhận hàng" và "Đã nhận thanh toán" (payment COD chuyển SUCCESS khi giao).</t>
  </si>
  <si>
    <t>Bằng chứng: Đơn #1321 (DELIVERED), payment SUCCESS</t>
  </si>
  <si>
    <t>UI_PH5_FR01_005</t>
  </si>
  <si>
    <t>Đơn COD chưa giao hiển thị chờ thanh toán</t>
  </si>
  <si>
    <t>Đơn COD đang CONFIRMED của customer</t>
  </si>
  <si>
    <t>1. Mở chi tiết một đơn COD đã xác nhận nhưng chưa giao.</t>
  </si>
  <si>
    <t>Hiện "Thanh toán khi nhận hàng" và "Chờ thanh toán".</t>
  </si>
  <si>
    <t>Bằng chứng: Đơn #14</t>
  </si>
  <si>
    <t>UI_PH5_FR01_006</t>
  </si>
  <si>
    <t>Chọn phương thức thanh toán trên màn hình 375px</t>
  </si>
  <si>
    <t>1. Đặt kích thước 375×800, mở /checkout.
2. Bấm nhãn "Thanh toán qua VNPAY".
3. Cuộn tới nút đặt hàng.</t>
  </si>
  <si>
    <t>Radio VNPAY được chọn; nút "Xác nhận &amp; Đặt hàng" hiển thị và bấm được (không bị phần tử khác che).</t>
  </si>
  <si>
    <t>FR_02 – Kết quả thanh toán VNPay</t>
  </si>
  <si>
    <t>UI_PH5_FR02_001</t>
  </si>
  <si>
    <t>Đơn VNPay chưa thanh toán</t>
  </si>
  <si>
    <t>Đơn V (VNPay, chưa trả tiền)</t>
  </si>
  <si>
    <t>1. Mở /order/{V}.</t>
  </si>
  <si>
    <t>Hiện "Thanh toán Online VNPAY", "Chờ thanh toán"; không có banner thành công.</t>
  </si>
  <si>
    <t>UI_PH5_FR02_002</t>
  </si>
  <si>
    <t>Banner thất bại với mã lỗi 24</t>
  </si>
  <si>
    <t>URL /order/{V}?paymentStatus=24</t>
  </si>
  <si>
    <t>1. Mở /order/{V}?paymentStatus=24.</t>
  </si>
  <si>
    <t>Hiện banner đỏ "Thanh toán qua cổng VNPAY không thành công hoặc giao dịch đã bị hủy (Mã lỗi: 24)..."</t>
  </si>
  <si>
    <t>UI_PH5_FR02_003</t>
  </si>
  <si>
    <t>Banner khi đơn đã hủy nhưng VNPay báo thành công</t>
  </si>
  <si>
    <t>Đơn A (đã hủy ở PH3); paymentStatus=00</t>
  </si>
  <si>
    <t>1. Mở /order/{A}?paymentStatus=00.</t>
  </si>
  <si>
    <t>Hiện banner đỏ "...được ghi nhận thành công, nhưng đơn hàng này đã bị hủy trước đó..." (hướng dẫn hoàn tiền), không hiện banner xanh.</t>
  </si>
  <si>
    <t>UI_PH5_FR02_004</t>
  </si>
  <si>
    <t>Giả mạo tham số paymentStatus=00 trên URL</t>
  </si>
  <si>
    <t>Đơn V (payment PENDING); URL /order/{V}?paymentStatus=00</t>
  </si>
  <si>
    <t>1. Tự sửa URL thành /order/{V}?paymentStatus=00.</t>
  </si>
  <si>
    <t>Không hiện banner "Thanh toán thành công" vì giao dịch thực tế chưa thanh toán (banner phải dựa trên trạng thái payment từ server).</t>
  </si>
  <si>
    <t>Payment thực tế PENDING nhưng trang vẫn hiện banner xanh "Thanh toán thành công qua cổng VNPAY!..." chỉ vì URL có paymentStatus=00 (banner chỉ dựa vào query param). Bằng chứng: Payment thực tế: PENDING; banner "thanh toán thành công" hiển thị: true</t>
  </si>
  <si>
    <t>UI_PH5_FR02_005</t>
  </si>
  <si>
    <t>Callback VNPay sai chữ ký</t>
  </si>
  <si>
    <t>Đơn V; vnp_ResponseCode=00; vnp_SecureHash bị sửa</t>
  </si>
  <si>
    <t>1. Mở URL callback /api/v1/public/payments/vnpay-callback với chữ ký sai trên trình duyệt.</t>
  </si>
  <si>
    <t>Không ghi nhận thanh toán (đơn không CONFIRMED, payment không SUCCESS); redirect với mã lỗi (≠ 00), không hiện banner thành công.</t>
  </si>
  <si>
    <t>Bằng chứng: Redirect: /order/1324?paymentStatus=97; đơn AWAITING_PAYMENT; payment PENDING</t>
  </si>
  <si>
    <t>UI_PH5_FR02_006</t>
  </si>
  <si>
    <t>Callback VNPay sai số tiền dù chữ ký hợp lệ</t>
  </si>
  <si>
    <t>Đơn V; vnp_Amount = 1.000đ × 100 (thực tế 32.909.000đ); chữ ký hợp lệ</t>
  </si>
  <si>
    <t>1. Mở URL callback có số tiền bị sửa nhưng ký đúng.</t>
  </si>
  <si>
    <t>Từ chối (mã 04), payment không SUCCESS, không hiện banner thành công.</t>
  </si>
  <si>
    <t>Bằng chứng: Số tiền thật 32909000, gửi 1000; redirect paymentStatus=04; đơn AWAITING_PAYMENT; payment PENDING</t>
  </si>
  <si>
    <t>UI_PH5_FR02_007</t>
  </si>
  <si>
    <t>Khách hủy giao dịch tại VNPay (mã 24)</t>
  </si>
  <si>
    <t>Đơn V; vnp_ResponseCode=24; chữ ký hợp lệ</t>
  </si>
  <si>
    <t>1. Mô phỏng VNPay chuyển trình duyệt về callback với mã 24 (khách bấm Hủy trên cổng).
2. Quan sát URL và banner trên /order/{V}.</t>
  </si>
  <si>
    <t>Đơn chuyển CANCELLED; trang về /order/{V}?paymentStatus=24 và hiện banner "không thành công hoặc giao dịch đã bị hủy (Mã lỗi: 24)".</t>
  </si>
  <si>
    <t>Đơn chuyển CANCELLED, payment FAILED (đúng), nhưng backend redirect với paymentStatus=00 (mã "đã xử lý callback" thay vì vnp_ResponseCode) nên trang hiện "Giao dịch thanh toán VNPAY được ghi nhận thành công, nhưng đơn hàng này đã bị hủy trước đó. Vui lòng liên hệ ... hoàn tiền" – sai, vì khách không hề bị trừ tiền. Bằng chứng: VNPay trả vnp_ResponseCode=24 (chữ ký hợp lệ) -&gt; redirect paymentStatus=00; banner: "Giao dịch thanh toán VNPAY được ghi nhận thành công, nhưng đơn hàng này đã bị hủy trước đó"; đơn CANCELLED; payment FAILED</t>
  </si>
  <si>
    <t>FR_03 – Quản lý giao dịch &amp; hoàn tiền (Admin)</t>
  </si>
  <si>
    <t>UI_PH5_FR03_001</t>
  </si>
  <si>
    <t>Kiểm tra giao diện tab Giao dịch</t>
  </si>
  <si>
    <t>admin; tab Transaction</t>
  </si>
  <si>
    <t>1. Đăng nhập admin.
2. Mở tab Transaction.</t>
  </si>
  <si>
    <t>Hiện KPI Doanh thu thanh toán thực nhận/Đang chờ xử lý/Đã hoàn tiền/Giao dịch thất bại, tỉ lệ COD/VNPAY, nút lọc Thành công/Chờ xử lý/Hoàn tiền/Thất bại kèm số lượng, bảng đủ cột.</t>
  </si>
  <si>
    <t>UI_PH5_FR03_002</t>
  </si>
  <si>
    <t>Tìm giao dịch VNPay thành công và xem chi tiết</t>
  </si>
  <si>
    <t>Đơn P (VNPay SUCCESS)</t>
  </si>
  <si>
    <t>1. Nhập mã đơn P vào "Tìm giao dịch, ID đơn...".
2. Bấm "Chi tiết".</t>
  </si>
  <si>
    <t>Hộp thoại "Chi Tiết Giao Dịch" hiện "Mã đơn hàng #P", "Thành công", "VNPAY" và khu vực hoàn tiền (ô lý do, nút "Hoàn Tiền").</t>
  </si>
  <si>
    <t>UI_PH5_FR03_003</t>
  </si>
  <si>
    <t>Lọc giao dịch thất bại/hủy</t>
  </si>
  <si>
    <t>Bộ lọc "Thất bại/Hủy (n)"</t>
  </si>
  <si>
    <t>1. Mở tab Transaction.
2. Bấm "Thất bại/Hủy (n)".</t>
  </si>
  <si>
    <t>Mọi dòng có trạng thái "Thất bại".</t>
  </si>
  <si>
    <t>UI_PH5_FR03_004</t>
  </si>
  <si>
    <t>Giao dịch COD không có chức năng hoàn tiền</t>
  </si>
  <si>
    <t>Đơn B (COD SUCCESS)</t>
  </si>
  <si>
    <t>1. Tìm đơn B, bấm "Chi tiết".</t>
  </si>
  <si>
    <t>Hộp thoại hiện COD, không có mục "Xử lý hoàn tiền (Refund)" và nút "Hoàn Tiền".</t>
  </si>
  <si>
    <t>UI_PH5_FR03_005</t>
  </si>
  <si>
    <t>Hoàn tiền khi chưa nhập lý do</t>
  </si>
  <si>
    <t>Đơn P; lý do để trống</t>
  </si>
  <si>
    <t>1. Mở chi tiết giao dịch đơn P.
2. Bấm "Hoàn Tiền" khi chưa nhập lý do.</t>
  </si>
  <si>
    <t>Alert "Vui lòng nhập lý do hoàn tiền.", không gọi API refund.</t>
  </si>
  <si>
    <t>UI_PH5_FR03_006</t>
  </si>
  <si>
    <t>Giao dịch đang chờ hoàn tiền hiển thị đúng trạng thái</t>
  </si>
  <si>
    <t>Payment #7 (đơn #11) trạng thái REFUND_PENDING</t>
  </si>
  <si>
    <t>1. Tìm giao dịch của đơn #11.
2. Quan sát cột Trạng thái và hộp thoại chi tiết.</t>
  </si>
  <si>
    <t>Hiển thị trạng thái hoàn tiền (Đang hoàn tiền/Hoàn tiền), không hiển thị như giao dịch chờ duyệt thanh toán.</t>
  </si>
  <si>
    <t>Giao dịch REFUND_PENDING được ánh xạ thành "Pending" nên bảng hiện "Chờ duyệt" và hộp thoại "Chờ xử lý"; không được tính vào KPI "Đã hoàn tiền (Refund)". Bằng chứng: Payment #7 (đơn #11) trạng thái REFUND_PENDING; dòng bảng: "US-3 hai Thanh 21:14:33 17/10/2026 32.909.000 đ VNPAY Chờ duyệt Chi tiết"</t>
  </si>
  <si>
    <t>UI_PH5_FR03_007</t>
  </si>
  <si>
    <t>Nhân viên thực hiện hoàn tiền bị từ chối</t>
  </si>
  <si>
    <t>staff; đơn P; lý do "UI test PH5 - staff thử hoàn tiền"</t>
  </si>
  <si>
    <t>1. Đăng nhập staff, mở chi tiết giao dịch đơn P.
2. Nhập lý do, bấm "Hoàn Tiền", đồng ý.</t>
  </si>
  <si>
    <t>API trả 403, alert "Lỗi hoàn tiền: ..."; trạng thái payment không đổi (chỉ ADMIN được hoàn tiền).</t>
  </si>
  <si>
    <t>Bằng chứng: HTTP 403; dialogs: Bạn có chắc chắn muốn hoàn tiền cho giao dịch này không? | Lỗi hoàn tiền: Access Denied; payment SUCCESS -&gt; SUCCESS</t>
  </si>
  <si>
    <t>UI_PH5_FR03_008</t>
  </si>
  <si>
    <t>Admin hoàn tiền giao dịch VNPay</t>
  </si>
  <si>
    <t>admin; đơn P (VNPay SUCCESS); lý do "UI test PH5 - hoàn tiền"</t>
  </si>
  <si>
    <t>1. Mở chi tiết giao dịch đơn P.
2. Nhập lý do, bấm "Hoàn Tiền", đồng ý.
3. Kiểm tra trạng thái payment.</t>
  </si>
  <si>
    <t>Alert "Thực hiện hoàn tiền thành công!" chỉ khi hoàn tiền thực sự được ghi nhận; payment chuyển REFUNDED (hoặc REFUND_PENDING nếu chờ cổng xử lý).</t>
  </si>
  <si>
    <t>API trả 200 và giao diện báo "Thực hiện hoàn tiền thành công!" nhưng payment vẫn SUCCESS. VNPay không xác nhận lệnh hoàn (giao dịch được mô phỏng nên VNPay không có bản ghi, merchant sandbox cũng chưa được duyệt), nên theo code bản ghi refund chỉ ở trạng thái chờ thử lại hoặc chờ duyệt tay, nhưng người dùng không được báo điều này. Việc hoàn tiền không thành công là do môi trường; lỗi ứng dụng là thông báo sai kết quả. Đơn P đã được hủy để dọn dữ liệu. Bằng chứng: HTTP 200 {"code":"SUCCESS","message":"Success","data":null}; dialogs: Bạn có chắc chắn muốn hoàn tiền cho giao dịch này không? | Thực hiện hoàn tiền thành công!; payment sau: SUCCESS</t>
  </si>
  <si>
    <t>Project: TECHSTORE_2026 | Phân hệ: PH5 – Thanh toán | Framework: JUnit 5 + Mockito (Spring Boot 3.2.5, Java 17)</t>
  </si>
  <si>
    <t>MariaDB + Redis (mock repository / StringRedisTemplate / PlatformTransactionManager)</t>
  </si>
  <si>
    <t>BE/payment-service/src/test/java/com/ecommerce/paymentservice/</t>
  </si>
  <si>
    <t>mvn -q -pl payment-service -am org.jacoco:jacoco-maven-plugin:0.8.11:prepare-agent test org.jacoco:jacoco-maven-plugin:0.8.11:report -DfailIfNoTests=false -Dsurefire.failIfNoSpecifiedTests=false  (BugCheck: mvn -q -pl payment-service -am test -Dtest=*BugCheck ...)</t>
  </si>
  <si>
    <t>PaymentServiceImpl.java</t>
  </si>
  <si>
    <t>initiatePayment(), buildVnPayUrl(), verifyVnPayCallback(), hmacSha512(), processRefund(), callVnPayRefundApi(), applyGatewayResult(), initiateAutoRefund(), getPaymentByOrderId()</t>
  </si>
  <si>
    <t>Khóa Redis chống khởi tạo trùng, giá lấy từ order-service (chống sửa giá), kiểm tra chủ đơn, tái sử dụng Payment FAILED, COD; IPN VNPay: chữ ký HMAC-SHA512 (đối chiếu bằng HMAC tự tính trong test), số tiền x100, trùng lặp, tiền về muộn -&gt; tự hoàn; hoàn tiền một phần/toàn phần, kết quả cổng 00/94/99/timeout; tự hoàn khi hủy đơn; chống IDOR.</t>
  </si>
  <si>
    <t>OrderKafkaConsumer.java</t>
  </si>
  <si>
    <t>OrderCancelled -&gt; initiateAutoRefund; OrderDelivered + COD PENDING -&gt; SUCCESS.</t>
  </si>
  <si>
    <t>Toàn bộ nghiệp vụ tiền nằm trong PaymentServiceImpl</t>
  </si>
  <si>
    <t>Controller chỉ đọc header và chuyển tiếp; chữ ký, số tiền, trạng thái Payment/Refund đều quyết định ở service.</t>
  </si>
  <si>
    <t>Không gọi cổng VNPay/Order-service thật</t>
  </si>
  <si>
    <t>RestTemplate (order-service, VNPay refund/QueryDR) được mock; chữ ký được tính lại độc lập trong PaymentTestSupport theo đặc tả VNPay để kiểm cả hai chiều (ký URL và xác thực IPN).</t>
  </si>
  <si>
    <t>Dựng được tình huống hiếm</t>
  </si>
  <si>
    <t>Tiền về sau khi Payment hết hạn, VNPay từ chối/timeout khi hoàn tiền, sửa tham số sau khi ký... không thể tạo ổn định qua sandbox.</t>
  </si>
  <si>
    <t>PaymentController / AdminPaymentController / WebhookController</t>
  </si>
  <si>
    <t>Tầng web (đọc X-User-Id, chuyển hướng trình duyệt sau IPN); phủ bằng kiểm thử API PH5.</t>
  </si>
  <si>
    <t>PaymentServiceImpl.cancelExpiredPayments(), checkVnPayTransactionStatus(), processPendingRefunds()</t>
  </si>
  <si>
    <t>Luồng scheduler gọi VNPay QueryDR/refund định kỳ; ưu tiên khởi tạo, IPN, hoàn tiền trong giới hạn 25 case. Đề xuất bổ sung đợt sau.</t>
  </si>
  <si>
    <t>PaymentScheduler.java</t>
  </si>
  <si>
    <t>Chỉ lấy khóa Redis rồi gọi service; cần test tích hợp.</t>
  </si>
  <si>
    <t>So sánh chữ ký không constant-time (PaymentServiceImpl.java:296)</t>
  </si>
  <si>
    <t>Rủi ro timing attack không kiểm được bằng unit test chức năng; ghi nhận ở code review.</t>
  </si>
  <si>
    <t>PaymentServiceImpl</t>
  </si>
  <si>
    <t>com.ecommerce.paymentservice.service.impl</t>
  </si>
  <si>
    <t>394/553</t>
  </si>
  <si>
    <t>OrderKafkaConsumer</t>
  </si>
  <si>
    <t>com.ecommerce.paymentservice.event.consumer</t>
  </si>
  <si>
    <t>39/46</t>
  </si>
  <si>
    <t>TC_PH5_INIT_01</t>
  </si>
  <si>
    <t>BE/payment-service/src/test/java/com/ecommerce/paymentservice/service/PaymentServiceImplTest.java</t>
  </si>
  <si>
    <t>initiatePayment(), buildVnPayUrl(), hmacSha512()</t>
  </si>
  <si>
    <t>Khởi tạo thanh toán VNPay với giá lấy từ order-service và URL được ký đúng</t>
  </si>
  <si>
    <t>Khóa Redis rảnh; order-service trả đơn 77 PENDING, userId 'U1', finalAmount 1.130.000; chưa có Payment</t>
  </si>
  <si>
    <t>orderId=77, userId=u1, method=VNPAY
amount client=1, ip=0:0:0:0:0:0:0:1</t>
  </si>
  <si>
    <t>Payment PENDING số tiền 1.130.000; URL có vnp_Amount=113000000, vnp_TxnRef=txnRef, vnp_IpAddr=127.0.0.1, vnp_OrderInfo 'Thanh toan don hang 77', vnp_SecureHash khớp HMAC-SHA512 tự tính; nhả khóa</t>
  </si>
  <si>
    <t>TC_PH5_INIT_02</t>
  </si>
  <si>
    <t>initiatePayment()</t>
  </si>
  <si>
    <t>Chặn khởi tạo song song cho cùng đơn</t>
  </si>
  <si>
    <t>Khóa payment:initiate:lock:77 đang bị giữ</t>
  </si>
  <si>
    <t>orderId=77, VNPAY</t>
  </si>
  <si>
    <t>IllegalStateException; không gọi order-service, không đụng repository, không xóa khóa</t>
  </si>
  <si>
    <t>TC_PH5_INIT_03</t>
  </si>
  <si>
    <t>Không cho thanh toán đơn của người khác</t>
  </si>
  <si>
    <t>Đơn 77 thuộc owner-9</t>
  </si>
  <si>
    <t>userId=u1, orderId=77</t>
  </si>
  <si>
    <t>IllegalArgumentException 'Access Denied'; không lưu Payment; khóa được nhả</t>
  </si>
  <si>
    <t>TC_PH5_INIT_04</t>
  </si>
  <si>
    <t>Xử lý lỗi khi xác minh đơn với order-service</t>
  </si>
  <si>
    <t>order-service lần lượt: code NOT_FOUND; finalAmount null; timeout</t>
  </si>
  <si>
    <t>3 lần initiatePayment(orderId=77)</t>
  </si>
  <si>
    <t>RuntimeException 'Order verification failed...' cả 3 lần; không lưu Payment</t>
  </si>
  <si>
    <t>TC_PH5_INIT_05</t>
  </si>
  <si>
    <t>Không cho thanh toán lại đơn đã trả/đã hoàn tiền</t>
  </si>
  <si>
    <t>Đơn AWAITING_PAYMENT; Payment hiện có lần lượt SUCCESS, REFUNDED</t>
  </si>
  <si>
    <t>initiatePayment(77) x2</t>
  </si>
  <si>
    <t>IllegalStateException 'already been successfully completed' / '...refunded'; không lưu</t>
  </si>
  <si>
    <t>TC_PH5_INIT_06</t>
  </si>
  <si>
    <t>Tái sử dụng Payment FAILED thay vì tạo trùng</t>
  </si>
  <si>
    <t>Payment cũ FAILED (txnRef TXN-1, failureCode 24, gatewayTxnId OLD-1, 700.000); đơn finalAmount '750000'</t>
  </si>
  <si>
    <t>initiatePayment(77, VNPAY)</t>
  </si>
  <si>
    <t>Cùng bản ghi id 900: PENDING, txnRef mới, failureCode/gatewayTxnId null, amount 750.000</t>
  </si>
  <si>
    <t>TC_PH5_COD_01</t>
  </si>
  <si>
    <t>initiatePayment() (COD)</t>
  </si>
  <si>
    <t>Thanh toán khi nhận hàng</t>
  </si>
  <si>
    <t>Đơn 77 PENDING 300.000; chưa có Payment</t>
  </si>
  <si>
    <t>method='cod'</t>
  </si>
  <si>
    <t>redirectUrl rỗng; Payment PENDING; outbox PaymentCODConfirmedEvent (aggregateType Payment, payload orderId 77, userId u1)</t>
  </si>
  <si>
    <t>TC_PH5_IPN_01</t>
  </si>
  <si>
    <t>verifyVnPayCallback()</t>
  </si>
  <si>
    <t>IPN hợp lệ chuyển Payment sang SUCCESS</t>
  </si>
  <si>
    <t>Payment TXN-1 PENDING 1.130.000</t>
  </si>
  <si>
    <t>IPN ký đúng: vnp_Amount=113000000, vnp_ResponseCode=00, vnp_TransactionNo=14250001</t>
  </si>
  <si>
    <t>RspCode 00; SUCCESS, paidAt, gatewayTxnId 14250001; outbox PaymentSuccessEvent; webhook log signatureValid=true, processed=true</t>
  </si>
  <si>
    <t>TC_PH5_IPN_02</t>
  </si>
  <si>
    <t>verifyVnPayCallback(), hmacSha512()</t>
  </si>
  <si>
    <t>Từ chối IPN giả mạo</t>
  </si>
  <si>
    <t>IPN thiếu vnp_SecureHash; ký bằng secret khác; sửa vnp_Amount sau khi ký</t>
  </si>
  <si>
    <t>RspCode 97 cả 3; không truy vấn Payment, không outbox; 3 webhook log signatureValid=false</t>
  </si>
  <si>
    <t>TC_PH5_IPN_03</t>
  </si>
  <si>
    <t>IPN cho giao dịch không tồn tại</t>
  </si>
  <si>
    <t>Không có Payment txnRef NOPE</t>
  </si>
  <si>
    <t>IPN ký đúng, vnp_TxnRef=NOPE</t>
  </si>
  <si>
    <t>RspCode 01; không lưu, không outbox</t>
  </si>
  <si>
    <t>TC_PH5_IPN_04</t>
  </si>
  <si>
    <t>Chống sửa số tiền ở IPN</t>
  </si>
  <si>
    <t>Payment 1.130.000 PENDING</t>
  </si>
  <si>
    <t>IPN ký đúng nhưng vnp_Amount = 1.129.999 x100</t>
  </si>
  <si>
    <t>RspCode 04; trạng thái giữ PENDING; không lưu, không outbox</t>
  </si>
  <si>
    <t>TC_PH5_IPN_05</t>
  </si>
  <si>
    <t>Ghi nhận giao dịch thất bại</t>
  </si>
  <si>
    <t>Payment 500.000 PENDING</t>
  </si>
  <si>
    <t>IPN ký đúng, vnp_ResponseCode=24 (khách hủy)</t>
  </si>
  <si>
    <t>RspCode 00; FAILED, failureCode 24; outbox PaymentFailedEvent</t>
  </si>
  <si>
    <t>TC_PH5_IPN_06</t>
  </si>
  <si>
    <t>IPN lặp lại không xử lý lần 2</t>
  </si>
  <si>
    <t>Payment đã SUCCESS</t>
  </si>
  <si>
    <t>IPN ký đúng mã 00</t>
  </si>
  <si>
    <t>RspCode 02; không đổi trạng thái, không outbox, không tạo Refund</t>
  </si>
  <si>
    <t>TC_PH5_IPN_07</t>
  </si>
  <si>
    <t>verifyVnPayCallback() (late payment)</t>
  </si>
  <si>
    <t>Tiền về sau khi phiên thanh toán hết hạn phải được hoàn</t>
  </si>
  <si>
    <t>Payment EXPIRED 500.000</t>
  </si>
  <si>
    <t>IPN ký đúng mã 00, số tiền khớp</t>
  </si>
  <si>
    <t>RspCode 00; Payment REFUND_PENDING; Refund PENDING 500.000 gắn paymentId 900</t>
  </si>
  <si>
    <t>TC_PH5_REFUND_01</t>
  </si>
  <si>
    <t>processRefund(), applyGatewayResult()</t>
  </si>
  <si>
    <t>Hoàn tiền một phần đơn COD</t>
  </si>
  <si>
    <t>Payment COD SUCCESS 1.000.000; refund cũ SUCCESS 300.000 và 1 refund PENDING_MANUAL (không tính)</t>
  </si>
  <si>
    <t>amount=200.000, reason='Thiếu phụ kiện'</t>
  </si>
  <si>
    <t>Refund SUCCESS có completedAt; Payment PARTIALLY_REFUNDED; outbox RefundCompletedEvent; không gọi VNPay</t>
  </si>
  <si>
    <t>TC_PH5_REFUND_02</t>
  </si>
  <si>
    <t>processRefund()</t>
  </si>
  <si>
    <t>Kiểm tra số tiền và trạng thái khi hoàn tiền</t>
  </si>
  <si>
    <t>Payment 900 SUCCESS 1.000.000 đã hoàn 300.000; Payment 901 PENDING; 902 không tồn tại</t>
  </si>
  <si>
    <t>700.001; 0; -5; null; payment 901 x10; payment 902 x10</t>
  </si>
  <si>
    <t>IAE 'exceeds remaining refundable amount (700000)'; IAE; IAE; IAE; 'Cannot refund payment in status: PENDING'; 'Payment record not found'; không gọi cổng, không lưu Refund</t>
  </si>
  <si>
    <t>TC_PH5_REFUND_03</t>
  </si>
  <si>
    <t>processRefund(), callVnPayRefundApi(), hmacSha512()</t>
  </si>
  <si>
    <t>Hoàn toàn bộ giao dịch VNPay</t>
  </si>
  <si>
    <t>Payment VNPAY SUCCESS 500.000, gatewayTxnId 14250001, paidAt 17/10/2026 10:05; VNPay (mock) trả 00, TransactionNo RF-778</t>
  </si>
  <si>
    <t>amount=500.000, reason='Khách hủy'</t>
  </si>
  <si>
    <t>Request: transactionType 02, vnp_Amount 50000000, TransactionDate 20261017100500, chữ ký đúng chuỗi RequestId|...|OrderInfo; Refund SUCCESS gatewayRefundId RF-778; Payment REFUNDED; outbox RefundCompletedEvent</t>
  </si>
  <si>
    <t>TC_PH5_REFUND_04</t>
  </si>
  <si>
    <t>Phân loại kết quả cổng khi hoàn tiền</t>
  </si>
  <si>
    <t>VNPay lần lượt trả 94; 99; ném ResourceAccessException</t>
  </si>
  <si>
    <t>3 lần hoàn 100.000</t>
  </si>
  <si>
    <t>Refund PENDING_MANUAL ('Needs manual review'); PENDING; PENDING; Payment giữ SUCCESS; không outbox</t>
  </si>
  <si>
    <t>TC_PH5_AUTO_01</t>
  </si>
  <si>
    <t>initiateAutoRefund()</t>
  </si>
  <si>
    <t>Tự tạo yêu cầu hoàn tiền khi hủy đơn đã thanh toán, không tạo trùng</t>
  </si>
  <si>
    <t>Đơn 77 Payment SUCCESS 650.000 chưa có Refund; đơn 78 đã có Refund</t>
  </si>
  <si>
    <t>initiateAutoRefund(77); initiateAutoRefund(78)</t>
  </si>
  <si>
    <t>Đơn 77: REFUND_PENDING + Refund PENDING 650.000; đơn 78: giữ SUCCESS, không tạo thêm (chỉ 1 lần save Refund)</t>
  </si>
  <si>
    <t>TC_PH5_AUTO_02</t>
  </si>
  <si>
    <t>Hủy đơn khi Payment chưa trả / đã hoàn / không có</t>
  </si>
  <si>
    <t>Đơn 1 PENDING; đơn 2 REFUNDED; đơn 3 không có Payment</t>
  </si>
  <si>
    <t>initiateAutoRefund(1|2|3)</t>
  </si>
  <si>
    <t>Đơn 1 FAILED mã ORDER_CANCELLED; đơn 2 giữ REFUNDED; đơn 3 bỏ qua; không đụng bảng refund</t>
  </si>
  <si>
    <t>TC_PH5_OWNER_01</t>
  </si>
  <si>
    <t>getPaymentByOrderId()</t>
  </si>
  <si>
    <t>Chống IDOR khi xem thanh toán</t>
  </si>
  <si>
    <t>Payment đơn 77 của u1; đơn 404 chưa có Payment</t>
  </si>
  <si>
    <t>intruder; null; 'U1'; admin-1 (isAdminOrStaff=true); đơn 404</t>
  </si>
  <si>
    <t>AccessDeniedException x2; chủ đơn và admin xem được (transactionNo TXN-1); IllegalArgumentException</t>
  </si>
  <si>
    <t>TC_PH5_COD_02</t>
  </si>
  <si>
    <t>BE/payment-service/src/test/java/com/ecommerce/paymentservice/event/consumer/OrderKafkaConsumerTest.java</t>
  </si>
  <si>
    <t>Chốt COD khi giao hàng, hoàn tiền khi hủy đơn</t>
  </si>
  <si>
    <t>Đơn 10 COD PENDING; đơn 11 VNPAY SUCCESS</t>
  </si>
  <si>
    <t>OrderDelivered 10; OrderDelivered 11; OrderCancelled 12 (JSON lồng); 'not-json{'; OrderCancelled thiếu orderId</t>
  </si>
  <si>
    <t>COD -&gt; SUCCESS có paidAt; VNPAY giữ nguyên; initiateAutoRefund(12); payload hỏng bỏ qua; ack 5 lần</t>
  </si>
  <si>
    <t>TC_PH5_INIT_07</t>
  </si>
  <si>
    <t>BE/payment-service/src/test/java/com/ecommerce/paymentservice/service/PaymentServiceImplBugCheck.java</t>
  </si>
  <si>
    <t>Thanh toán đơn không còn ở trạng thái chờ phải trả lỗi trạng thái (409)</t>
  </si>
  <si>
    <t>order-service trả đơn 77 DELIVERED</t>
  </si>
  <si>
    <t>IllegalStateException (GlobalExceptionHandler -&gt; 409), không phải RuntimeException chung -&gt; 500</t>
  </si>
  <si>
    <t>TC_PH5_INIT_08</t>
  </si>
  <si>
    <t>Từ chối phương thức thanh toán không hỗ trợ</t>
  </si>
  <si>
    <t>Đơn 77 PENDING 500.000</t>
  </si>
  <si>
    <t>paymentMethod='MOMO'</t>
  </si>
  <si>
    <t>IllegalArgumentException; không tạo Payment, không sinh URL VNPay</t>
  </si>
  <si>
    <t>TC_PH5_REFUND_05</t>
  </si>
  <si>
    <t>Không được mất dấu tiền đã hoàn ở cổng</t>
  </si>
  <si>
    <t>Snapshot Payment SUCCESS; dưới khóa Payment đã REFUNDED (admin khác vừa hoàn); VNPay trả 00 RF-1</t>
  </si>
  <si>
    <t>hoàn 500.000</t>
  </si>
  <si>
    <t>Vẫn lưu bản ghi Refund có gatewayRefundId RF-1 (hoặc chờ xử lý tay), không ném lỗi bỏ kết quả cổng</t>
  </si>
  <si>
    <t>initiatePayment bọc mọi lỗi xác minh đơn (kể cả lỗi nghiệp vụ 'Cannot pay for order in status: DELIVERED') thành RuntimeException('Order verification failed: ...'); GlobalExceptionHandler map Exception -&gt; HTTP 500 với thông điệp chung, khách không biết vì sao không thanh toán được.</t>
  </si>
  <si>
    <t>BE/payment-service/src/main/java/com/ecommerce/paymentservice/service/impl/PaymentServiceImpl.java:147-149, 168-171; exception/GlobalExceptionHandler.java:79-86</t>
  </si>
  <si>
    <t>paymentMethod không bị giới hạn VNPAY/COD: giá trị bất kỳ khác COD (VD 'MOMO') vẫn tạo Payment và sinh URL VNPay; khi hoàn tiền chỉ 'VNPAY' mới gọi cổng nên Payment phương thức lạ bị coi như COD và đánh dấu hoàn SUCCESS mà không chuyển tiền.</t>
  </si>
  <si>
    <t>BE/payment-service/src/main/java/com/ecommerce/paymentservice/service/impl/PaymentServiceImpl.java:219-235, 416-418, 466-468; dto/PaymentInitiateRequest.java:21-22</t>
  </si>
  <si>
    <t>processRefund gọi API hoàn tiền VNPay TRƯỚC khi khóa Payment; nếu kiểm tra lại dưới khóa thất bại (2 admin hoàn đồng thời) thì ném lỗi và không lưu Refund nào dù cổng đã hoàn tiền -&gt; tiền ra khỏi tài khoản nhưng hệ thống không có dấu vết, có thể hoàn 2 lần.</t>
  </si>
  <si>
    <t>BE/payment-service/src/main/java/com/ecommerce/paymentservice/service/impl/PaymentServiceImpl.java:416-436</t>
  </si>
  <si>
    <t>NHÓM: KHỞI TẠO</t>
  </si>
  <si>
    <t>API_PH5_001</t>
  </si>
  <si>
    <t>/api/v1/payments/initiate</t>
  </si>
  <si>
    <t>Từ chối khởi tạo thanh toán thiếu phương thức</t>
  </si>
  <si>
    <t>{"orderId": {{ordA}}}</t>
  </si>
  <si>
    <t>HTTP 400 VALIDATION_ERROR (paymentMethod)</t>
  </si>
  <si>
    <t>HTTP 400  (32 ms)
{"code": "VALIDATION_ERROR", "message": "Validation failed"}</t>
  </si>
  <si>
    <t>API_PH5_002</t>
  </si>
  <si>
    <t>Khách khác không thanh toán được đơn</t>
  </si>
  <si>
    <t>{"orderId": {{ordA}}, "paymentMethod": "VNPAY"}</t>
  </si>
  <si>
    <t>HTTP 403 (đơn không thuộc về người gọi)</t>
  </si>
  <si>
    <t>HTTP 400  (40 ms)
{"code": "BAD_REQUEST", "message": "Access Denied: This order does not belong to the authenticated user."}
Không đạt: HTTP status ∈ 403</t>
  </si>
  <si>
    <t>Bug: HTTP status ∈ 403: expected [ 403 ] to include 400</t>
  </si>
  <si>
    <t>API_PH5_003</t>
  </si>
  <si>
    <t>Khởi tạo thanh toán VNPay trả URL sandbox</t>
  </si>
  <si>
    <t>HTTP 200; data.redirectUrl tới sandbox.vnpayment.vn</t>
  </si>
  <si>
    <t>HTTP 200  (63 ms)
{"code":"SUCCESS","message":"Success","data":{"paymentId":7,"txnRef":"f4fb0283-aecb-4347-a942-adc47056e15d","redirectUrl":"https://sandbox.vnpayment.vn/paymentv2/vpcpay.html?vnp_Amount=3290900000&amp;vnp_</t>
  </si>
  <si>
    <t>NHÓM: IPN VNPAY</t>
  </si>
  <si>
    <t>API_PH5_004</t>
  </si>
  <si>
    <t>/api/v1/public/payments/vnpay-callback?vnp_TxnRef={{ordA_txnRef}}&amp;vnp_ResponseCode=00</t>
  </si>
  <si>
    <t>IPN không có chữ ký bị từ chối (RspCode 97)</t>
  </si>
  <si>
    <t>HTTP 200; RspCode=97 Invalid Signature</t>
  </si>
  <si>
    <t>HTTP 200  (35 ms)
{"RspCode": "97", "Message": "Invalid Signature"}</t>
  </si>
  <si>
    <t>API_PH5_005</t>
  </si>
  <si>
    <t>/api/v1/public/payments/vnpay-callback</t>
  </si>
  <si>
    <t>IPN chữ ký bị sửa bị từ chối (RspCode 97)</t>
  </si>
  <si>
    <t>Query: vnp_Amount, vnp_BankCode=NCB, vnp_PayDate, vnp_ResponseCode, vnp_TmnCode, vnp_TransactionNo,
vnp_TransactionStatus, vnp_TxnRef (từ bước khởi tạo), vnp_SecureHash = HMAC-SHA512(secret, chuỗi tham số đã sắp xếp)</t>
  </si>
  <si>
    <t>HTTP 200; RspCode=97</t>
  </si>
  <si>
    <t>HTTP 200  (29 ms)
{"RspCode": "97", "Message": "Invalid Signature"}</t>
  </si>
  <si>
    <t>API_PH5_006</t>
  </si>
  <si>
    <t>IPN chữ ký đúng nhưng sai số tiền bị từ chối (RspCode 04)</t>
  </si>
  <si>
    <t>HTTP 200; RspCode=04 (chống sửa số tiền)</t>
  </si>
  <si>
    <t>HTTP 200  (30 ms)
{"RspCode": "04", "Message": "Unknown error"}</t>
  </si>
  <si>
    <t>API_PH5_007</t>
  </si>
  <si>
    <t>IPN thành công hợp lệ (RspCode 00)</t>
  </si>
  <si>
    <t>HTTP 200; RspCode=00 Confirm Success</t>
  </si>
  <si>
    <t>HTTP 200  (88 ms)
{"RspCode": "00", "Message": "Confirm Success"}</t>
  </si>
  <si>
    <t>API_PH5_008</t>
  </si>
  <si>
    <t>Thanh toán thành công → đơn CONFIRMED</t>
  </si>
  <si>
    <t>HTTP 200; status=CONFIRMED</t>
  </si>
  <si>
    <t>HTTP 200  (32 ms)
{"code":"SUCCESS","message":"Success","data":{"id":11,"userId":"eeb77c2d-9938-474c-aa6a-438308be1a87","status":"CONFIRMED","totalAmount":29890000.00,"discountAmount":0.00,"finalAmount":32909000.00,"co</t>
  </si>
  <si>
    <t>API_PH5_009</t>
  </si>
  <si>
    <t>IPN gửi lại lần 2 không xử lý trùng (RspCode 02)</t>
  </si>
  <si>
    <t>HTTP 200; RspCode=02 (đã xác nhận trước đó)</t>
  </si>
  <si>
    <t>HTTP 200  (41 ms)
{"RspCode": "02", "Message": "Order already paid"}</t>
  </si>
  <si>
    <t>API_PH5_010</t>
  </si>
  <si>
    <t>/api/v1/payments/order/{{ordA}}</t>
  </si>
  <si>
    <t>Xem thanh toán của đơn mình</t>
  </si>
  <si>
    <t>HTTP 200; status=SUCCESS</t>
  </si>
  <si>
    <t>HTTP 200  (38 ms)
{"code":"SUCCESS","message":"Success","data":{"id":7,"orderId":11,"amount":32909000.00,"paymentMethod":"VNPAY","status":"SUCCESS","transactionNo":"f4fb0283-aecb-4347-a942-adc47056e15d","gatewayRespons</t>
  </si>
  <si>
    <t>API_PH5_011</t>
  </si>
  <si>
    <t>Khách khác không xem được thanh toán</t>
  </si>
  <si>
    <t>HTTP 403 FORBIDDEN</t>
  </si>
  <si>
    <t>HTTP 403  (27 ms)
{"code": "FORBIDDEN", "message": "You do not have permission to view this payment."}</t>
  </si>
  <si>
    <t>API_PH5_012</t>
  </si>
  <si>
    <t>/api/v1/payments/order/99999999</t>
  </si>
  <si>
    <t>Thanh toán không tồn tại trả 404</t>
  </si>
  <si>
    <t>HTTP 400  (25 ms)
{"code": "BAD_REQUEST", "message": "Payment not found for order ID: 99999999"}
Không đạt: HTTP status ∈ 404</t>
  </si>
  <si>
    <t>Bug: HTTP status ∈ 404: expected [ 404 ] to include 400</t>
  </si>
  <si>
    <t>API_PH5_013</t>
  </si>
  <si>
    <t>Không khởi tạo lại thanh toán cho đơn đã trả</t>
  </si>
  <si>
    <t>HTTP 409 INVALID_STATE</t>
  </si>
  <si>
    <t>HTTP 500  (62 ms)
{"code": "INTERNAL_SERVER_ERROR", "message": "An unexpected system error occurred. Please try again later."}
Không đạt: HTTP status ∈ 409</t>
  </si>
  <si>
    <t>NHÓM: QUẢN TRỊ</t>
  </si>
  <si>
    <t>API_PH5_014</t>
  </si>
  <si>
    <t>/api/v1/admin/payments?size=5</t>
  </si>
  <si>
    <t>Admin xem danh sách giao dịch</t>
  </si>
  <si>
    <t>HTTP 200; Page giao dịch</t>
  </si>
  <si>
    <t>HTTP 200  (49 ms)
{"code":"SUCCESS","message":"Success","data":{"content":[{"id":1,"orderId":1,"amount":32909000.00,"paymentMethod":"VNPAY","status":"FAILED","transactionNo":"f060e1a5-62cb-4ec8-83f7-8e9fbcb1447c","gate</t>
  </si>
  <si>
    <t>NHÓM: HOÀN TIỀN</t>
  </si>
  <si>
    <t>API_PH5_015</t>
  </si>
  <si>
    <t>/api/v1/admin/payments/refund</t>
  </si>
  <si>
    <t>Staff không được hoàn tiền</t>
  </si>
  <si>
    <t>{"paymentId": {{payA}}, "amount": 1000, "reason": "test"}</t>
  </si>
  <si>
    <t>HTTP 403  (20 ms)
{"code": "FORBIDDEN", "message": "Access Denied"}</t>
  </si>
  <si>
    <t>API_PH5_016</t>
  </si>
  <si>
    <t>Từ chối hoàn tiền vượt số đã thanh toán</t>
  </si>
  <si>
    <t>{"paymentId": {{payA}}, "amount": 999999999, "reason": "vượt"}</t>
  </si>
  <si>
    <t>HTTP 400 (vượt số tiền)</t>
  </si>
  <si>
    <t>HTTP 400  (32 ms)
{"code": "BAD_REQUEST", "message": "Security Violation: Refund amount (999999999) exceeds remaining refundable amount (32909000.00)."}</t>
  </si>
  <si>
    <t>API_PH5_017</t>
  </si>
  <si>
    <t>Từ chối hoàn tiền thiếu lý do</t>
  </si>
  <si>
    <t>{"paymentId": {{payA}}, "amount": 1000}</t>
  </si>
  <si>
    <t>HTTP 400 VALIDATION_ERROR (reason)</t>
  </si>
  <si>
    <t>HTTP 400  (28 ms)
{"code": "VALIDATION_ERROR", "message": "Validation failed"}</t>
  </si>
  <si>
    <t>API_PH5_018</t>
  </si>
  <si>
    <t>Khách hủy đơn đã thanh toán VNPay → tự hoàn tiền</t>
  </si>
  <si>
    <t>HTTP 200; đơn CANCELLED, payment chuyển REFUND_PENDING</t>
  </si>
  <si>
    <t>HTTP 200  (114 ms)
{"code": "SUCCESS", "message": "Success"}</t>
  </si>
  <si>
    <t>API_PH5_019</t>
  </si>
  <si>
    <t>Payment chuyển sang trạng thái hoàn tiền</t>
  </si>
  <si>
    <t>HTTP 200; status=REFUND_PENDING hoặc REFUNDED</t>
  </si>
  <si>
    <t>HTTP 200  (25 ms)
{"code":"SUCCESS","message":"Success","data":{"id":7,"orderId":11,"amount":32909000.00,"paymentMethod":"VNPAY","status":"REFUND_PENDING","transactionNo":"f4fb0283-aecb-4347-a942-adc47056e15d","gateway</t>
  </si>
  <si>
    <t>API_PH5_020</t>
  </si>
  <si>
    <t>Khởi tạo thanh toán COD</t>
  </si>
  <si>
    <t>{"orderId": {{ordB}}, "paymentMethod": "COD"}</t>
  </si>
  <si>
    <t>HTTP 200  (59 ms)
{"code": "SUCCESS", "message": "Success"}</t>
  </si>
  <si>
    <t>API_PH5_021</t>
  </si>
  <si>
    <t>COD được xác nhận → đơn CONFIRMED</t>
  </si>
  <si>
    <t>HTTP 200  (16 ms)
{"code":"SUCCESS","message":"Success","data":{"id":13,"userId":"eeb77c2d-9938-474c-aa6a-438308be1a87","status":"CONFIRMED","totalAmount":29890000.00,"discountAmount":0.00,"finalAmount":32909000.00,"co</t>
  </si>
  <si>
    <t>API_PH5_022</t>
  </si>
  <si>
    <t>COD chưa thu tiền khi chưa giao</t>
  </si>
  <si>
    <t>HTTP 200; status ≠ SUCCESS</t>
  </si>
  <si>
    <t>HTTP 200  (17 ms)
{"code": "SUCCESS", "message": "Success", "data.id": 8, "data.status": "PENDING"}</t>
  </si>
  <si>
    <t>npx playwright test ui/PH5.spec.ts</t>
  </si>
  <si>
    <t>PaymentServiceImplTest.java</t>
  </si>
  <si>
    <t>assertEquals(900L, res.getPaymentId());
verify(paymentRepository).save(saved.capture());
assertEquals(0, new BigDecimal("1130000").compareTo(saved.getValue().getAmount()));
assertEquals("PENDING", saved.getValue().getStatus());
assertEquals(res.getTxnRef(), saved.getValue().getTxnRef());</t>
  </si>
  <si>
    <t>assertThrows(IllegalStateException.class, () -&gt; service.initiatePayment(req("VNPAY")));
verify(stringRedisTemplate, never()).delete(anyString());</t>
  </si>
  <si>
    <t>IllegalArgumentException ex = assertThrows(IllegalArgumentException.class, () -&gt; service.initiatePayment(req("VNPAY")));
assertTrue(ex.getMessage().contains("Access Denied"));
verify(paymentRepository, never()).save(any());
verify(stringRedisTemplate).delete("payment:initiate:lock:77");</t>
  </si>
  <si>
    <t>RuntimeException ex = assertThrows(RuntimeException.class, () -&gt; service.initiatePayment(req("VNPAY")));
assertTrue(ex.getMessage().startsWith("Order verification failed"));
verify(paymentRepository, never()).save(any());</t>
  </si>
  <si>
    <t>IllegalStateException e1 = assertThrows(IllegalStateException.class, () -&gt; service.initiatePayment(req("VNPAY")));
IllegalStateException e2 = assertThrows(IllegalStateException.class, () -&gt; service.initiatePayment(req("VNPAY")));
assertTrue(e1.getMessage().contains("already been successfully completed"));
assertTrue(e2.getMessage().contains("refunded"));
verify(paymentRepository, never()).save(any());</t>
  </si>
  <si>
    <t>assertEquals(900L, res.getPaymentId());
assertSame(old, captureSaved());
assertEquals("PENDING", old.getStatus());
assertNotEquals("TXN-1", old.getTxnRef());
assertEquals(res.getTxnRef(), old.getTxnRef());</t>
  </si>
  <si>
    <t>assertEquals("", res.getRedirectUrl());
assertEquals("PENDING", captureSaved().getStatus());
verify(outboxEventRepository).save(ob.capture());
assertEquals("PaymentCODConfirmedEvent", ob.getValue().getEventType());
assertEquals("Payment", ob.getValue().getAggregateType());</t>
  </si>
  <si>
    <t>assertEquals("00", rsp);
assertEquals("SUCCESS", p.getStatus());
assertNotNull(p.getPaidAt());
assertEquals("14250001", p.getGatewayTxnId());
assertEquals(List.of("PaymentSuccessEvent"), outboxTypes());</t>
  </si>
  <si>
    <t>assertEquals("97", service.verifyVnPayCallback(noHash));
assertEquals("97", service.verifyVnPayCallback(wrongSecret));
assertEquals("97", service.verifyVnPayCallback(tampered));
verify(webhookLogRepository, times(3)).save(wl.capture());
assertTrue(wl.getAllValues().stream().noneMatch(WebhookLog::getSignatureValid));</t>
  </si>
  <si>
    <t>assertEquals("01", service.verifyVnPayCallback(signedCallback("NOPE", 100000, "00")));
verify(paymentRepository, never()).save(any());</t>
  </si>
  <si>
    <t>assertEquals("04", service.verifyVnPayCallback(signedCallback("TXN-1", 1129999, "00")));
assertEquals("PENDING", p.getStatus());
verify(paymentRepository, never()).save(any());</t>
  </si>
  <si>
    <t>assertEquals("00", service.verifyVnPayCallback(signedCallback("TXN-1", 500000, "24")));
assertEquals("FAILED", p.getStatus());
assertEquals("24", p.getFailureCode());
assertEquals(List.of("PaymentFailedEvent"), outboxTypes());</t>
  </si>
  <si>
    <t>assertEquals("02", service.verifyVnPayCallback(signedCallback("TXN-1", 500000, "00")));
assertEquals("SUCCESS", p.getStatus());
verify(paymentRepository, never()).save(any());</t>
  </si>
  <si>
    <t>assertEquals("00", service.verifyVnPayCallback(signedCallback("TXN-1", 500000, "00")));
assertEquals("REFUND_PENDING", p.getStatus());
verify(refundRepository).save(r.capture());
assertEquals(0, new BigDecimal("500000").compareTo(r.getValue().getRefundAmount()));
assertEquals("PENDING", r.getValue().getStatus());</t>
  </si>
  <si>
    <t>verify(refundRepository).save(r.capture());
assertEquals("SUCCESS", r.getValue().getStatus());
assertNotNull(r.getValue().getCompletedAt());
assertEquals("PARTIALLY_REFUNDED", p.getStatus());
assertEquals(List.of("RefundCompletedEvent"), outboxTypes());</t>
  </si>
  <si>
    <t>IllegalArgumentException over = assertThrows(IllegalArgumentException.class, () -&gt; service.processRefund(
assertTrue(over.getMessage().contains("exceeds remaining refundable amount (700000)"));
assertThrows(IllegalArgumentException.class, () -&gt; service.processRefund(
assertThrows(IllegalArgumentException.class, () -&gt; service.processRefund(
assertThrows(IllegalArgumentException.class, () -&gt; service.processRefund(</t>
  </si>
  <si>
    <t>verify(standardRestTemplate).postForObject(anyString(), body.capture(), eq(Map.class));
assertEquals("02", b.get("vnp_TransactionType"));
assertEquals("50000000", b.get("vnp_Amount"));
assertEquals("14250001", b.get("vnp_TransactionNo"));
assertEquals("20261017100500", b.get("vnp_TransactionDate"));</t>
  </si>
  <si>
    <t>verify(refundRepository, times(3)).save(r.capture());
assertEquals("PENDING_MANUAL", r.getAllValues().get(0).getStatus());
assertTrue(r.getAllValues().get(0).getReason().contains("Needs manual review"));
assertEquals("PENDING", r.getAllValues().get(1).getStatus());
assertEquals("PENDING", r.getAllValues().get(2).getStatus());</t>
  </si>
  <si>
    <t>assertEquals("REFUND_PENDING", p.getStatus());
verify(refundRepository).save(r.capture());
assertEquals(0, new BigDecimal("650000").compareTo(r.getValue().getRefundAmount()));
assertEquals("PENDING", r.getValue().getStatus());
assertEquals("SUCCESS", again.getStatus());</t>
  </si>
  <si>
    <t>assertEquals("FAILED", pending.getStatus());
assertEquals("ORDER_CANCELLED", pending.getFailureCode());
assertEquals("REFUNDED", refunded.getStatus());
verify(paymentRepository, times(1)).save(any());</t>
  </si>
  <si>
    <t>assertThrows(AccessDeniedException.class, () -&gt; service.getPaymentByOrderId(77L, "intruder", false));
assertThrows(AccessDeniedException.class, () -&gt; service.getPaymentByOrderId(77L, null, false));
assertEquals("TXN-1", own.getTransactionNo());
assertEquals("SUCCESS", service.getPaymentByOrderId(77L, "admin-1", true).getStatus());
assertThrows(IllegalArgumentException.class, () -&gt; service.getPaymentByOrderId(404L, "u1", false));</t>
  </si>
  <si>
    <t>OrderKafkaConsumerTest.java</t>
  </si>
  <si>
    <t>assertEquals("SUCCESS", cod.getStatus());
assertNotNull(cod.getPaidAt());
assertEquals("SUCCESS", vnpay.getStatus());
verify(paymentRepository, times(1)).save(any());
verify(paymentService, times(1)).initiateAutoRefund(12L);</t>
  </si>
  <si>
    <t>PaymentServiceImplBugCheck.java</t>
  </si>
  <si>
    <t>RuntimeException ex = assertThrows(RuntimeException.class, () -&gt; service.initiatePayment(req("VNPAY")));
assertInstanceOf(IllegalStateException.class, ex,
verify(paymentRepository, never()).save(any());</t>
  </si>
  <si>
    <t>assertThrows(IllegalArgumentException.class, () -&gt; service.initiatePayment(req("MOMO")));
verify(paymentRepository, never()).save(any());</t>
  </si>
  <si>
    <t>verify(refundRepository, atLeastOnce()).save(r.capture());
assertEquals("RF-1", r.getValue().getGatewayRefundId());</t>
  </si>
  <si>
    <t>pm.test('HTTP status ∈ ' + __exp.join('/'), () =&gt; pm.expect(__exp).to.include(pm.response.code));
pm.test('redirectUrl tới sandbox.vnpayment.vn', () =&gt; pm.expect(j.data.redirectUrl).to.include('vnpayment.vn'));</t>
  </si>
  <si>
    <t>pm.test('HTTP status ∈ ' + __exp.join('/'), () =&gt; pm.expect(__exp).to.include(pm.response.code));
pm.test('RspCode = 97', () =&gt; pm.expect(j.RspCode).to.eql('97'));</t>
  </si>
  <si>
    <t>pm.test('HTTP status ∈ ' + __exp.join('/'), () =&gt; pm.expect(__exp).to.include(pm.response.code));
pm.test('RspCode = 04', () =&gt; pm.expect(j.RspCode).to.eql('04'));</t>
  </si>
  <si>
    <t>pm.test('HTTP status ∈ ' + __exp.join('/'), () =&gt; pm.expect(__exp).to.include(pm.response.code));
pm.test('RspCode = 00', () =&gt; pm.expect(j.RspCode).to.eql('00'));</t>
  </si>
  <si>
    <t>pm.test('HTTP status ∈ ' + __exp.join('/'), () =&gt; pm.expect(__exp).to.include(pm.response.code));
pm.test('status = CONFIRMED', () =&gt; pm.expect(j.data.status).to.eql('CONFIRMED'));</t>
  </si>
  <si>
    <t>pm.test('HTTP status ∈ ' + __exp.join('/'), () =&gt; pm.expect(__exp).to.include(pm.response.code));
pm.test('RspCode = 02', () =&gt; pm.expect(j.RspCode).to.eql('02'));</t>
  </si>
  <si>
    <t>pm.test('HTTP status ∈ ' + __exp.join('/'), () =&gt; pm.expect(__exp).to.include(pm.response.code));
pm.test('status ∈ REFUND_PENDING/REFUNDED', () =&gt; pm.expect(['REFUND_PENDING','REFUNDED']).to.include(j.data.status));</t>
  </si>
  <si>
    <t>pm.test('HTTP status ∈ ' + __exp.join('/'), () =&gt; pm.expect(__exp).to.include(pm.response.code));
pm.test('status ≠ SUCCESS', () =&gt; pm.expect(j.data.status).to.not.eql('SUCCESS'));</t>
  </si>
  <si>
    <t>ui/PH5.spec.ts</t>
  </si>
  <si>
    <t>KIỂM THỬ HIỆU NĂNG - PHÂN HỆ THANH TOÁN</t>
  </si>
  <si>
    <t>http://localhost:8084 (payment-service)</t>
  </si>
  <si>
    <t>Load Test: GET /api/v1/payments/order/{orderId}, GET /api/v1/admin/payments</t>
  </si>
  <si>
    <t>POST /api/v1/payments/initiate</t>
  </si>
  <si>
    <t>Tạo giao dịch VNPay thật trên sandbox.</t>
  </si>
  <si>
    <t>POST /api/v1/admin/payments/refund</t>
  </si>
  <si>
    <t>Gọi API hoàn tiền VNPay.</t>
  </si>
  <si>
    <t>GET /api/v1/payments/order/{orderId} (tra cứu thanh toán)</t>
  </si>
  <si>
    <t>GET /api/v1/admin/payments (danh sách giao dịch)</t>
  </si>
  <si>
    <t>2 kịch bản, 2 đạt ngưỡng.</t>
  </si>
  <si>
    <t>22 ca, 3 ca không đạt — chủ yếu sai mã lỗi HTTP / phân quyền / bảo mật (xem sheet API).</t>
  </si>
  <si>
    <t>Line coverage tầng service 72.3%, branch 64.1%. 3 ca BugCheck ghi nhận lỗi.</t>
  </si>
  <si>
    <t>1. API_PH5_002: Khách khác không thanh toán được đơn — mong đợi HTTP 403 (đơn không thuộc về người gọi); thực tế HTTP 400.
2. API_PH5_012: Thanh toán không tồn tại trả 404 — mong đợi HTTP 404; thực tế HTTP 400.
3. API_PH5_013: Không khởi tạo lại thanh toán cho đơn đã trả — mong đợi HTTP 409 INVALID_STATE; thực tế HTTP 500.
4. TC_PH5_INIT_07: initiatePayment bọc mọi lỗi xác minh đơn (kể cả lỗi nghiệp vụ 'Cannot pay for order in status: DELIVERED') thành RuntimeException('Order verification failed: ...'); GlobalExceptionHandler map Exception -&gt; HTTP 500 với thông điệp chung, khách không biết vì sao không thanh toán được.
5. TC_PH5_INIT_08: paymentMethod không bị giới hạn VNPAY/COD: giá trị bất kỳ khác COD (VD 'MOMO') vẫn tạo Payment và sinh URL VNPay; khi hoàn tiền chỉ 'VNPAY' mới gọi cổng nên Payment phương thức lạ bị coi như COD và đánh dấu hoàn SUCCESS mà không chuyển tiền.
6. TC_PH5_REFUND_05: processRefund gọi API hoàn tiền VNPay TRƯỚC khi khóa Payment; nếu kiểm tra lại dưới khóa thất bại (2 admin hoàn đồng thời) thì ném lỗi và không lưu Refund nào dù cổng đã hoàn tiền -&gt; tiền ra khỏi tài khoản nhưng hệ thống không có dấu vết, có thể hoàn 2 lần.
7. UI_PH5_FR02_004: Giả mạo tham số paymentStatus=00 trên URL — Payment thực tế PENDING nhưng trang vẫn hiện banner xanh "Thanh toán thành công qua cổng VNPAY!..." chỉ vì URL có paymentStatus=00 (banner chỉ dựa vào query param). Bằng chứng: Payment thực tế: PENDING; banner "thanh toán thành công" hiển thị: true
8. UI_PH5_FR02_007: Khách hủy giao dịch tại VNPay (mã 24) — Đơn chuyển CANCELLED, payment FAILED (đúng), nhưng backend redirect với paymentStatus=00 (mã "đã xử lý callback" thay vì vnp_ResponseCode) nên trang hiện "Giao dịch thanh toán VNPAY được ghi nhận thành công, nhưng đơn hàng này đã bị hủy trước đó. Vui lòng liên hệ ... hoàn tiền" – sai, vì khách không hề bị trừ tiền. Bằng chứng: VNPay trả vnp_ResponseCode=24 (chữ ký hợp lệ) -&gt; redirect paymentStatus=00; banner: "Giao dịch thanh toán VNPAY được ghi nhận thành công, nhưng đơn hàng này đã bị hủy trước đó"; đơn CANCELLED; payment FAILED
9. UI_PH5_FR03_006: Giao dịch đang chờ hoàn tiền hiển thị đúng trạng thái — Giao dịch REFUND_PENDING được ánh xạ thành "Pending" nên bảng hiện "Chờ duyệt" và hộp thoại "Chờ xử lý"; không được tính vào KPI "Đã hoàn tiền (Refund)". Bằng chứng: Payment #7 (đơn #11) trạng thái REFUND_PENDING; dòng bảng: "US-3 hai Thanh 21:14:33 17/10/2026 32.909.000 đ VNPAY Chờ duyệt Chi tiết"
10. UI_PH5_FR03_008: Admin hoàn tiền giao dịch VNPay — API trả 200 và giao diện báo "Thực hiện hoàn tiền thành công!" nhưng payment vẫn SUCCESS. VNPay không xác nhận lệnh hoàn (giao dịch được mô phỏng nên VNPay không có bản ghi, merchant sandbox cũng chưa được duyệt), nên theo code bản ghi refund chỉ ở trạng thái chờ thử lại hoặc chờ duyệt tay, nhưng người dùng không được báo điều này. Việc hoàn tiền không thành công là do môi trường; lỗi ứng dụng là thông báo sai kết quả. Đơn P đã được hủy để dọn dữ liệu. Bằng chứng: HTTP 200 {"code":"SUCCESS","message":"Success","data":null}; dialogs: Bạn có chắc chắn muốn hoàn tiền cho giao dịch này không? | Thực hiện hoàn tiền thành công!; payment sau: SUCCESS</t>
  </si>
  <si>
    <t>Ưu điểm:
- Bảo mật thanh toán khá đầy đủ: ký và kiểm tra HMAC-SHA512, lấy số tiền từ order-service và đối chiếu vnp_Amount ở IPN, chặn IDOR khi xem payment theo JWT (PaymentServiceImpl.java:593-596, PaymentController.java:56-68).
- Có ý thức về giao dịch phân tán: event ghi outbox cho Debezium, gọi mạng (order-service, VNPay) nằm ngoài transaction DB, khóa bi quan khi xử lý IPN/refund, scheduler có khóa Redis.
- Xử lý nghiệp vụ biên tốt: đối soát QueryDR trước khi đánh dấu EXPIRED, late payment tự tạo refund, phân loại refund retry được và PENDING_MANUAL, hỗ trợ hoàn tiền một phần.
- Comment chủ yếu giải thích lý do thiết kế (V-01/V-10/BUG-03...).</t>
  </si>
  <si>
    <t>Hạn chế:
- Trạng thái dùng hằng String thay vì enum (PaymentServiceImpl.java:90-99, Payment.java:51); còn field inject nhưng không dùng (kafkaTemplate :50, vnpayExpiryHours :72, paymentTopic :84) và tên lớp đầy đủ viết inline (:55, :57).
- Không file nào có header, thông tin bản quyền hay @author (grep 'copyright|@author' trên BE/payment-service/src không có kết quả).
- Chỉ một phần: field entity có comment cạnh bên (Payment.java:34-40), hằng REFUND_STATUS_PENDING_MANUAL có giải thích (PaymentServiceImpl.java:97-99); các field @Value và dependency (PaymentServiceImpl.java:46-84) không có ghi chú.
- Cả module chỉ có 4 khối Javadoc; interface PaymentService.java và các public method (initiatePayment, verifyVnPayCallback, processRefund...) không mô tả tham số, giá trị trả về, ngoại lệ.
- Comment trạng thái đã cũ: Payment.java:51 ghi 'PENDING, SUCCESS, FAILED, REFUNDED' (thiếu EXPIRED/REFUND_PENDING/PARTIALLY_REFUNDED), Refund.java:35 ghi 'PENDING, SUCCESS, FAILED' trong khi code dùng PENDING_MANUAL; SecurityConfig.java:29 còn nhắc 'MoMo' không tồn tại.
- Lỗi 'Cannot pay for order in status' bị che thành 500 với thông điệp chung (PaymentServiceImpl.java:148, 168-171 + GlobalExceptionHandler.java:79-86). processRefund nếu kiểm tra lại thất bại sau khi VNPay đã hoàn tiền (:416-436) thì ném exception và kết quả gateway bị mất, không có bản ghi Refund.</t>
  </si>
  <si>
    <t>Phân hệ Thanh toán đáp ứng các luồng nghiệp vụ chính khi kiểm thử trên môi trường local; các lỗi phát hiện tập trung ở xử lý ngoại lệ (mã lỗi HTTP), phân quyền chi tiết và một số điểm bảo mật/độ bền đã liệt kê ở mục 2. Cần sửa các lỗi mức Cao trước khi triển khai.</t>
  </si>
  <si>
    <t>6 Use Case (Configure Campaign, Design BPMN Process, Configure Budget &amp; Rules, Deploy Campaign Workflow, Monitor Campaign Execution, Apply Discounts) + 1 kịch bản (CHUONG_II 1.6) và bước 8–11 kịch bản 1.4; 07_PROMOTION_SERVICE.md 481 dòng</t>
  </si>
  <si>
    <t>docs/services/07_PROMOTION_SERVICE.md; CHUONG_I_DAC_TA.md mục 1 (từ khoá #23–25, #51, #52, #57), mục 2 Bước 3 (Chức năng 6), Bước 4 (mã giảm giá, chiến dịch, điểm thưởng), mục 3.1, 3.5 (Apply Discounts), 3.7; CHUONG_II_PHA_PHAN_TICH.md mục 1.4 (bước 8–11), 1.6; RA_SOAT_BAO_CAO_VS_CODE.md (A11, A13, A15, B11–B13, C14, C15, E33–E38)</t>
  </si>
  <si>
    <t>07_PROMOTION_SERVICE.md và các chương báo cáo là file Markdown, không có mã hiệu tài liệu, quy trình phê duyệt hay thông tin phát hành theo quy định kiểm soát tài liệu.</t>
  </si>
  <si>
    <t>Không theo mẫu SRS chuẩn nào (IEEE 830 hay mẫu công ty); 07 là tài liệu thiết kế kỹ thuật, CHUONG_I/II theo cấu trúc báo cáo đồ án.</t>
  </si>
  <si>
    <t>07 chỉ có tiêu đề H1 và dòng 'Port | DB | Camunda Version | Version: theo code hiện tại' (07 dòng 1-4); không có tên công ty/logo, mã dự án, mã hiệu tài liệu, ngày ban hành.</t>
  </si>
  <si>
    <t>Không có bảng lịch sử thay đổi; chỉ có vài ghi chú rời 'rà soát 2026-10-11' (07 dòng 23, 298).</t>
  </si>
  <si>
    <t>07 không ghi số phiên bản ('Version: theo code hiện tại', dòng 4) nên không xác định được trường hợp &gt; v1.0.</t>
  </si>
  <si>
    <t>07 mục I mô tả nhiệm vụ của service; không có câu nêu mục đích hay đối tượng đọc của tài liệu.</t>
  </si>
  <si>
    <t>07 mục 1.1 nêu 6 nhóm chức năng, dòng 21 nêu rõ module không còn tồn tại (chống gian lận, AI pricing); CHUONG_I Bước 2 nêu quyền thiết lập chiến dịch, quản lý voucher của Quản trị viên.</t>
  </si>
  <si>
    <t>CHUONG_I mục 1 định nghĩa Mã giảm giá, Chiến dịch khuyến mãi, Điểm thưởng (#23-25) nhưng không định nghĩa BPMN, node Trigger/Condition/Action, delegate, businessKey, trạng thái RESERVED dùng trong 07.</t>
  </si>
  <si>
    <t>Không có danh mục tài liệu tham khảo (Camunda 7, chuẩn BPMN 2.0).</t>
  </si>
  <si>
    <t>07 dòng 21 và ghi chú dòng 298 nêu rõ phần không tồn tại trong hệ thống (DMN, chống gian lận, endpoint evaluate).</t>
  </si>
  <si>
    <t>Không có mục mô tả cấu trúc tài liệu; 07 chỉ có các heading I–VII.</t>
  </si>
  <si>
    <t>07 mục 1.2 mô tả 3 luồng (thiết kế &amp; deploy, kích hoạt theo sự kiện, redeem voucher khi checkout); CHUONG_II 1.6 có kịch bản thiết lập chiến dịch.</t>
  </si>
  <si>
    <t>07 mục 1.1 có bảng chức năng; CHUONG_I 3.7 liệt kê các UC Configure Campaign, Design BPMN Process, Configure Budget &amp; Rules, Deploy Campaign Workflow, Monitor Campaign Execution và 3.5 có Apply Discounts.</t>
  </si>
  <si>
    <t>Danh sách chức năng được phân nhóm hợp lý nhưng mô tả trong báo cáo sai nhiều so với code (xem 2 câu dưới).</t>
  </si>
  <si>
    <t>Nhóm theo Campaign Builder, Camunda, Delegate, Trigger, Ngân sách, Voucher (07 mục 1.1).</t>
  </si>
  <si>
    <t>07 nhìn chung khớp code nhưng ghi release voucher thì hoàn ngân sách (07 dòng 384) trong khi releaseByOrderId không gọi releaseReservedBudget (VoucherRedemptionServiceImpl.java:66-81). CHUONG_II 1.6 mô tả Camunda BPMN Modeler, Business Rule Task/DMN, Push FCM, risk_score &gt;= 0.70, trần 150.000.000đ, đều không có trong code (RA_SOAT A13, C14, C15, E35, E36); CHUONG_I #25/#52 ghi tự cộng điểm sau mỗi đơn, code chỉ cộng qua Action_Loyalty_Point (RA_SOAT B11).</t>
  </si>
  <si>
    <t>07 mục 5.1 có cột Quyền (ADMIN, STAFF; xóa chỉ ADMIN), 5.2/5.3 tách API cho người dùng cuối và nội bộ; nhưng CHUONG_II 1.6 ghi tiền điều kiện chỉ ROLE_ADMIN, khác code (RA_SOAT C20, E38).</t>
  </si>
  <si>
    <t>CHUONG_I mục 1 (#4, #6) và Bước 2 nêu vai trò Quản trị viên/Nhân viên trong thiết lập chiến dịch.</t>
  </si>
  <si>
    <t>07 mục 1.2 có sơ đồ luồng tổng thể (dạng ASCII); CHUONG_I 3.7 có biểu đồ UC khuyến mãi (link puml dạng file:///d:/... không mở được).</t>
  </si>
  <si>
    <t>Chỉ liệt kê vai trò, không mô tả đặc điểm người dùng (trình độ, tần suất sử dụng).</t>
  </si>
  <si>
    <t>07 mục 2.2–2.4 nêu ràng buộc từng loại node (in/out-degree, tham số bắt buộc), ngân sách &gt; 0 khi có node voucher, không nhận bpmnXml từ client.</t>
  </si>
  <si>
    <t>07 mục VII nêu các phụ thuộc thật sang user/order/product/notification-service kèm endpoint; không có giả thiết nào được nêu rõ.</t>
  </si>
  <si>
    <t>Không có mã định danh yêu cầu; node type có tên duy nhất nhưng chức năng/UC không có ID.</t>
  </si>
  <si>
    <t>Báo cáo và 07 mâu thuẫn: quyền tạo chiến dịch (CHUONG_II 1.6 chỉ ROLE_ADMIN, 07 mục 5.1 ADMIN và STAFF), enum voucher PERCENTAGE/FIXED_AMOUNT/FREE_SHIPPING trong báo cáo so với PERCENT/FIXED/FREESHIP (RA_SOAT A15), trạng thái chiến dịch dự thảo/đang chạy/tạm dừng (CHUONG_I Bước 4) so với chỉ có cờ active (07 dòng 240).</t>
  </si>
  <si>
    <t>Yêu cầu chức năng không có độ ưu tiên.</t>
  </si>
  <si>
    <t>UC chỉ có tên tiếng Anh, không có mã hiệu UC/REQ.</t>
  </si>
  <si>
    <t>Link puml file:///d:/Downloads/... (CHUONG_I 3.7; RA_SOAT A17) không dùng được; 07 dẫn chiếu FE constants.js mà không ghi đường dẫn.</t>
  </si>
  <si>
    <t>Không có tiêu chí nghiệm thu cho chức năng chiến dịch, voucher, điểm thưởng.</t>
  </si>
  <si>
    <t>Thiếu quy tắc tích/đổi điểm (1 điểm/10.000đ × hệ số hạng, 1 điểm = 1.000đ — LoyaltyPointPolicy.java:17-38), giới hạn 1 voucher/đơn, công thức giảm giá PERCENT/FIXED/FREESHIP, cột idempotency_key và bảng executed_actions (07 mục 4.1 chỉ nêu 2 bảng).</t>
  </si>
  <si>
    <t>07 đánh dấu rõ phần không tồn tại (dòng 21, 166, 298, 439); CHUONG_I/II không đánh dấu.</t>
  </si>
  <si>
    <t>Không có yêu cầu chất lượng định lượng (độ trễ kích hoạt chiến dịch sau sự kiện, số voucher phát/giây).</t>
  </si>
  <si>
    <t>Báo cáo còn yêu cầu ngoài phạm vi: DMN/Business Rule Task, Push FCM, trigger sinh nhật, trần ngân sách 150 triệu, gia hạn voucher 7 ngày khi hủy đơn (RA_SOAT A11, A13, C15).</t>
  </si>
  <si>
    <t>07 chủ yếu là thiết kế (tên lớp, DDL SQL, key Redis, cấu hình YAML ở mục II–VI); CHUONG_II 1.6 bước 19 mô tả cơ chế deploy XML.</t>
  </si>
  <si>
    <t>07 mục 5.1 mô tả phản hồi VALIDATION_FAILED kèm lỗi theo node; CHUONG_II 1.6 có ngoại lệ 15.1, 18.1 (riêng 16.1 về trần ngân sách không có trong code).</t>
  </si>
  <si>
    <t>07 đủ cơ sở thiết kế: danh sách node và tham số (2.2), quy tắc validate (2.3), ánh xạ compile (2.4), schema (IV), API (V), tích hợp (VII).</t>
  </si>
  <si>
    <t>Nội dung 07 đã được hiện thực; các yêu cầu trong báo cáo như DMN, FCM, Camunda Modeler không làm trong ràng buộc hiện tại.</t>
  </si>
  <si>
    <t>07 mục 2.3 mô tả thuật toán validate (DFS phát hiện chu trình, reachability, kiểm tra nhánh default), 2.4 mô tả quy tắc biên dịch; còn thiếu công thức tính giảm giá voucher.</t>
  </si>
  <si>
    <t>Quy tắc node có điều kiện cụ thể (discountPercent 1–100, đúng 1 nhánh default...) nên kiểm tra được bằng test; trạng thái voucher UNUSED/RESERVED/USED kiểm được qua API.</t>
  </si>
  <si>
    <t>07 định nghĩa loại lỗi missing_parameter, wrong_data_type, invalid_data, invalid_connectivity kèm message theo node (mục 5.1); còn thiếu danh mục thông báo lỗi khi áp voucher (code có ở VoucherRedemptionServiceImpl.java:237-253).</t>
  </si>
  <si>
    <t>UC ở CHUONG_I 3.7 tương ứng Chức năng 6, Apply Discounts tương ứng Chức năng 4 (CHUONG_I Bước 3).</t>
  </si>
  <si>
    <t>07 mục 5.1–5.3 nêu phân quyền ADMIN/STAFF, endpoint public chỉ trả metadata, API nội bộ dùng API key qua FeignInternalApiConfig.</t>
  </si>
  <si>
    <t>JWT Keycloak + phân quyền vai trò, API key nội bộ, giới hạn dữ liệu public (07 dòng 294); nhưng 07 dòng 374 ghi API nội bộ 'không auth – permitAll', chưa nhắc InternalApiKeyFilter.</t>
  </si>
  <si>
    <t>Không có yêu cầu sao lưu dữ liệu chiến dịch/voucher.</t>
  </si>
  <si>
    <t>Không có yêu cầu usability cho trình thiết kế kéo-thả.</t>
  </si>
  <si>
    <t>Không có yêu cầu định lượng về độ ổn định; chống trigger trùng và idempotency chỉ được mô tả như giải pháp (07 mục 4.2).</t>
  </si>
  <si>
    <t>Không có yêu cầu hiệu năng.</t>
  </si>
  <si>
    <t>Không nêu số chiến dịch, số voucher phát hành hay lưu lượng sự kiện Kafka dự kiến.</t>
  </si>
  <si>
    <t>Không có yêu cầu hỗ trợ/giám sát (theo dõi process lỗi, cảnh báo hết ngân sách).</t>
  </si>
  <si>
    <t>07 mục III nêu Spring Boot, Camunda 7 embedded, MariaDB, Redis, Kafka, Eureka, OpenFeign.</t>
  </si>
  <si>
    <t>Có mô tả giao tiếp GUI (CHUONG_II), với các service khác và Kafka (07); chi tiết ở các câu dưới.</t>
  </si>
  <si>
    <t>CHUONG_II 1.6 mô tả màn hình quản lý và thiết kế chiến dịch, nhưng theo Camunda Modeler chứ không phải canvas @xyflow/react thực tế (RA_SOAT E36).</t>
  </si>
  <si>
    <t>Có giao tiếp phần mềm với các service nội bộ qua Feign và Kafka (xem 2 câu dưới).</t>
  </si>
  <si>
    <t>07 mục VII liệt kê endpoint gọi sang user/order/product/notification-service; không có hệ thống ngoài trực tiếp (email gửi gián tiếp qua notification-service).</t>
  </si>
  <si>
    <t>07 mục 1.2 liệt kê topic Kafka được tiêu thụ (user-created-events, payment-events, order-events, product-reviewed-events, user-risk-events) và mục VII các Feign client.</t>
  </si>
  <si>
    <t>REST/Feign và Kafka (ack manual) được nêu (07 mục III); chưa quy định timeout, retry.</t>
  </si>
  <si>
    <t>Không có yêu cầu tài liệu người dùng hay hướng dẫn trực tuyến cho trình thiết kế chiến dịch.</t>
  </si>
  <si>
    <t>Dùng Camunda 7 BPM engine (nhúng) cùng Redis, Kafka mã nguồn mở.</t>
  </si>
  <si>
    <t>07 không ghi phiên bản Camunda cụ thể, giấy phép và giới hạn của bản đang dùng; chỉ ghi 'Camunda 7 (Embedded Engine)'.</t>
  </si>
  <si>
    <t>Không đề cập yêu cầu pháp lý, ví dụ sự đồng ý nhận email marketing khi SendEmailDelegate gửi email khuyến mãi.</t>
  </si>
  <si>
    <t>Áp dụng chuẩn BPMN 2.0 (07 mục II, 2.4).</t>
  </si>
  <si>
    <t>07 mục 2.4 mô tả ánh xạ node sang phần tử BPMN 2.0 (startEvent, exclusiveGateway, serviceTask, timerEventDefinition).</t>
  </si>
  <si>
    <t>Điểm mạnh: 07_PROMOTION_SERVICE.md đã được viết lại theo code: danh sách node và tham số, quy tắc validate, ánh xạ BPMN, schema, API, tích hợp đều cụ thể và đánh dấu rõ phần không tồn tại. Điểm yếu: không đáp ứng kiểm soát tài liệu (không mã hiệu, số phiên bản, lịch sử thay đổi, trang ký); yêu cầu không có mã, độ ưu tiên, tiêu chí nghiệm thu; CHUONG_I/II mô tả sai nhiều (Camunda Modeler, DMN, FCM, trần ngân sách, tự cộng điểm sau mỗi đơn, quyền chỉ ADMIN); 07 thiếu quy tắc điểm thưởng, công thức giảm giá, bảng executed_actions và sai ở chỗ release voucher hoàn ngân sách; không có NFR.</t>
  </si>
  <si>
    <t>1. Thêm trang thông tin tài liệu (mã hiệu, số phiên bản, ngày ban hành, người lập/xem xét/phê duyệt) và bảng lịch sử thay đổi cho 07.
2. Đánh mã UC/REQ (ví dụ UC-PRO-01), gán độ ưu tiên và tiêu chí nghiệm thu.
3. Viết lại CHUONG_II 1.6 theo luồng thật: canvas kéo-thả → validate phía server → compile BPMN → deploy; bỏ DMN, Push FCM, trần 150 triệu, trigger sinh nhật; quyền ADMIN và STAFF.
4. Sửa CHUONG_I: điểm chỉ cộng qua node Action_Loyalty_Point, voucher cá nhân dùng 1 lần, chiến dịch chỉ có cờ active.
5. Bổ sung vào 07: quy tắc tích/đổi điểm, công thức giảm giá từng loại voucher, giới hạn 1 voucher/đơn, cột idempotency_key, bảng executed_actions; sửa câu release voucher hoàn ngân sách.
6. Bổ sung NFR (độ trễ kích hoạt, số voucher phát/giây, retry khi service phụ thuộc lỗi), thuật ngữ BPMN/delegate/businessKey và tài liệu tham khảo Camunda/BPMN.</t>
  </si>
  <si>
    <t>promotion-service (BE/promotion-service/src/main/java/com/ecommerce/promotionservice/) + loyalty trong user-service (LoyaltyPointServiceImpl, LoyaltyPointPolicy)</t>
  </si>
  <si>
    <t>38 file, khoảng 5.100 LOC: 34/77 file promotion-service (CampaignServiceImpl, CampaignTriggerService, 5 service voucher/ngân sách, IdempotencyGuardService, InternalUserIdResolver, CampaignVariableEnricher, PromotionKafkaConsumer, 4 delegate, 3 entity, 3 repository, 4 controller/handler, 4 config, UserClient, OrderClient, BpmnCompilerService và WorkflowValidatorService (đọc một phần), application.yml) + 4 file loyalty của user-service (LoyaltyPointServiceImpl, LoyaltyPointPolicy, LoyaltyPointTransaction, UserRepository)</t>
  </si>
  <si>
    <t>Tách service theo trách nhiệm (VoucherIssuance/Redemption/Maintenance/Budget/Query, CampaignTriggerService), có comment phân đoạn (CampaignServiceImpl.java:51, 57, 137). Điểm trừ: WorkflowValidatorService.java 755 dòng, CampaignServiceImpl.java 488 dòng.</t>
  </si>
  <si>
    <t>CamundaDatabaseConfig dùng System.out/err và printStackTrace thay logger (CamundaDatabaseConfig.java:43, 60-68); tập Trigger/Condition type khai báo lặp ở BpmnCompilerService.java:41-56, WorkflowValidatorService.java:20-50, WorkflowTriggerResolver.java:25; GlobalExceptionHandler trả nguyên e.getMessage() cho client (GlobalExceptionHandler.java:25).</t>
  </si>
  <si>
    <t>Tên biến rõ nghĩa (remainingBudget, idempotencyKey, restrictedCategoryIds); một số viết tắt khó đọc như nId/nName trong BpmnCompilerService.java:94-103.</t>
  </si>
  <si>
    <t>Thụt lề 4 dấu cách nhất quán; có chỗ căn cột thủ công bằng nhiều dấu cách (CampaignServiceImpl.java:41-49) không theo formatter chung.</t>
  </si>
  <si>
    <t>Kiểu K&amp;R nhất quán, switch expression viết đúng (VoucherRedemptionServiceImpl.java:238-253).</t>
  </si>
  <si>
    <t>Không file nào có header, thông tin bản quyền hay @author (grep 'copyright|@author' trên BE/promotion-service/src không có kết quả).</t>
  </si>
  <si>
    <t>Field quan trọng có Javadoc giải thích (IssuedVoucher.java:61-67 restrictedCategoryIds, :86-92 idempotencyKey; ExecutedAction.java:32); riêng Campaign.java (:20-59) không ghi chú field nào.</t>
  </si>
  <si>
    <t>Cột tiền BigDecimal không khai báo precision/scale (Campaign.java:27-31, IssuedVoucher.java:46-59) trong khi 07_PROMOTION_SERVICE.md ghi DECIMAL(19,2); sinh mã voucher dùng số ma thuật (VoucherIssuanceServiceImpl.java:183-184).</t>
  </si>
  <si>
    <t>Validator, Compiler, IdempotencyGuard có Javadoc lớp, nhưng các interface service (CampaignService.java, VoucherRedemptionService.java...) và public method của CampaignServiceImpl không có Javadoc.</t>
  </si>
  <si>
    <t>Quy tắc validate đồ thị (WorkflowValidatorService.java:5-13), ánh xạ node→BPMN (BpmnCompilerService.java:14-26), lý do khóa chống trigger trùng (CampaignTriggerService.java:39-44) đều được ghi chú.</t>
  </si>
  <si>
    <t>Không có code bị comment-out; phần đã gỡ bỏ đều có giải thích, ví dụ kênh SMS/Zalo/Push (SendEmailDelegate.java:16-24) và việc bỏ nhận bpmnXml từ client (CampaignServiceImpl.java:97-103).</t>
  </si>
  <si>
    <t>Javadoc CampaignController.java:33-38 vẫn nói API nhận 'pre-compiled bpmnXml directly', trái với CampaignServiceImpl.java:96-108 đã bỏ qua bpmnXml do client gửi.</t>
  </si>
  <si>
    <t>Các comment BUG FIX mô tả cụ thể lỗi và cách sửa (VoucherRedemptionServiceImpl.java:104-110, CampaignRepository.java:24-27); ngoại lệ là Javadoc cũ ở CampaignController nêu trên.</t>
  </si>
  <si>
    <t>Phần lớn comment giải thích lý do, ví dụ vì sao markExecuted phải gọi sau side effect (IdempotencyGuardService.java:12-21), vì sao phát voucher dùng REQUIRES_NEW (VoucherIssuanceServiceImpl.java:34-36).</t>
  </si>
  <si>
    <t>Tên lớp/hàm phản ánh đúng nhiệm vụ (reserveBudget, releaseByOrderId, triggerByEventType); riêng getCampaignStats/getPromotionDashboard còn ghi DB qua expireStaleVouchers (CampaignServiceImpl.java:294, 302) mà tên không thể hiện.</t>
  </si>
  <si>
    <t>Optional và phản hồi Feign đều được kiểm tra (nhận diện fallback ở LoyaltyPointDelegate.java:89-94, xử lý khi chưa có process definition ở CampaignTriggerService.java:199-216). Còn sót: parseCsvIds gọi Long::parseLong không bắt NumberFormatException (VoucherRedemptionServiceImpl.java:204), updateCampaign NPE nếu remainingBudget null (CampaignServiceImpl.java:230).</t>
  </si>
  <si>
    <t>Có GlobalExceptionHandler (IllegalArgument→400, còn lại→500) và try/catch quanh mọi lời gọi Feign; nhưng các delegate bắt mọi Exception rồi chỉ set biến (IssueVoucherPercentDelegate.java:50-53, LoyaltyPointDelegate.java:111-115, SendEmailDelegate.java:85-88) nên Camunda không retry, không tạo incident.</t>
  </si>
  <si>
    <t>Kafka consumer ack cả khi xử lý lỗi (PromotionKafkaConsumer.java:45-48, 79-82, 110-113...) nên sự kiện mất im lặng; IllegalStateException hết ngân sách rơi vào handler chung trả 500 kèm 'Lỗi hệ thống: ' + message nội bộ (GlobalExceptionHandler.java:21-26).</t>
  </si>
  <si>
    <t>Không cấp phát thủ công; tuy nhiên getAllCampaigns trả toàn bộ chiến dịch kèm workflowJson/bpmnXml kiểu TEXT, không phân trang (CampaignServiceImpl.java:180-185, 464-476), listCampaignVouchers cũng không phân trang (:400-407).</t>
  </si>
  <si>
    <t>Connection/Statement trong CamundaDatabaseConfig dùng try-with-resources (CamundaDatabaseConfig.java:29, 35, 83, 105); Redis lock trigger nhả trong finally (CampaignTriggerService.java:136-143); kết nối JPA do Spring quản lý.</t>
  </si>
  <si>
    <t>Không có đối tượng bị giải phóng 2 lần; lock chỉ bị xóa khi giá trị còn khớp (CampaignTriggerService.java:139-142).</t>
  </si>
  <si>
    <t>Service và delegate stateless (chỉ có field final inject); SecureRandom static dùng chung là thread-safe (VoucherIssuanceServiceImpl.java:28); cờ initialized (CamundaDatabaseConfig.java:16) chỉ dùng khi khởi tạo bean, đơn luồng.</t>
  </si>
  <si>
    <t>updateCampaign đọc Campaign không khóa rồi ghi đè remainingBudget (CampaignServiceImpl.java:199, 227-233) trong khi reserveBudget dùng findByIdForUpdate (CampaignBudgetServiceImpl.java:30) và Campaign không có @Version, gây lost update ngân sách. Ở user-service, redeemForOrder/refundForOrder kiểm tra trùng bằng findFirstByOrderIdAndSourceType trước khi khóa user và không có unique (order_id, source_type) (LoyaltyPointServiceImpl.java:157-158, 208-220).</t>
  </si>
  <si>
    <t>Lock chống trigger trùng bị nhả trong finally ngay sau startCampaignProcess (CampaignTriggerService.java:136-143) trong khi transaction @Transactional (:73) chưa commit, nên event trùng đến ngay sau đó vẫn thấy count = 0 và start process lần 2; bước nhả get+delete cũng không nguyên tử.</t>
  </si>
  <si>
    <t>Hàng campaigns là điểm nóng: mỗi lần phát voucher khóa FOR UPDATE cùng một hàng (CampaignBudgetServiceImpl.java:30); expireStaleVouchers khóa toàn bộ voucher hết hạn rồi lần lượt khóa campaign (IssuedVoucherRepository.java:45-46, CampaignBudgetServiceImpl.java:58) và bị gọi mỗi lần mở dashboard/stats (CampaignServiceImpl.java:294, 302).</t>
  </si>
  <si>
    <t>Vòng sinh mã voucher giới hạn 10 lần (VoucherIssuanceServiceImpl.java:173-179); DFS phát hiện chu trình có tập visited (WorkflowValidatorService.java:459-521).</t>
  </si>
  <si>
    <t>Vòng lặp trong code đều có điều kiện dừng, nhưng chiến dịch Trigger_Timer_Schedule được biên dịch thành timeCycle cron (BpmnCompilerService.java:106-112) chạy định kỳ vô thời hạn: không bị chặn bởi endDate và không bị gỡ khi deleteCampaign chỉ xóa hàng DB (CampaignServiceImpl.java:286-289).</t>
  </si>
  <si>
    <t>BpmnCompilerService.java:62-67 dựng inEdges/outEdges bằng cách quét toàn bộ edges cho từng node (O(N·E)); getPromotionDashboard lặp từng campaign × 9 truy vấn (CampaignServiceImpl.java:304-306, 345-395).</t>
  </si>
  <si>
    <t>workflowJson bị parse lại nhiều lần cho cùng một lần trigger (WorkflowTriggerResolver được gọi ở CampaignTriggerService.java:172, 179, 184, 243); helper toLong/toBigDecimal/extractData bị sao chép ở InternalUserIdResolver, LoyaltyPointDelegate, CampaignVariableEnricher, CampaignTriggerService.</t>
  </si>
  <si>
    <t>Dashboard N+1: mỗi campaign 8 truy vấn COUNT + 1 truy vấn Camunda (CampaignServiceImpl.java:345-395); trigger gọi 3–5 Feign (CampaignVariableEnricher.java:24-46) bên trong @Transactional (CampaignTriggerService.java:73, 93) nên giữ connection DB suốt thời gian chờ, Feign không cấu hình timeout; show-sql: true (application.yml:19).</t>
  </si>
  <si>
    <t>Chưa tối ưu như các điểm trên; nên đếm voucher bằng một truy vấn GROUP BY campaignId, status và enrich biến trước khi mở transaction.</t>
  </si>
  <si>
    <t>Service tự kiểm tra tham số: tên/ngày/ngân sách chiến dịch (CampaignServiceImpl.java:64-80), discountPercent/expireDays/userId khi phát voucher (VoucherIssuanceServiceImpl.java:47-50, 188-198). Nhưng controller không dùng @Valid (CampaignController.java:42, 62; InternalVoucherController.java:48-66) và updateCampaign không đối chiếu ngày mới với ngày cũ khi chỉ gửi một trong hai (:214).</t>
  </si>
  <si>
    <t>Truy cập phần tử đầu đều kiểm tra rỗng trước (pds.get(0) sau isEmpty ở CampaignTriggerService.java:199-200; productIds.get(0) ở CampaignVariableEnricher.java:200-202).</t>
  </si>
  <si>
    <t>Java bắt buộc khai báo trước khi dùng; không phát hiện vấn đề.</t>
  </si>
  <si>
    <t>BpmnCompilerService.compile khoảng 247 dòng (:58-304), WorkflowValidatorService.validateCondition khoảng 108 dòng (:205-312), CampaignServiceImpl.createCampaign khoảng 110 dòng (:58-170); nên tách theo loại node và tách các bước compile/deploy/persist.</t>
  </si>
  <si>
    <t>Ngân sách chiến dịch có được bảo vệ khỏi lost update ở mọi đường ghi không?</t>
  </si>
  <si>
    <t>reserveBudget/releaseReservedBudget dùng PESSIMISTIC_WRITE (CampaignBudgetServiceImpl.java:30, 58) nhưng updateCampaign ghi remainingBudget sau findById không khóa (CampaignServiceImpl.java:199, 230-232).</t>
  </si>
  <si>
    <t>Side effect của delegate Camunda (phát voucher, cộng điểm, gửi email) có được retry an toàn khi lỗi không?</t>
  </si>
  <si>
    <t>Đã có khóa idempotency (IssuedVoucher.idempotencyKey, ExecutedAction) và asyncBefore=true (BpmnCompilerService.java:146), nhưng delegate nuốt exception nên job không bao giờ fail/retry; voucher, điểm, email lỗi mạng bị bỏ qua vĩnh viễn (LoyaltyPointDelegate.java:111-115).</t>
  </si>
  <si>
    <t>Kafka consumer có retry/DLQ thay vì ack khi xử lý lỗi không?</t>
  </si>
  <si>
    <t>Mọi listener đều ack trong catch (PromotionKafkaConsumer.java:45-48, 79-82, 110-113, 141-144, 192-195); KafkaConfig.java không cấu hình DefaultErrorHandler/DLT.</t>
  </si>
  <si>
    <t>Xóa hoặc tắt chiến dịch có đồng bộ dừng process trên Camunda không?</t>
  </si>
  <si>
    <t>toggleCampaignActive có suspend process definition (CampaignServiceImpl.java:417-429), nhưng deleteCampaign chỉ deleteById (:286-289) và updateCampaign đặt active=false (:236) không suspend, nên chiến dịch Timer vẫn chạy.</t>
  </si>
  <si>
    <t>Có test tự động cho validator, compiler, ngân sách và redeem voucher không?</t>
  </si>
  <si>
    <t>BE/promotion-service không có thư mục src/test.</t>
  </si>
  <si>
    <t>* Điểm mạnh:
- Validator đồ thị chặt chẽ (kết nối, chu trình, đúng 1 nhánh default, tham số theo loại node); server luôn tự compile BPMN từ workflowJson và bỏ qua bpmnXml của client.
- Chống trùng nhiều lớp: idempotencyKey unique khi phát voucher, bảng ExecutedAction cho email/điểm, Redis lock theo businessKey, khóa bi quan ngân sách, phát voucher REQUIRES_NEW.
- Voucher cá nhân có vòng đời rõ (UNUSED→RESERVED→USED/UNUSED, EXPIRED qua scheduler có khóa phân tán), ràng buộc category/product khi redeem; user-service adjustPoints khóa hàng user.
- Comment giải thích lý do sửa lỗi rất cụ thể, giúp người đọc hiểu quyết định thiết kế.</t>
  </si>
  <si>
    <t>1. Delegate ném lại exception với lỗi tạm thời (Feign timeout/5xx) để Camunda retry và tạo incident; chỉ nuốt lỗi nghiệp vụ.
2. Kafka: cấu hình DefaultErrorHandler + dead-letter topic thay vì ack khi lỗi.
3. Campaign: thêm @Version hoặc dùng findByIdForUpdate trong updateCampaign; khai báo precision/scale cho cột tiền.
4. Nhả lock trigger sau khi transaction commit (TransactionSynchronization.afterCompletion) hoặc đặt ràng buộc unique theo businessKey.
5. deleteCampaign và updateCampaign(active=false) phải suspend/xóa deployment Camunda; kiểm tra endDate với chiến dịch Timer.
6. Dashboard: đếm bằng GROUP BY, bỏ expireStaleVouchers khỏi API GET, phân trang danh sách chiến dịch/voucher.
7. Enrich biến trước khi mở transaction và cấu hình timeout Feign; thêm unique (order_id, source_type) cho loyalty_point_transactions; handler không trả message nội bộ; thay System.out bằng logger; viết test.</t>
  </si>
  <si>
    <t>Phân hệ: PH6 – Khuyến mãi, chiến dịch, voucher &amp; điểm thưởng</t>
  </si>
  <si>
    <t>Trình dựng chiến dịch khuyến mãi (Coupon Code)</t>
  </si>
  <si>
    <t>Thiết kế sơ đồ trigger → điều kiện → hành động bằng click thẻ khối, kiểm tra sơ đồ, triển khai lên Camunda, tạm ngưng, phân quyền xóa</t>
  </si>
  <si>
    <t>Thống kê Promotion</t>
  </si>
  <si>
    <t>Thẻ số liệu, biểu đồ, danh sách chiến dịch và voucher đã phát theo chiến dịch</t>
  </si>
  <si>
    <t>Voucher &amp; điểm thưởng của khách hàng</t>
  </si>
  <si>
    <t>Kho voucher, số dư điểm, chọn voucher/điểm ở checkout, đặt và hủy đơn có voucher + điểm</t>
  </si>
  <si>
    <t>1. TỔNG QUAN KẾT QUẢ
- Tổng cộng 25 test case được thực hiện, trong đó 22 Pass (88%) và 3 Fail (12%), không có Pending.
- Phân loại theo nhóm: UI/UX 6, Function 11, Negative 8.
Trình dựng chiến dịch, triển khai lên Camunda và vòng "đơn thành công → cộng điểm" chạy đúng: chiến dịch #4 (Mua hàng thành công → Tặng 25 điểm) cộng đúng 25 điểm cho đơn #1328 trong vài giây; khi tạm ngưng thì đơn mới không được cộng. Voucher và điểm ở checkout áp dụng đúng. Lỗi nằm ở cách tính tổng tiền khi dùng điểm, mã lỗi phân quyền và nội dung quy tắc tích điểm. Mọi chiến dịch test (#4, #5) đã được tắt rồi xóa theo id.</t>
  </si>
  <si>
    <t>2. PHÂN TÍCH KẾT QUẢ
Nhóm UI/UX (6 test case): 5 Pass, 1 Fail. Trang Điểm thưởng ghi "Tích 10.000đ chi tiêu = 1 điểm" nhưng đơn đã xác nhận không được cộng điểm nào (UI_PH6_FR03_009).
Nhóm Function (11 test case): 10 Pass, 1 Fail. Đặt hàng dùng voucher + 50 điểm: checkout hiện tổng 32.804.000đ, đơn tạo ra là 32.799.000đ (UI_PH6_FR03_006). Triển khai, cộng điểm theo chiến dịch, tạm ngưng, xóa, thống kê, chọn voucher, dùng điểm và hoàn điểm khi hủy đơn đều đạt.
Nhóm Negative (8 test case): 7 Pass, 1 Fail. STAFF xóa chiến dịch bị chặn nhưng nhận HTTP 500 "Lỗi hệ thống: Access Denied" thay vì 403 (UI_PH6_FR01_012).
Điểm tích cực: chặn chèn Trigger giữa sơ đồ, bắt buộc ngân sách khi có voucher, chặn khoảng thời gian ngược và tên trống; tên chiến dịch chứa HTML hiển thị dạng text; mã voucher không tồn tại hoặc đã dùng bị từ chối với thông báo rõ.</t>
  </si>
  <si>
    <t>3. PHÂN TÍCH NGUYÊN NHÂN GỐC
- Checkout (FE) tính VAT trên số tiền sau voucher nhưng trước khi trừ điểm; order-service tính VAT sau khi trừ cả điểm. Hai nơi dùng công thức khác nhau nên tổng hiển thị lệch 10% số tiền giảm bằng điểm.
- promotion-service có @ExceptionHandler(Exception.class) chung, bắt luôn AccessDeniedException và trả 500 (F2). FE cũng không ẩn nút Xóa với STAFF.
- Câu quy tắc trong ProfilePage là chuỗi cứng, không khớp thiết kế (điểm chỉ cộng qua chiến dịch).</t>
  </si>
  <si>
    <t>4. MỨC ĐỘ NGHIÊM TRỌNG
- Trung bình (Medium): tổng tiền checkout khác số tiền thực của đơn khi dùng điểm. Khách thấy một số và bị thu số khác (với VNPay, số tiền chuyển cổng là finalAmount của server).
- Thấp (Low): mã lỗi 500 khi STAFF xóa chiến dịch (dữ liệu không bị thay đổi); quy tắc tích điểm trên giao diện gây hiểu nhầm.</t>
  </si>
  <si>
    <t>FR_01 – Trình dựng chiến dịch khuyến mãi (Coupon Code)</t>
  </si>
  <si>
    <t>UI_PH6_FR01_001</t>
  </si>
  <si>
    <t>Kiểm tra giao diện danh sách chiến dịch</t>
  </si>
  <si>
    <t>admin; sidebar "Coupon Code"</t>
  </si>
  <si>
    <t>1. Đăng nhập admin, mở tab "Coupon Code".
2. Quan sát bộ đếm, bảng và nút tạo mới.</t>
  </si>
  <si>
    <t>Tiêu đề "Quy Trình Khuyến Mãi", nút "Tạo chiến dịch mới", bộ đếm Tổng chiến dịch/Đang kích hoạt/Tạm ngưng, bảng đủ 7 cột (ID … Thao Tác Quản Lý); khi chưa có chiến dịch hiện "Chưa có chiến dịch nào."</t>
  </si>
  <si>
    <t>Bằng chứng: Số chiến dịch hiện có: 0</t>
  </si>
  <si>
    <t>UI_PH6_FR01_002</t>
  </si>
  <si>
    <t>Kiểm tra giao diện trình thiết kế chiến dịch</t>
  </si>
  <si>
    <t>admin; nút "Tạo chiến dịch mới"</t>
  </si>
  <si>
    <t>1. Mở Coupon Code, bấm "Tạo chiến dịch mới".
2. Quan sát header, thư viện khối, bản vẽ, bảng cấu hình.</t>
  </si>
  <si>
    <t>Header có Danh sách/Căn chỉnh/Kiểm tra sơ đồ/Xem BPMN/Triển khai/Đặt lại; Thư viện khối có 3 nhóm (Trigger, Điều kiện, Hành động) với 17 thẻ; sơ đồ mặc định "Đăng ký mới" → "Kết thúc"; bảng cấu hình báo "Chọn một khối trên bản vẽ để cấu hình tham số."</t>
  </si>
  <si>
    <t>Bằng chứng: Sơ đồ mặc định: Đăng ký mới → Kết thúc</t>
  </si>
  <si>
    <t>UI_PH6_FR01_003</t>
  </si>
  <si>
    <t>Chèn khối Trigger vào giữa sơ đồ</t>
  </si>
  <si>
    <t>Thẻ "Đơn hàng thành công" (nhóm Trigger)</t>
  </si>
  <si>
    <t>1. Tạo chiến dịch mới.
2. Click thẻ "Đơn hàng thành công".</t>
  </si>
  <si>
    <t>Toast lỗi "Không thể chèn Trigger vào giữa sơ đồ", sơ đồ giữ nguyên 2 khối.</t>
  </si>
  <si>
    <t>UI_PH6_FR01_004</t>
  </si>
  <si>
    <t>Kiểm tra sơ đồ có hành động voucher nhưng chưa đặt ngân sách</t>
  </si>
  <si>
    <t>Khối "Tặng voucher %" (mặc định 10%, tối đa 50.000đ); Quỹ ngân sách để trống</t>
  </si>
  <si>
    <t>1. Tạo chiến dịch mới, click thẻ "Tặng voucher %".
2. Bấm "Kiểm tra sơ đồ".</t>
  </si>
  <si>
    <t>Hộp thoại kết quả báo "Tìm thấy n lỗi cần chỉnh sửa trước khi deploy", có lỗi về Quỹ ngân sách; không có nút "Triển khai ngay".</t>
  </si>
  <si>
    <t>UI_PH6_FR01_005</t>
  </si>
  <si>
    <t>Triển khai với thời gian kết thúc trước thời gian bắt đầu</t>
  </si>
  <si>
    <t>Tên "UI PH6 sai thoi gian"; bắt đầu 20/12/2026 10:00; kết thúc 10/12/2026 10:00</t>
  </si>
  <si>
    <t>1. Tạo sơ đồ "Tặng điểm thưởng", bấm "Kiểm tra sơ đồ" → "Triển khai ngay".
2. Nhập tên và khoảng thời gian ngược.
3. Bấm "Hủy Bỏ".</t>
  </si>
  <si>
    <t>Hiện "Thời gian kết thúc phải sau thời gian bắt đầu.", nút "Xác Nhận &amp; Triển Khai" bị khóa, không gọi POST /admin/campaigns.</t>
  </si>
  <si>
    <t>UI_PH6_FR01_006</t>
  </si>
  <si>
    <t>Triển khai khi bỏ trống tên chiến dịch</t>
  </si>
  <si>
    <t>Tên chiến dịch: để trống</t>
  </si>
  <si>
    <t>1. Mở hộp thoại triển khai như ca trên.
2. Xóa trống ô tên, bấm "Xác Nhận &amp; Triển Khai".</t>
  </si>
  <si>
    <t>Form bị chặn (trường bắt buộc), không gọi POST /admin/campaigns, không tạo chiến dịch.</t>
  </si>
  <si>
    <t>Bằng chứng: Nút xác nhận enabled=true; ô tên validity.valid=false; có gọi POST=false</t>
  </si>
  <si>
    <t>UI_PH6_FR01_007</t>
  </si>
  <si>
    <t>Triển khai chiến dịch "Mua hàng thành công → Tặng điểm thưởng"</t>
  </si>
  <si>
    <t>Trigger: Mua hàng thành công (đơn ≥ 100.000đ); hành động: Tặng 25 điểm (FIXED); tên "UI PH6 Don thanh cong cong diem"</t>
  </si>
  <si>
    <t>1. Tạo chiến dịch mới, click thẻ "Tặng điểm thưởng".
2. Chọn khối Bắt đầu, đổi "Loại Sự Kiện Bắt Đầu" sang "Mua hàng thành công".
3. Chọn khối hành động, nhập "Số điểm cộng/trừ" = 25.
4. Kiểm tra sơ đồ → Triển khai ngay → nhập tên → Xác Nhận &amp; Triển Khai.</t>
  </si>
  <si>
    <t>Kiểm tra sơ đồ báo hợp lệ; API trả 201; toast "Triển khai chiến dịch thành công"; danh sách có dòng chiến dịch mới với trạng thái "KÍCH HOẠT".</t>
  </si>
  <si>
    <t>Bằng chứng: POST /admin/campaigns -&gt; 201, id=4, key=ui_ph6_don_thanh_cong_cong_diem</t>
  </si>
  <si>
    <t>UI_PH6_FR01_008</t>
  </si>
  <si>
    <t>Khách đặt đơn thành công được cộng điểm theo chiến dịch</t>
  </si>
  <si>
    <t>customer; đơn COD SP #1 (32.909.000đ); chiến dịch ở UI_PH6_FR01_007</t>
  </si>
  <si>
    <t>1. Khách đặt đơn COD qua giao diện /checkout.
2. Chờ đơn CONFIRMED.
3. Kiểm tra số điểm và mục "Lịch sử điểm" ở /profile?tab=membership.</t>
  </si>
  <si>
    <t>Điểm tăng đúng 25 trong ≤ 60 giây; Lịch sử điểm có dòng "+25 điểm".</t>
  </si>
  <si>
    <t>Bằng chứng: Đơn #1328 (32909000đ) trạng thái CONFIRMED; điểm trước 300, sau 325</t>
  </si>
  <si>
    <t>UI_PH6_FR01_009</t>
  </si>
  <si>
    <t>Tạm ngưng chiến dịch</t>
  </si>
  <si>
    <t>Chiến dịch ở UI_PH6_FR01_007</t>
  </si>
  <si>
    <t>1. Ở danh sách chiến dịch, bấm nút "Tạm ngưng" (title "Tạm ngưng chiến dịch").</t>
  </si>
  <si>
    <t>API toggle-active trả 200, nhãn chuyển "TẠM NGỪNG", nút đổi thành "Kích hoạt"; GET chiến dịch có active=false.</t>
  </si>
  <si>
    <t>UI_PH6_FR01_010</t>
  </si>
  <si>
    <t>Chiến dịch tạm ngưng không cộng điểm cho đơn mới</t>
  </si>
  <si>
    <t>customer; 1 đơn COD mới (tạo qua API để chuẩn bị dữ liệu)</t>
  </si>
  <si>
    <t>1. Ghi số điểm hiện tại.
2. Tạo đơn COD, chờ CONFIRMED.
3. Chờ 30 giây, đọc lại số điểm.</t>
  </si>
  <si>
    <t>Đơn CONFIRMED nhưng số điểm không đổi.</t>
  </si>
  <si>
    <t>Bằng chứng: Đơn #1329 trạng thái CONFIRMED; điểm trước 325, sau 30 s: 325</t>
  </si>
  <si>
    <t>UI_PH6_FR01_011</t>
  </si>
  <si>
    <t>Tên chiến dịch chứa mã HTML hiển thị dạng text (XSS)</t>
  </si>
  <si>
    <t>Tên: &lt;img src=x onerror=alert(1)&gt;UI PH6 XSS</t>
  </si>
  <si>
    <t>1. Tạo sơ đồ "Tặng điểm thưởng", triển khai với tên chứa thẻ img.
2. Quan sát dòng trong danh sách.
3. Tạm ngưng ngay chiến dịch phụ.</t>
  </si>
  <si>
    <t>Tên hiển thị nguyên văn, không chèn thẻ img, không có hộp thoại alert.</t>
  </si>
  <si>
    <t>Bằng chứng: POST -&gt; 201, id=5</t>
  </si>
  <si>
    <t>UI_PH6_FR01_012</t>
  </si>
  <si>
    <t>Nhân viên (STAFF) xóa chiến dịch</t>
  </si>
  <si>
    <t>staff; chiến dịch ở UI_PH6_FR01_007</t>
  </si>
  <si>
    <t>1. Đăng nhập staff, mở Coupon Code.
2. Bấm "Xóa" ở chiến dịch, đồng ý hộp xác nhận.</t>
  </si>
  <si>
    <t>Bị từ chối với HTTP 403 và thông báo không có quyền; chiến dịch vẫn còn (chỉ ADMIN được xóa).</t>
  </si>
  <si>
    <t>Chiến dịch không bị xóa (đúng), nhưng API trả HTTP 500 và toast "Lỗi: Lỗi hệ thống: Access Denied" thay vì 403/thông báo không có quyền: promotion-service bắt AccessDeniedException trong handler Exception chung (F2). Giao diện vẫn hiển thị nút Xóa cho STAFF. Bằng chứng: DELETE bởi staff -&gt; HTTP 500; toast: "Lỗi: Lỗi hệ thống: Access Denied"; chiến dịch còn tồn tại: true; dialog: Xóa vĩnh viễn chiến dịch "UI PH6 Don thanh cong cong diem"?</t>
  </si>
  <si>
    <t>UI_PH6_FR01_013</t>
  </si>
  <si>
    <t>Admin xóa chiến dịch</t>
  </si>
  <si>
    <t>admin; chiến dịch ở UI_PH6_FR01_007</t>
  </si>
  <si>
    <t>1. Bấm "Xóa" ở chiến dịch.
2. Đồng ý hộp xác nhận.</t>
  </si>
  <si>
    <t>Hộp xác nhận "Xóa vĩnh viễn chiến dịch "…"?", toast "Đã xóa chiến dịch", dòng biến mất; API không còn chiến dịch.</t>
  </si>
  <si>
    <t>Chiến dịch phụ XSS (#5) cũng được tắt rồi xóa theo đúng id ở bước dọn dữ liệu.</t>
  </si>
  <si>
    <t>FR_02 – Thống kê Promotion</t>
  </si>
  <si>
    <t>UI_PH6_FR02_001</t>
  </si>
  <si>
    <t>Kiểm tra giao diện Thống kê Promotion</t>
  </si>
  <si>
    <t>admin; sidebar "Thống kê Promotion"</t>
  </si>
  <si>
    <t>1. Mở tab "Thống kê Promotion".
2. Đối chiếu số trên thẻ với GET /admin/campaigns/dashboard.</t>
  </si>
  <si>
    <t>Đủ 6 thẻ số liệu (Chiến dịch, Voucher đã phát, Chưa dùng, Ngân sách tổng, Đã cam kết, Hết hạn / Giữ), 3 biểu đồ, danh sách chiến dịch có ô tìm kiếm; số trên thẻ khớp API.</t>
  </si>
  <si>
    <t>Bằng chứng: API dashboard: totalCampaigns=0, active=0, totalIssued=0, totalUnused=0; thẻ hiển thị: Chiến dịch=0, Voucher đã phát=0, Chưa dùng=0</t>
  </si>
  <si>
    <t>UI_PH6_FR02_002</t>
  </si>
  <si>
    <t>Xem chi tiết chiến dịch vừa triển khai</t>
  </si>
  <si>
    <t>Chiến dịch ở UI_PH6_FR01_007 (đang bật)</t>
  </si>
  <si>
    <t>1. Mở Thống kê Promotion.
2. Bấm vào chiến dịch trong "Danh sách chiến dịch".</t>
  </si>
  <si>
    <t>Chiến dịch có nhãn ON và "Phát: n"; khung chi tiết hiện tên chiến dịch và bảng "Voucher đã phát" với bộ lọc Tất cả trạng thái/Chưa dùng/Đã dùng/Đang giữ/Hết hạn.</t>
  </si>
  <si>
    <t>UI_PH6_FR02_003</t>
  </si>
  <si>
    <t>Tìm kiếm chiến dịch theo tên</t>
  </si>
  <si>
    <t>Từ khóa "cong diem"; "khong-ton-tai-xyz"</t>
  </si>
  <si>
    <t>1. Nhập "cong diem" vào ô "Tìm tên / process key…".
2. Nhập từ khóa không tồn tại.</t>
  </si>
  <si>
    <t>Từ khóa đúng lọc ra 1 chiến dịch; từ khóa không tồn tại hiện "Không tìm thấy chiến dịch".</t>
  </si>
  <si>
    <t>FR_03 – Voucher &amp; điểm thưởng của khách hàng</t>
  </si>
  <si>
    <t>UI_PH6_FR03_001</t>
  </si>
  <si>
    <t>Kiểm tra giao diện kho voucher của khách</t>
  </si>
  <si>
    <t>customer; /profile?tab=vouchers</t>
  </si>
  <si>
    <t>1. Đăng nhập customer, mở "Kho voucher cá nhân".
2. Đối chiếu với GET /promotions/vouchers/me.</t>
  </si>
  <si>
    <t>"Kho voucher của bạn", dòng "{n} voucher sẵn sàng dùng khi thanh toán" khớp API, nút lọc Khả dụng/Đã dùng/Tất cả, thẻ voucher có mã, HSD và link "Dùng ngay".</t>
  </si>
  <si>
    <t>Bằng chứng: API: 3 voucher, 3 khả dụng: VPC-4717398W, VPC-34492341, VPC-7802069H</t>
  </si>
  <si>
    <t>UI_PH6_FR03_002</t>
  </si>
  <si>
    <t>Số dư điểm thưởng hiển thị khớp hệ thống</t>
  </si>
  <si>
    <t>customer; /profile?tab=membership</t>
  </si>
  <si>
    <t>1. Mở "Điểm thưởng &amp; Hạng thẻ".
2. Đối chiếu với GET /users/me/loyalty/points.</t>
  </si>
  <si>
    <t>Ô "Số dư" = số điểm API; ô "Quy đổi" = điểm × 1.000đ; có mục "Lịch sử điểm".</t>
  </si>
  <si>
    <t>Bằng chứng: API points=325; ô Số dư: SỐ DƯ 325 điểm; ô Quy đổi: QUY ĐỔI 325.000đ giá trị</t>
  </si>
  <si>
    <t>UI_PH6_FR03_003</t>
  </si>
  <si>
    <t>Chọn voucher tại trang thanh toán</t>
  </si>
  <si>
    <t>Voucher 10% tối đa 50.000đ; giỏ SP #1 (29.890.000đ)</t>
  </si>
  <si>
    <t>1. Mở /checkout, mở "Ưu đãi &amp; Voucher".
2. Chọn voucher trong "Voucher của bạn".
3. Đối chiếu tóm tắt đơn hàng.</t>
  </si>
  <si>
    <t>Hiện "Giảm 50.000đ"; dòng "Giảm giá sản phẩm" -50.000đ; VAT = 10% × (tạm tính − giảm); Tổng = tạm tính − giảm + phí ship + VAT.</t>
  </si>
  <si>
    <t>Bằng chứng: Voucher VPC-4717398W (10%, tối đa 50000); preview discount=50000; tạm tính 29890000, giảm 50000, ship 30000, VAT 2984000, tổng 32854000</t>
  </si>
  <si>
    <t>UI_PH6_FR03_004</t>
  </si>
  <si>
    <t>Áp dụng mã voucher không tồn tại</t>
  </si>
  <si>
    <t>Mã KHONGTONTAI123</t>
  </si>
  <si>
    <t>1. Ở checkout, nhập mã vào "Nhập hoặc tìm mã voucher...".
2. Bấm "Áp dụng".</t>
  </si>
  <si>
    <t>Hiện lỗi dưới ô nhập ("Mã voucher không tồn tại."), không giảm giá, tạm tính giữ nguyên.</t>
  </si>
  <si>
    <t>Bằng chứng: preview -&gt; HTTP 200 {"code":"SUCCESS","message":"Thành công","data":{"applied":false,"message":"Mã voucher không tồn tại.","voucherCode":null,"voucherType":null,"discountAmount":null,"productDiscountAmount":null,"shippin; thông báo: "error_outline
Mã voucher không tồn tại."</t>
  </si>
  <si>
    <t>UI_PH6_FR03_005</t>
  </si>
  <si>
    <t>Dùng điểm thưởng tại trang thanh toán</t>
  </si>
  <si>
    <t>50 điểm (1 điểm = 1.000đ)</t>
  </si>
  <si>
    <t>1. Ở checkout, mở "Điểm thưởng".
2. Nhập 50, bấm "Áp dụng".</t>
  </si>
  <si>
    <t>Picker hiện "Đã dùng 50 điểm"; tóm tắt có dòng "Giảm bằng điểm" -50.000đ.</t>
  </si>
  <si>
    <t>Bằng chứng: Số dư 325 điểm; dùng 50 điểm → dòng "Giảm bằng điểm" = 50000</t>
  </si>
  <si>
    <t>UI_PH6_FR03_006</t>
  </si>
  <si>
    <t>Đặt hàng dùng đồng thời voucher và điểm thưởng</t>
  </si>
  <si>
    <t>Voucher 10% (tối đa 50.000đ) + 50 điểm; SP #1</t>
  </si>
  <si>
    <t>1. Ở checkout chọn voucher, áp 50 điểm, ghi Tổng thanh toán.
2. Bấm "Xác nhận &amp; Đặt hàng".
3. Kiểm tra số điểm, trạng thái voucher, trang chi tiết đơn.</t>
  </si>
  <si>
    <t>Điểm giảm 50; voucher chuyển USED/RESERVED; chi tiết đơn có mã voucher và "Giảm bằng điểm: -50.000đ"; Tổng thanh toán hiển thị ở checkout bằng số tiền thực của đơn (finalAmount).</t>
  </si>
  <si>
    <t>Điểm (325→275), voucher (USED), mã giảm giá và dòng "Giảm bằng điểm" đều đúng; nhưng checkout hiển thị Tổng thanh toán 32.804.000đ trong khi đơn được tạo với finalAmount 32.799.000đ (trang chi tiết đơn cũng hiện 32.799.000đ). Checkout tính VAT 10% trên số tiền trước khi trừ điểm (29.840.000đ → 2.984.000đ), order-service tính VAT sau khi trừ điểm (29.790.000đ → 2.979.000đ). Đơn test đã được hủy. Bằng chứng: Đơn #1331: status CONFIRMED, couponCode=VPC-34492341, discount=100000, pointsRedeemed=50, final=32799000; tổng hiển thị checkout 32804000; điểm 325→275; voucher VPC-34492341 → USED | Tổng ở trang chi tiết đơn: 32799000; finalAmount server: 32799000; tổng hiển thị lúc checkout: 32804000</t>
  </si>
  <si>
    <t>UI_PH6_FR03_007</t>
  </si>
  <si>
    <t>Dùng lại voucher đã sử dụng</t>
  </si>
  <si>
    <t>Mã voucher đã dùng ở UI_PH6_FR03_006</t>
  </si>
  <si>
    <t>1. Ở checkout, nhập lại mã voucher đã dùng.
2. Bấm "Áp dụng".</t>
  </si>
  <si>
    <t>Preview trả applied=false, hiện lỗi "Mã voucher đã được sử dụng.", không giảm giá.</t>
  </si>
  <si>
    <t>Bằng chứng: Mã VPC-34492341: preview 200 {"applied":false,"message":"Mã voucher đã được sử dụng.","voucherCode":null,"voucherType":null,"discountAmount":null,"productDiscountAmount":null,"shippingDisco; thông báo "error_outline
Mã voucher đã được sử dụng."</t>
  </si>
  <si>
    <t>UI_PH6_FR03_008</t>
  </si>
  <si>
    <t>Hủy đơn đã dùng điểm thì điểm được hoàn</t>
  </si>
  <si>
    <t>Đơn ở UI_PH6_FR03_006</t>
  </si>
  <si>
    <t>1. Mở chi tiết đơn, bấm "Hủy đơn", đồng ý.
2. Đọc lại số điểm.</t>
  </si>
  <si>
    <t>Đơn bị hủy, điểm được hoàn đủ 50.</t>
  </si>
  <si>
    <t>Lần chạy lại của UI_PH6_FR03_006 (đơn #1331) được hủy ở bước dọn dữ liệu, điểm cũng được hoàn (275 → 325). Bằng chứng: Hủy đơn #1330: điểm 275 → 325</t>
  </si>
  <si>
    <t>UI_PH6_FR03_009</t>
  </si>
  <si>
    <t>Quy tắc tích điểm hiển thị khớp cơ chế thực tế</t>
  </si>
  <si>
    <t>Trang /profile?tab=membership; đơn #1329 đã CONFIRMED khi không có chiến dịch hoạt động</t>
  </si>
  <si>
    <t>1. Mở tab Điểm thưởng &amp; Hạng thẻ, đọc quy tắc.
2. Đối chiếu lịch sử điểm của đơn đã xác nhận.</t>
  </si>
  <si>
    <t>Quy tắc hiển thị đúng cơ chế: nếu ghi "Tích 10.000đ chi tiêu = 1 điểm" thì đơn đã xác nhận phải được cộng điểm tương ứng.</t>
  </si>
  <si>
    <t>Trang ghi "1 điểm = 1.000đ khi thanh toán. Tích 10.000đ chi tiêu = 1 điểm." nhưng đơn #1329 (32.909.000đ, CONFIRMED) không phát sinh giao dịch điểm nào. Theo thiết kế, điểm chỉ được cộng qua chiến dịch (HUONG_DAN mục 8 và 13), nên quy tắc trên giao diện gây hiểu nhầm cho khách. Bằng chứng: Giao diện ghi: "1 điểm = 1.000đ khi thanh toán. Tích 10.000đ chi tiêu = 1 điểm.". Đơn #1329 (CONFIRMED, 32909000đ, không có chiến dịch hoạt động) → giao dịch điểm liên quan: 0</t>
  </si>
  <si>
    <t>Project: TECHSTORE_2026 | Phân hệ: PH6 – Khuyến mãi, chiến dịch, voucher &amp; điểm thưởng | Framework: JUnit 5 + Mockito (Spring Boot 3.2.5, Java 17)</t>
  </si>
  <si>
    <t>MariaDB + Camunda 7.20 (mock repository / RepositoryService / DelegateExecution)</t>
  </si>
  <si>
    <t>BE/promotion-service/src/test/java/com/ecommerce/promotionservice/</t>
  </si>
  <si>
    <t>mvn -q -pl promotion-service -am org.jacoco:jacoco-maven-plugin:0.8.11:prepare-agent test org.jacoco:jacoco-maven-plugin:0.8.11:report -DfailIfNoTests=false -Dsurefire.failIfNoSpecifiedTests=false  (BugCheck: mvn -q -pl promotion-service -am test -Dtest=*BugCheck ...)</t>
  </si>
  <si>
    <t>WorkflowValidatorService.java</t>
  </si>
  <si>
    <t>validate() + các luật trigger/condition/action/end, orphan, cycle, reachability, ngân sách</t>
  </si>
  <si>
    <t>Luật đồ thị Campaign Builder: đúng 1 trigger, có End, gateway đúng 1 nhánh else, nhánh IF có biểu thức và không trùng, tham số action (%, trần, expireDays nguyên, template email, hạng), vòng lặp vô hạn, quỹ ngân sách &gt;= mức trừ tối đa.</t>
  </si>
  <si>
    <t>BpmnCompilerService.java</t>
  </si>
  <si>
    <t>compile()</t>
  </si>
  <si>
    <t>Sinh BPMN 2.0 XML; kiểm bằng Camunda BPMN Model API (Bpmn.readModelFromStream + validateModel) thay vì so chuỗi.</t>
  </si>
  <si>
    <t>VoucherRedemptionServiceImpl.java</t>
  </si>
  <si>
    <t>preview(), apply(), redeemByOrderId(), releaseByOrderId() + tính PERCENT/FIXED/FREESHIP, ràng buộc SP/danh mục</t>
  </si>
  <si>
    <t>Trần giảm %, đơn tối thiểu FIXED, trần FREESHIP theo phí ship, chuẩn hóa mã, quyền sở hữu, hết hạn, máy trạng thái UNUSED-&gt;RESERVED-&gt;USED / RESERVED-&gt;UNUSED.</t>
  </si>
  <si>
    <t>CampaignServiceImpl.java</t>
  </si>
  <si>
    <t>createCampaign(), updateCampaign(), toggleCampaignActive()</t>
  </si>
  <si>
    <t>Validate -&gt; biên dịch -&gt; deploy Camunda -&gt; lưu; sinh BPMN key duy nhất; bỏ qua bpmnXml client gửi; ngân sách còn lại khi đổi tổng quỹ; suspend/activate process.</t>
  </si>
  <si>
    <t>CampaignBudgetServiceImpl.java</t>
  </si>
  <si>
    <t>reserveBudget(), releaseReservedBudget()</t>
  </si>
  <si>
    <t>Giữ/hoàn ngân sách có khóa dòng, không vượt tổng quỹ.</t>
  </si>
  <si>
    <t>IssueVoucherPercentDelegate.java</t>
  </si>
  <si>
    <t>execute()</t>
  </si>
  <si>
    <t>Đọc biến Camunda, idempotencyKey = processInstanceId:activityId, xử lý ngoại lệ (BugCheck).</t>
  </si>
  <si>
    <t>Logic khuyến mãi nằm ở service, validator, compiler và delegate</t>
  </si>
  <si>
    <t>Controller chỉ chuyển tiếp DTO; luật workflow, tính tiền voucher, ngân sách và deploy Camunda đều ở tầng service.</t>
  </si>
  <si>
    <t>Validator/Compiler là hàm thuần</t>
  </si>
  <si>
    <t>Chạy với graph dựng sẵn (WorkflowFixtures), không cần Spring/Camunda engine; XML được kiểm bằng parser chính thức của Camunda.</t>
  </si>
  <si>
    <t>Cô lập Camunda/Feign</t>
  </si>
  <si>
    <t>RepositoryService, DeploymentBuilder, DelegateExecution, ProductClient, InternalUserIdResolver được mock -&gt; không deploy process thật, không phát voucher thật.</t>
  </si>
  <si>
    <t>CampaignController / VoucherController / InternalVoucherController</t>
  </si>
  <si>
    <t>Tầng web; phủ bằng kiểm thử API PH6.</t>
  </si>
  <si>
    <t>CampaignTriggerService / CampaignVariableEnricher / PromotionKafkaConsumer</t>
  </si>
  <si>
    <t>Khởi chạy process Camunda theo sự kiện Kafka với khóa Redis, cần engine Camunda + Kafka; đề xuất test tích hợp.</t>
  </si>
  <si>
    <t>VoucherIssuanceServiceImpl, VoucherQueryServiceImpl, VoucherMaintenanceServiceImpl</t>
  </si>
  <si>
    <t>Ưu tiên luồng áp dụng/giữ voucher và ngân sách trong giới hạn 25 case; phát voucher được kiểm gián tiếp qua delegate.</t>
  </si>
  <si>
    <t>Các delegate còn lại (Fixed, Freeship, SendEmail, LoyaltyPoint, UpgradeMemberRank)</t>
  </si>
  <si>
    <t>Cùng khuôn với IssueVoucherPercentDelegate (đã kiểm), khác tham số.</t>
  </si>
  <si>
    <t>CampaignServiceImpl.getPromotionDashboard() / getCampaignStats()</t>
  </si>
  <si>
    <t>Chỉ cộng dồn số đếm từ repository; ghi nhận hiệu năng N+1 ở code review.</t>
  </si>
  <si>
    <t>WorkflowValidatorService</t>
  </si>
  <si>
    <t>com.ecommerce.promotionservice.service</t>
  </si>
  <si>
    <t>318/403</t>
  </si>
  <si>
    <t>BpmnCompilerService</t>
  </si>
  <si>
    <t>202/202</t>
  </si>
  <si>
    <t>VoucherRedemptionServiceImpl</t>
  </si>
  <si>
    <t>com.ecommerce.promotionservice.service.impl</t>
  </si>
  <si>
    <t>143/159</t>
  </si>
  <si>
    <t>CampaignServiceImpl</t>
  </si>
  <si>
    <t>125/289</t>
  </si>
  <si>
    <t>CampaignBudgetServiceImpl</t>
  </si>
  <si>
    <t>36/43</t>
  </si>
  <si>
    <t>IssueVoucherPercentDelegate</t>
  </si>
  <si>
    <t>com.ecommerce.promotionservice.delegate</t>
  </si>
  <si>
    <t>31/34</t>
  </si>
  <si>
    <t>TC_PH6_WF_01</t>
  </si>
  <si>
    <t>BE/promotion-service/src/test/java/com/ecommerce/promotionservice/service/WorkflowValidatorServiceTest.java</t>
  </si>
  <si>
    <t>validate()</t>
  </si>
  <si>
    <t>Graph chuẩn được chấp nhận</t>
  </si>
  <si>
    <t>Khách mới -&gt; Hạng thành viên (GOLD -&gt; voucher 10% trần 50.000, 7 ngày -&gt; End; else -&gt; End 2); quỹ 1.000.000</t>
  </si>
  <si>
    <t>valid=true, errors rỗng, summary 'hợp lệ'</t>
  </si>
  <si>
    <t>TC_PH6_WF_02</t>
  </si>
  <si>
    <t>Phát hiện lỗi cấu trúc đồ thị</t>
  </si>
  <si>
    <t>graph null / nodes null; bỏ trigger; thêm trigger thứ 2; bỏ hết End; kiểu node 'Action_Hack'</t>
  </si>
  <si>
    <t>invalid; lỗi 'trigger'; lỗi 'trigger'; lỗi 'end_event' + 'reachability' ở a1; lỗi 'type' ở a1</t>
  </si>
  <si>
    <t>TC_PH6_WF_03</t>
  </si>
  <si>
    <t>validate() / validateCondition()</t>
  </si>
  <si>
    <t>Luật gateway điều kiện</t>
  </si>
  <si>
    <t>không có nhánh else; 2 nhánh else; nhánh IF condition rỗng; 2 nhánh IF 'GOLD' và ' gold ' (khác hoa thường/khoảng trắng); value 'GOLD,DIAMOND'</t>
  </si>
  <si>
    <t>Lỗi isDefault (missing); isDefault (invalid_connectivity); edge[f2].condition; branches (trùng); edge[f2].value</t>
  </si>
  <si>
    <t>TC_PH6_WF_04</t>
  </si>
  <si>
    <t>validate() / validateAction()</t>
  </si>
  <si>
    <t>Luật tham số node hành động</t>
  </si>
  <si>
    <t>% giảm 150, maxDiscount 0, expireDays '7.5'; FIXED discountAmount -1; email templateId 'khong_ton_tai_template'; nâng hạng DIAMOND; tích điểm ORDER_SPEND với trigger Khách mới; FIXED pointAmount 0</t>
  </si>
  <si>
    <t>Báo lỗi đúng trường: discountPercent, maxDiscountAmount, expireDays; discountAmount; templateId; targetTier; calculationMode; pointAmount</t>
  </si>
  <si>
    <t>TC_PH6_WF_05</t>
  </si>
  <si>
    <t>validate() / validateNoCycles(), validateOrphanNodes()</t>
  </si>
  <si>
    <t>Luật toàn cục: vòng lặp, node mồ côi, ngân sách</t>
  </si>
  <si>
    <t>vòng c1-&gt;a1-&gt;a2(Cộng điểm)-&gt;c1; vòng có node Gửi email; node a9 không nối; meta=null; quỹ 30.000 &lt; trần 50.000</t>
  </si>
  <si>
    <t>Lỗi 'cycle'; không báo cycle (có node chờ); lỗi 'connectivity' ở a9; lỗi meta.totalBudget (missing); meta.totalBudget invalid_data</t>
  </si>
  <si>
    <t>TC_PH6_BPMN_01</t>
  </si>
  <si>
    <t>BE/promotion-service/src/test/java/com/ecommerce/promotionservice/service/BpmnCompilerServiceTest.java</t>
  </si>
  <si>
    <t>Biên dịch graph thành BPMN hợp lệ</t>
  </si>
  <si>
    <t>graph hợp lệ, condition "${memberRank == 'GOLD' &amp;&amp; totalSpending &gt; 1000}", tên 'Khuyến mãi &lt;VIP&gt; &amp; "Tết"', key khuyen_mai_vip</t>
  </si>
  <si>
    <t>Camunda parse + validate OK; process executable, tên khôi phục đúng sau escape; gateway c1 default=f3; serviceTask a1 asyncBefore, delegate ${issueVoucherPercentDelegate}, inputParameter actionType/discountPercent=10/maxDiscountAmount=50000; f2 giữ nguyên biểu thức; f3 không có condition</t>
  </si>
  <si>
    <t>TC_PH6_BPMN_02</t>
  </si>
  <si>
    <t>Trigger lịch trình sinh timer đúng loại</t>
  </si>
  <si>
    <t>cronExpression '0 0 9 * * ?'
startDate '2026-11-11T00:00:00' + endDate</t>
  </si>
  <si>
    <t>timerEventDefinition/timeCycle = cron; timeDate = startDate</t>
  </si>
  <si>
    <t>TC_PH6_VOUCHER_01</t>
  </si>
  <si>
    <t>BE/promotion-service/src/test/java/com/ecommerce/promotionservice/service/VoucherRedemptionServiceImplTest.java</t>
  </si>
  <si>
    <t>preview() / calculatePercentDiscount()</t>
  </si>
  <si>
    <t>Tính giảm giá phần trăm có trần</t>
  </si>
  <si>
    <t>Voucher VPC-1 của user 7: 10%, trần 50.000</t>
  </si>
  <si>
    <t>mã ' vpc-1 ', đơn 1.000.000
mã VPC-1, đơn 300.000</t>
  </si>
  <si>
    <t>Giảm 50.000 (chạm trần), thành tiền 950.000; giảm 30.000, thành tiền 270.000; campaignId 3; không ghi DB</t>
  </si>
  <si>
    <t>TC_PH6_VOUCHER_02</t>
  </si>
  <si>
    <t>preview() / calculateFixedDiscount()</t>
  </si>
  <si>
    <t>Voucher giảm tiền cố định: đơn tối thiểu và chặn âm</t>
  </si>
  <si>
    <t>VPF-1: 50.000, tối thiểu 200.000; VPF-2: 500.000</t>
  </si>
  <si>
    <t>VPF-1 đơn 199.999; VPF-1 đơn 200.000; VPF-2 đơn 300.000</t>
  </si>
  <si>
    <t>Từ chối 'chưa đạt giá trị tối thiểu 200000'; giảm 50.000 còn 150.000; giảm 300.000 còn 0</t>
  </si>
  <si>
    <t>TC_PH6_VOUCHER_03</t>
  </si>
  <si>
    <t>preview() / calculateFreeshipDiscount()</t>
  </si>
  <si>
    <t>Voucher miễn phí vận chuyển có trần</t>
  </si>
  <si>
    <t>VFS-1 trần 20.000</t>
  </si>
  <si>
    <t>đơn 500.000 ship 30.000 / 15.000 / null</t>
  </si>
  <si>
    <t>Giảm ship 20.000 (không giảm tiền hàng, thành tiền 500.000); 15.000; từ chối 'không có phí vận chuyển'</t>
  </si>
  <si>
    <t>TC_PH6_VOUCHER_04</t>
  </si>
  <si>
    <t>preview() / validateOwnershipAndState()</t>
  </si>
  <si>
    <t>Đầu vào sai và quyền sở hữu voucher</t>
  </si>
  <si>
    <t>OTHER thuộc user 99; OLD hết hạn 1 phút trước; NOPE không tồn tại</t>
  </si>
  <si>
    <t>mã '  '; tổng 0; tổng null; userId 'ghost'; NOPE; OTHER; OLD</t>
  </si>
  <si>
    <t>Lần lượt: 'không được để trống'; invalid; invalid; 'Không xác định được tài khoản'; 'không tồn tại'; 'không thuộc tài khoản của bạn'; 'đã hết hạn'; không ghi DB</t>
  </si>
  <si>
    <t>TC_PH6_VOUCHER_05</t>
  </si>
  <si>
    <t>apply()</t>
  </si>
  <si>
    <t>Giữ voucher cho đơn khi đặt hàng</t>
  </si>
  <si>
    <t>VPF-9 UNUSED của user 7</t>
  </si>
  <si>
    <t>apply(code 'vpf-9', orderId 555, đơn 400.000)
apply không orderId</t>
  </si>
  <si>
    <t>RESERVED, usedOrderId 555, dùng findWithLockByCode, gọi expireIfNeeded, lưu; thiếu orderId -&gt; 'orderId bắt buộc'</t>
  </si>
  <si>
    <t>TC_PH6_VOUCHER_06</t>
  </si>
  <si>
    <t>apply() / validateOwnershipAndState()</t>
  </si>
  <si>
    <t>Không áp dụng voucher không còn khả dụng</t>
  </si>
  <si>
    <t>Voucher R=RESERVED, U=USED, C=CANCELLED; E quá hạn (expireIfNeeded chuyển EXPIRED)</t>
  </si>
  <si>
    <t>apply R, U, C, E (orderId 1)</t>
  </si>
  <si>
    <t>'đang được giữ cho một đơn hàng khác'; 'đã được sử dụng'; 'đã bị hủy'; 'đã hết hạn'; không lưu</t>
  </si>
  <si>
    <t>TC_PH6_VOUCHER_07</t>
  </si>
  <si>
    <t>redeemByOrderId(), releaseByOrderId()</t>
  </si>
  <si>
    <t>Chốt dùng khi thanh toán, trả lại khi hủy</t>
  </si>
  <si>
    <t>Đơn 10, 11 giữ voucher RESERVED; đơn 12 voucher USED</t>
  </si>
  <si>
    <t>redeem(10); release(11); release(12); redeem(null); release(null)</t>
  </si>
  <si>
    <t>10 -&gt; USED có usedAt; 11 -&gt; UNUSED, usedOrderId null; 12 giữ USED; null bỏ qua; 2 lần save</t>
  </si>
  <si>
    <t>TC_PH6_VOUCHER_08</t>
  </si>
  <si>
    <t>preview() / validateProductCategoryRestriction()</t>
  </si>
  <si>
    <t>Voucher giới hạn sản phẩm/danh mục</t>
  </si>
  <si>
    <t>PROD chỉ SP '5, 8'; CAT chỉ danh mục 3; product-service (mock): SP20 thuộc danh mục 3, SP21 thuộc '4'</t>
  </si>
  <si>
    <t>PROD với [5,6]; CAT với [20]; CAT với [21]; CAT không có productIds</t>
  </si>
  <si>
    <t>Áp dụng; áp dụng; từ chối 'không thuộc danh mục/sản phẩm'; từ chối 'chỉ áp dụng cho một số sản phẩm/danh mục'</t>
  </si>
  <si>
    <t>TC_PH6_CAMP_01</t>
  </si>
  <si>
    <t>BE/promotion-service/src/test/java/com/ecommerce/promotionservice/service/CampaignServiceImplTest.java</t>
  </si>
  <si>
    <t>createCampaign()</t>
  </si>
  <si>
    <t>Tạo chiến dịch hợp lệ</t>
  </si>
  <si>
    <t>Key 'tri_an_khach_hang_gold' đã tồn tại; Camunda (mock) deploy OK</t>
  </si>
  <si>
    <t>name 'Tri ân khách hàng GOLD', 01-30/11/2026, totalBudget client 5, bpmnXml '&lt;hack/&gt;', workflowJson = graph hợp lệ (quỹ meta 1.000.000)</t>
  </si>
  <si>
    <t>Key 'tri_an_khach_hang_gold_2'; deploy resource .bpmn do server biên dịch (bỏ bpmnXml client); lưu total = remaining = 1.000.000, triggerType Trigger_Event_NewUser, active</t>
  </si>
  <si>
    <t>TC_PH6_CAMP_02</t>
  </si>
  <si>
    <t>Từ chối dữ liệu tạo chiến dịch sai</t>
  </si>
  <si>
    <t>Key 'dup_key' đã tồn tại</t>
  </si>
  <si>
    <t>tên '  '; ngày kết thúc &lt; bắt đầu; chỉ có bpmnXml; graph voucher không có quỹ; key ' dup_key '; workflow thiếu trigger</t>
  </si>
  <si>
    <t>IllegalArgumentException đúng thông điệp từng case; không deploy Camunda, không lưu</t>
  </si>
  <si>
    <t>TC_PH6_CAMP_03</t>
  </si>
  <si>
    <t>updateCampaign()</t>
  </si>
  <si>
    <t>Đổi tổng quỹ giữ nguyên phần đã dùng</t>
  </si>
  <si>
    <t>Chiến dịch 5: tổng 1.000.000, còn 600.000</t>
  </si>
  <si>
    <t>totalBudget 1.500.000; totalBudget 300.000; name ' '; id 404</t>
  </si>
  <si>
    <t>Còn 1.100.000; còn 0 (không âm); IAE; IAE; không redeploy</t>
  </si>
  <si>
    <t>TC_PH6_CAMP_04</t>
  </si>
  <si>
    <t>toggleCampaignActive()</t>
  </si>
  <si>
    <t>Bật/tắt chiến dịch đồng bộ Camunda</t>
  </si>
  <si>
    <t>Chiến dịch 6 key c6; activate ném lỗi</t>
  </si>
  <si>
    <t>toggle(6, false); toggle(6, true)</t>
  </si>
  <si>
    <t>active=false + suspendProcessDefinitionByKey(c6); active=true + activate được gọi, lỗi engine không làm hỏng thao tác</t>
  </si>
  <si>
    <t>TC_PH6_BUDGET_01</t>
  </si>
  <si>
    <t>BE/promotion-service/src/test/java/com/ecommerce/promotionservice/service/CampaignBudgetServiceImplTest.java</t>
  </si>
  <si>
    <t>Giữ/hoàn ngân sách chiến dịch</t>
  </si>
  <si>
    <t>Chiến dịch 3: tổng 100.000, còn 100.000</t>
  </si>
  <si>
    <t>giữ 50.000; giữ 60.000; hoàn voucher PERCENT trần 80.000; giữ với campaignId null; giữ 0</t>
  </si>
  <si>
    <t>Còn 50.000; IllegalStateException 'không đủ', giữ 50.000; còn 100.000 (chặn ở tổng quỹ); bỏ qua; bỏ qua</t>
  </si>
  <si>
    <t>TC_PH6_DELEGATE_01</t>
  </si>
  <si>
    <t>BE/promotion-service/src/test/java/com/ecommerce/promotionservice/delegate/IssueVoucherPercentDelegateTest.java</t>
  </si>
  <si>
    <t>Delegate Camunda phát voucher phần trăm</t>
  </si>
  <si>
    <t>Biến: discountPercent '10', maxDiscountAmount 50000, expireDays '7', danh mục ['3','x']; pi-1 / a1</t>
  </si>
  <si>
    <t>execute(); sau đó user không xác định</t>
  </si>
  <si>
    <t>issuePercent(7, 3, 10, 50000.0, 7, [3], [], 'pi-1:a1'); biến voucherCode, percentVoucherId, voucherExpiresAt, voucherIssued=true; lần 2: voucherIssued=false, không phát</t>
  </si>
  <si>
    <t>TC_PH6_WF_06</t>
  </si>
  <si>
    <t>BE/promotion-service/src/test/java/com/ecommerce/promotionservice/service/WorkflowValidatorServiceBugCheck.java</t>
  </si>
  <si>
    <t>Cạnh trỏ tới node không tồn tại phải bị báo lỗi</t>
  </si>
  <si>
    <t>graph hợp lệ nhưng xóa node e1, giữ cạnh f4 a1 -&gt; e1</t>
  </si>
  <si>
    <t>valid=false</t>
  </si>
  <si>
    <t>TC_PH6_CAMP_05</t>
  </si>
  <si>
    <t>BE/promotion-service/src/test/java/com/ecommerce/promotionservice/service/CampaignServiceImplBugCheck.java</t>
  </si>
  <si>
    <t>Cập nhật một phần ngày phải đối chiếu với ngày hiện có</t>
  </si>
  <si>
    <t>Chiến dịch 5 bắt đầu 01/11/2026</t>
  </si>
  <si>
    <t>endDate = 15/10/2026 (không gửi startDate)</t>
  </si>
  <si>
    <t>IllegalArgumentException 'Ngày kết thúc phải sau ngày bắt đầu'</t>
  </si>
  <si>
    <t>TC_PH6_CAMP_06</t>
  </si>
  <si>
    <t>Tắt chiến dịch qua API cập nhật phải dừng process Camunda</t>
  </si>
  <si>
    <t>Chiến dịch 5 key sale_11_11 đang active</t>
  </si>
  <si>
    <t>updateCampaign(5, active=false)</t>
  </si>
  <si>
    <t>repositoryService.suspendProcessDefinitionByKey('sale_11_11', true, null)</t>
  </si>
  <si>
    <t>TC_PH6_DELEGATE_02</t>
  </si>
  <si>
    <t>BE/promotion-service/src/test/java/com/ecommerce/promotionservice/delegate/IssueVoucherPercentDelegateBugCheck.java</t>
  </si>
  <si>
    <t>Lỗi tạm thời khi phát voucher phải để Camunda retry</t>
  </si>
  <si>
    <t>issuePercent ném TransientDataAccessResourceException (hết connection DB)</t>
  </si>
  <si>
    <t>Ném exception ra ngoài (job retry/incident), không nuốt lỗi</t>
  </si>
  <si>
    <t>WorkflowValidatorService chỉ tính bậc/kề trên danh sách nodes, không kiểm tra from/to của cạnh có tồn tại: graph có cạnh trỏ tới node đã xóa vẫn 'hợp lệ', BpmnCompilerService sinh sequenceFlow targetRef tới phần tử không tồn tại và lỗi chỉ lộ ra khi Camunda deploy (500).</t>
  </si>
  <si>
    <t>BE/promotion-service/src/main/java/com/ecommerce/promotionservice/service/WorkflowValidatorService.java:84-94, 523-535; service/BpmnCompilerService.java:163-166</t>
  </si>
  <si>
    <t>updateCampaign chỉ so sánh ngày khi request gửi CẢ startDate và endDate; gửi riêng endDate sớm hơn startDate hiện có vẫn được lưu -&gt; chiến dịch có khoảng thời gian âm, không bao giờ được kích hoạt.</t>
  </si>
  <si>
    <t>BE/promotion-service/src/main/java/com/ecommerce/promotionservice/service/impl/CampaignServiceImpl.java:214, 234-235</t>
  </si>
  <si>
    <t>updateCampaign(active=false) chỉ đổi cờ trong DB, không suspend process definition như toggleCampaignActive; chiến dịch Trigger_Timer_Schedule (timeCycle) vẫn tiếp tục chạy và phát voucher/điểm.</t>
  </si>
  <si>
    <t>BE/promotion-service/src/main/java/com/ecommerce/promotionservice/service/impl/CampaignServiceImpl.java:236 (so với :417-429)</t>
  </si>
  <si>
    <t>IssueVoucherPercentDelegate bắt mọi Exception rồi chỉ set voucherIssued=false: lỗi tạm thời (DB/Feign timeout) không làm job Camunda fail nên không retry, không tạo incident; khách mất voucher vĩnh viễn dù đã có idempotencyKey để retry an toàn. Cùng khuôn ở các delegate Fixed/Freeship/LoyaltyPoint/SendEmail.</t>
  </si>
  <si>
    <t>BE/promotion-service/src/main/java/com/ecommerce/promotionservice/delegate/IssueVoucherPercentDelegate.java:50-53</t>
  </si>
  <si>
    <t>NHÓM: VOUCHER</t>
  </si>
  <si>
    <t>API_PH6_001</t>
  </si>
  <si>
    <t>/api/v1/promotions/vouchers/me</t>
  </si>
  <si>
    <t>Ví voucher của khách</t>
  </si>
  <si>
    <t>HTTP 200; danh sách voucher</t>
  </si>
  <si>
    <t>HTTP 200  (57 ms)
{"code":"SUCCESS","message":"Thành công","data":[{"id":2,"code":"VPC-34492341","voucherType":"PERCENT","status":"UNUSED","discountPercent":10.00,"maxDiscountAmount":50000.00,"discountAmount":null,"min</t>
  </si>
  <si>
    <t>API_PH6_002</t>
  </si>
  <si>
    <t>/api/v1/promotions/vouchers/preview</t>
  </si>
  <si>
    <t>Xem trước voucher không tồn tại</t>
  </si>
  <si>
    <t>{
 "code": "KHONGCO123",
 "orderTotal": 500000,
 "shippingFee": 30000
}</t>
  </si>
  <si>
    <t>HTTP 200; applied=false kèm lý do</t>
  </si>
  <si>
    <t>HTTP 200  (51 ms)
{"code": "SUCCESS", "message": "Thành công", "data.applied": false, "data.finalAmount": null}</t>
  </si>
  <si>
    <t>NHÓM: CHIẾN DỊCH</t>
  </si>
  <si>
    <t>API_PH6_003</t>
  </si>
  <si>
    <t>/api/v1/public/campaigns/active</t>
  </si>
  <si>
    <t>Danh sách chiến dịch đang chạy (công khai)</t>
  </si>
  <si>
    <t>HTTP 200  (19 ms)
{"code": "SUCCESS", "message": "Thành công", "data": "[0 phần tử]"}</t>
  </si>
  <si>
    <t>API_PH6_004</t>
  </si>
  <si>
    <t>/api/v1/admin/campaigns/validate</t>
  </si>
  <si>
    <t>Kiểm tra sơ đồ thiếu trigger bị đánh dấu không hợp lệ</t>
  </si>
  <si>
    <t>{
 "meta": {
  "totalBudget": 1000000
 },
 "nodes": [
  {
   "id": "pts",
   "type": "Action_Loyalty_Point",
   "name": "Điểm",
   "x": 0,
   "y": 0,
   "properties": {
    "pointAmount": 100,
    "calculationMode": "FIXED"
   }
  },
  {
   "id": "end",
   "type": "End_Event",
   "name": "Kết thúc",
   "x": 1,
   "y": 1,
   "properties": {}
  }
 ],
 "edges": [
  {
   "id": "e1",
   "from": "pts",
   "to": "end",
   "isDefault": false,
   "properties": {}
  }
 ]
}</t>
  </si>
  <si>
    <t>code=VALIDATION_FAILED, có danh sách lỗi</t>
  </si>
  <si>
    <t>HTTP 200  (22 ms)
{"code": "VALIDATION_FAILED", "message": "❌ Workflow KHÔNG hợp lệ. Phát hiện 2 lỗi cần sửa trước khi deploy.", "data.valid": false}</t>
  </si>
  <si>
    <t>API_PH6_005</t>
  </si>
  <si>
    <t>Kiểm tra sơ đồ hợp lệ</t>
  </si>
  <si>
    <t>{
 "meta": {
  "totalBudget": 5000000
 },
 "nodes": [
  {
   "id": "start",
   "type": "Trigger_Event_OrderSuccess",
   "name": "Đơn hàng thành công",
   "x": 100,
   "y": 80,
   "properties": {
    "minOrderValue": 100000
   }
  },
  {
   "id": "pts",
   "type": "Action_Loyalty_Point",
   "name": "Tặng điểm thưởng",
   "x": 320,
   "y": 80,
   "properties": {
    "pointAmount": 100,
    "calculationMode": "FIXED"
   }
  },
  {
   "id": "vch",
   "type": "Action_IssueVoucher_Percent",
   "name": "Tặng voucher %",
   "x": 540,
   "y": 80,
   "properties": {
    "discountPercent": 10,
    "maxDiscountAmount": 50000,
    "expireDays": 7
   }
  },
  {
   "id": "end",
   "type": "End_Event",
   "name": "Kết thúc",
   "x": 760,
   "y": 80,
   "properties": {}
  }
 ],
 "edges": [
  {
   "id": "e1",
   "from": "start",
   "to": "pts",
   "isDefault": false,
   "properties": {}
  },
  {
   "id": "e2",
   "from": "pts",
   "to": "vch",
   "isDefault": false,
   "properties": {}
  },
  {
   "id": "e3",
   "from": "vch",
   "to": "end",
   "isDefault": false,
   "properties": {}
  }
 ]
}</t>
  </si>
  <si>
    <t>HTTP 200; data.valid=true</t>
  </si>
  <si>
    <t>HTTP 200  (18 ms)
{"code": "SUCCESS", "message": "Thành công", "data.valid": true}</t>
  </si>
  <si>
    <t>API_PH6_006</t>
  </si>
  <si>
    <t>/api/v1/admin/campaigns</t>
  </si>
  <si>
    <t>Từ chối tạo chiến dịch thiếu tên</t>
  </si>
  <si>
    <t>{"startDate":"2026-01-01T00:00:00","endDate":"2027-12-31T23:59:59","workflowJson":"{\"meta\": {\"totalBudget\": 5000000}, \"nodes\": [{\"id\": \"start\", \"type\": \"Trigger_Event_OrderSuccess\", \"name\": \"\\u0110\\u01a1n h\\u00e0ng th\\u00e0nh c\\u00f4ng\", \"x\": 100, \"y\": 80, \"properties\": {\"minOrderValue\": 100000}}, {\"id\": \"pts\", \"type\": \"Action_Loyalty_Point\", \"name\": \"T\\u1eb7ng \\u0111i\\u1ec3m th\\u01b0\\u1edfng\", \"x\": 320, \"y\": 80, \"properties\": {\"pointAmount\": 100, \"calculationMode\": \"FIXED\"}}, {\"id\": \"vch\", \"type\": \"Action_IssueVoucher_Percent\", \"name\": \"T\\u1eb7ng voucher %\", \"x\": 540, \"y\": 80, \"properties\": {\"discountPercent\": 10, \"maxDiscountAmount\": 50000, \"expireDays\": 7}}, {\"id\": \"end\", \"type\": \"End_Event\", \"name\": \"K\\u1ebft th\\u00fac\", \"x\": 760, \"y\": 80, \"properties\": {}}], \"edges\": [{\"id\": \"e1\", \"from\": \"start\", \"to\": \"pts\", \"isDefault\": false, \"properties\": {}}, {\"id\": \"e2\", \"from\": \"pts\", \"to\": \"vch\", \"isDefault\": false, \"properties\": {}}, {\"id\": \"e3\", \"from\": \"vch\", \"to\": \"end\", \"isDefault\": false, \"properties\": {}}]}","totalBudget":5000000,"active":true}</t>
  </si>
  <si>
    <t>HTTP 400  (34 ms)
{"code": "ERROR", "message": "Tên chiến dịch không được để trống."}</t>
  </si>
  <si>
    <t>API_PH6_007</t>
  </si>
  <si>
    <t>Từ chối ngày kết thúc trước ngày bắt đầu</t>
  </si>
  <si>
    <t>{"name":"QA sai ngày","startDate":"2027-01-01T00:00:00","endDate":"2026-01-01T00:00:00","workflowJson":"{\"meta\": {\"totalBudget\": 5000000}, \"nodes\": [{\"id\": \"start\", \"type\": \"Trigger_Event_OrderSuccess\", \"name\": \"\\u0110\\u01a1n h\\u00e0ng th\\u00e0nh c\\u00f4ng\", \"x\": 100, \"y\": 80, \"properties\": {\"minOrderValue\": 100000}}, {\"id\": \"pts\", \"type\": \"Action_Loyalty_Point\", \"name\": \"T\\u1eb7ng \\u0111i\\u1ec3m th\\u01b0\\u1edfng\", \"x\": 320, \"y\": 80, \"properties\": {\"pointAmount\": 100, \"calculationMode\": \"FIXED\"}}, {\"id\": \"vch\", \"type\": \"Action_IssueVoucher_Percent\", \"name\": \"T\\u1eb7ng voucher %\", \"x\": 540, \"y\": 80, \"properties\": {\"discountPercent\": 10, \"maxDiscountAmount\": 50000, \"expireDays\": 7}}, {\"id\": \"end\", \"type\": \"End_Event\", \"name\": \"K\\u1ebft th\\u00fac\", \"x\": 760, \"y\": 80, \"properties\": {}}], \"edges\": [{\"id\": \"e1\", \"from\": \"start\", \"to\": \"pts\", \"isDefault\": false, \"properties\": {}}, {\"id\": \"e2\", \"from\": \"pts\", \"to\": \"vch\", \"isDefault\": false, \"properties\": {}}, {\"id\": \"e3\", \"from\": \"vch\", \"to\": \"end\", \"isDefault\": false, \"properties\": {}}]}","totalBudget":5000000,"active":true}</t>
  </si>
  <si>
    <t>HTTP 400  (24 ms)
{"code": "ERROR", "message": "Ngày kết thúc phải sau ngày bắt đầu."}</t>
  </si>
  <si>
    <t>API_PH6_008</t>
  </si>
  <si>
    <t>Customer không được tạo chiến dịch</t>
  </si>
  <si>
    <t>{
 "name": "x"
}</t>
  </si>
  <si>
    <t>API_PH6_009</t>
  </si>
  <si>
    <t>Admin tạo &amp; triển khai chiến dịch 'Đơn thành công → +100 điểm + voucher 10%'</t>
  </si>
  <si>
    <t>{"name":"QA API Đơn thành công {{$timestamp}}","startDate":"2026-01-01T00:00:00","endDate":"2027-12-31T23:59:59","workflowJson":"{\"meta\": {\"totalBudget\": 5000000}, \"nodes\": [{\"id\": \"start\", \"type\": \"Trigger_Event_OrderSuccess\", \"name\": \"\\u0110\\u01a1n h\\u00e0ng th\\u00e0nh c\\u00f4ng\", \"x\": 100, \"y\": 80, \"properties\": {\"minOrderValue\": 100000}}, {\"id\": \"pts\", \"type\": \"Action_Loyalty_Point\", \"name\": \"T\\u1eb7ng \\u0111i\\u1ec3m th\\u01b0\\u1edfng\", \"x\": 320, \"y\": 80, \"properties\": {\"pointAmount\": 100, \"calculationMode\": \"FIXED\"}}, {\"id\": \"vch\", \"type\": \"Action_IssueVoucher_Percent\", \"name\": \"T\\u1eb7ng voucher %\", \"x\": 540, \"y\": 80, \"properties\": {\"discountPercent\": 10, \"maxDiscountAmount\": 50000, \"expireDays\": 7}}, {\"id\": \"end\", \"type\": \"End_Event\", \"name\": \"K\\u1ebft th\\u00fac\", \"x\": 760, \"y\": 80, \"properties\": {}}], \"edges\": [{\"id\": \"e1\", \"from\": \"start\", \"to\": \"pts\", \"isDefault\": false, \"properties\": {}}, {\"id\": \"e2\", \"from\": \"pts\", \"to\": \"vch\", \"isDefault\": false, \"properties\": {}}, {\"id\": \"e3\", \"from\": \"vch\", \"to\": \"end\", \"isDefault\": false, \"properties\": {}}]}","totalBudget":5000000,"active":true}</t>
  </si>
  <si>
    <t>HTTP 201; chiến dịch có bpmnProcessDefinitionKey (đã deploy Camunda)</t>
  </si>
  <si>
    <t>HTTP 201  (90 ms)
{"code":"SUCCESS","message":"Thành công","data":{"id":3,"name":"QA API Đơn thành công 1792246497","totalBudget":5000000,"remainingBudget":5000000,"startDate":"2026-01-01T00:00:00","endDate":"2027-12-3</t>
  </si>
  <si>
    <t>API_PH6_010</t>
  </si>
  <si>
    <t>/api/v1/admin/campaigns/{{campId}}</t>
  </si>
  <si>
    <t>Xem chi tiết chiến dịch</t>
  </si>
  <si>
    <t>HTTP 200  (25 ms)
{"code":"SUCCESS","message":"Thành công","data":{"id":3,"name":"QA API Đơn thành công 1792246497","totalBudget":5000000.00,"remainingBudget":5000000.00,"startDate":"2026-01-01T00:00:00","endDate":"202</t>
  </si>
  <si>
    <t>API_PH6_011</t>
  </si>
  <si>
    <t>/api/v1/admin/campaigns/99999999</t>
  </si>
  <si>
    <t>Chiến dịch không tồn tại trả 404</t>
  </si>
  <si>
    <t>HTTP 500  (26 ms)
{"code": "ERROR", "message": "Lỗi hệ thống: Campaign not found with ID: 99999999"}
Không đạt: HTTP status ∈ 404</t>
  </si>
  <si>
    <t>NHÓM: CHẠY CHIẾN DỊCH</t>
  </si>
  <si>
    <t>API_PH6_012</t>
  </si>
  <si>
    <t>/api/v1/users/me/loyalty/points</t>
  </si>
  <si>
    <t>Đơn đủ điều kiện → khách được cộng đúng 100 điểm</t>
  </si>
  <si>
    <t>HTTP 200; điểm = điểm trước + 100</t>
  </si>
  <si>
    <t>HTTP 200  (39 ms)
{"code": "SUCCESS", "message": "Thành công", "data": 300}</t>
  </si>
  <si>
    <t>API_PH6_013</t>
  </si>
  <si>
    <t>Đơn đủ điều kiện → khách nhận voucher 10%</t>
  </si>
  <si>
    <t>HTTP 200; có voucher PERCENT 10% UNUSED của chiến dịch</t>
  </si>
  <si>
    <t>HTTP 200  (55 ms)
{"code":"SUCCESS","message":"Thành công","data":[{"id":3,"code":"VPC-4717398W","voucherType":"PERCENT","status":"UNUSED","discountPercent":10.00,"maxDiscountAmount":50000.00,"discountAmount":null,"min</t>
  </si>
  <si>
    <t>NHÓM: ĐIỂM THƯỞNG</t>
  </si>
  <si>
    <t>API_PH6_014</t>
  </si>
  <si>
    <t>/api/v1/users/me/loyalty/history</t>
  </si>
  <si>
    <t>Lịch sử điểm có giao dịch CAMPAIGN</t>
  </si>
  <si>
    <t>HTTP 200; có giao dịch nguồn CAMPAIGN</t>
  </si>
  <si>
    <t>HTTP 200  (39 ms)
{"code":"SUCCESS","message":"Thành công","data":{"content":[{"id":3,"delta":100,"balanceAfter":300,"calculationMode":"FIXED","sourceType":"CAMPAIGN","description":"Chiến dịch khuyến mãi #3","createdAt</t>
  </si>
  <si>
    <t>API_PH6_015</t>
  </si>
  <si>
    <t>/api/v1/users/me/loyalty/redeem-preview</t>
  </si>
  <si>
    <t>Xem trước quy đổi điểm</t>
  </si>
  <si>
    <t>{
 "orderAmount": 1000000
}</t>
  </si>
  <si>
    <t>HTTP 200; vndPerPoint=1.000</t>
  </si>
  <si>
    <t>HTTP 200  (49 ms)
{"code": "SUCCESS", "message": "Thành công"}</t>
  </si>
  <si>
    <t>API_PH6_016</t>
  </si>
  <si>
    <t>Từ chối giá trị đơn âm khi quy đổi điểm</t>
  </si>
  <si>
    <t>{
 "orderAmount": -1
}</t>
  </si>
  <si>
    <t>HTTP 400  (31 ms)
{"code": "VALIDATION_FAILED", "message": "Dữ liệu gửi lên chưa hợp lệ"}</t>
  </si>
  <si>
    <t>API_PH6_017</t>
  </si>
  <si>
    <t>Áp voucher 10% ở xem trước đơn (trần 50.000đ)</t>
  </si>
  <si>
    <t>{"couponCode": "{{vchCode}}"}</t>
  </si>
  <si>
    <t>HTTP 200; voucherApplied=true; 0 &lt; giảm giá ≤ 50.000</t>
  </si>
  <si>
    <t>HTTP 200  (135 ms)
{"code": "SUCCESS", "message": "Success", "data.voucherApplied": true, "data.shippingFee": 30000, "data.vatAmount": 2984000, "data.finalAmount": 32854000.0}</t>
  </si>
  <si>
    <t>API_PH6_018</t>
  </si>
  <si>
    <t>Dùng 10 điểm ở xem trước đơn giảm 10.000đ</t>
  </si>
  <si>
    <t>{
 "pointsToRedeem": 10
}</t>
  </si>
  <si>
    <t>HTTP 200; pointDiscount=10.000</t>
  </si>
  <si>
    <t>HTTP 200  (53 ms)
{"code": "SUCCESS", "message": "Success", "data.voucherApplied": false, "data.shippingFee": 30000, "data.vatAmount": 2988000, "data.finalAmount": 32898000.0}</t>
  </si>
  <si>
    <t>API_PH6_019</t>
  </si>
  <si>
    <t>Từ chối đặt hàng dùng nhiều điểm hơn số dư</t>
  </si>
  <si>
    <t>{
 "shippingAddress": "12 Trần Duy Hưng, Phường Trung Hòa, Hà Nội",
 "phoneNumber": "0912345678",
 "note": "Đơn kiểm thử API",
 "pointsToRedeem": 99999999
}</t>
  </si>
  <si>
    <t>HTTP 400 'Không thể sử dụng điểm...'</t>
  </si>
  <si>
    <t>HTTP 400  (235 ms)
{"code": "INVALID_STATE", "message": "Không thể sử dụng điểm: [400] during [POST] to [http://user-service/api/internal/users/3/points/redeem] [UserClient#redeemPoints(Long,PointRedeemRequest)]: [{\"code\":\"INVALID_PARAM\",\"message\":\"Chỉ có thể dùng tối đa 300 điểm cho đơn hàng này.\",\"data\":null}]"}</t>
  </si>
  <si>
    <t>NHÓM: THỐNG KÊ</t>
  </si>
  <si>
    <t>API_PH6_020</t>
  </si>
  <si>
    <t>/api/v1/admin/campaigns/{{campId}}/stats</t>
  </si>
  <si>
    <t>Thống kê chiến dịch ghi nhận voucher đã phát</t>
  </si>
  <si>
    <t>HTTP 200; totalIssued ≥ 1</t>
  </si>
  <si>
    <t>HTTP 200  (66 ms)
{"code": "SUCCESS", "message": "Thành công", "data.totalIssued": 1}</t>
  </si>
  <si>
    <t>API_PH6_021</t>
  </si>
  <si>
    <t>/api/v1/admin/campaigns/{{campId}}/vouchers</t>
  </si>
  <si>
    <t>Danh sách voucher của chiến dịch</t>
  </si>
  <si>
    <t>HTTP 200; danh sách voucher đã phát</t>
  </si>
  <si>
    <t>HTTP 200  (41 ms)
{"code": "SUCCESS", "message": "Thành công", "data": "[1 phần tử]"}</t>
  </si>
  <si>
    <t>API_PH6_022</t>
  </si>
  <si>
    <t>/api/v1/admin/campaigns/{{campId}}/toggle-active?active=false</t>
  </si>
  <si>
    <t>Tắt chiến dịch</t>
  </si>
  <si>
    <t>HTTP 200; active=false</t>
  </si>
  <si>
    <t>HTTP 200  (56 ms)
{"code":"SUCCESS","message":"Thành công","data":{"id":3,"name":"QA API Đơn thành công 1792246497","totalBudget":5000000.00,"remainingBudget":4950000.00,"startDate":"2026-01-01T00:00:00","endDate":"202</t>
  </si>
  <si>
    <t>API_PH6_023</t>
  </si>
  <si>
    <t>Staff không được xóa chiến dịch (chỉ ADMIN)</t>
  </si>
  <si>
    <t>HTTP 500  (21 ms)
{"code": "ERROR", "message": "Lỗi hệ thống: Access Denied"}
Không đạt: HTTP status ∈ 403</t>
  </si>
  <si>
    <t>API_PH6_024</t>
  </si>
  <si>
    <t>HTTP 200  (42 ms)
{"code": "SUCCESS", "message": "Thành công"}</t>
  </si>
  <si>
    <t>npx playwright test ui/PH6.spec.ts</t>
  </si>
  <si>
    <t>WorkflowValidatorServiceTest.java</t>
  </si>
  <si>
    <t>assertTrue(r.isValid(), () -&gt; "Lỗi: " + r.getErrors());
assertTrue(r.getErrors().isEmpty());
assertTrue(r.getSummary().contains("hợp lệ"));</t>
  </si>
  <si>
    <t>assertFalse(validator.validate(null).isValid());
assertFalse(validator.validate(new WorkflowGraphDto(null, null, List.of())).isValid());
assertTrue(hasError(validator.validate(noTrigger), null, "trigger"));
assertTrue(hasError(validator.validate(twoTriggers), null, "trigger"));
assertTrue(hasError(r, null, "end_event"));</t>
  </si>
  <si>
    <t>assertTrue(hasError(validator.validate(noDefault), "c1", "isDefault"));
assertTrue(r2.getErrors().stream().anyMatch(e -&gt; "c1".equals(e.getNodeId()) &amp;&amp; "isDefault".equals(e.getField())
assertTrue(hasError(validator.validate(noExpr), "c1", "edge[f2].condition"));
assertTrue(hasError(validator.validate(dup), "c1", "branches"));
assertTrue(hasError(validator.validate(badRank), "c1", "edge[f2].value"));</t>
  </si>
  <si>
    <t>assertTrue(hasError(r, "a1", "discountPercent"));
assertTrue(hasError(r, "a1", "maxDiscountAmount"));
assertTrue(hasError(r, "a1", "expireDays"));
assertTrue(hasError(ri, "a1", cases[i][1]), () -&gt; cases[idx][0] + " phải báo lỗi " + cases[idx][1] + ": " + ri.getErrors());</t>
  </si>
  <si>
    <t>assertTrue(hasError(validator.validate(loop), null, "cycle"));
assertFalse(hasError(validator.validate(waitLoop), null, "cycle"));
assertTrue(hasError(validator.validate(orphan), "a9", "connectivity"));
assertTrue(hasError(validator.validate(noBudget), null, "meta.totalBudget"));
assertTrue(r.getErrors().stream().anyMatch(e -&gt; "meta.totalBudget".equals(e.getField()) &amp;&amp; "invalid_data".equals(e.getErrorType())));</t>
  </si>
  <si>
    <t>BpmnCompilerServiceTest.java</t>
  </si>
  <si>
    <t>assertTrue(process.isExecutable());
assertEquals(name, process.getName());
assertNotNull(model.&lt;StartEvent&gt;getModelElementById("t1"));
assertEquals("f3", gw.getDefault().getId());
assertEquals("${issueVoucherPercentDelegate}", task.getCamundaDelegateExpression());</t>
  </si>
  <si>
    <t>assertEquals("0 0 9 * * ?", t1.getTimeCycle().getTextContent());
assertNull(t1.getTimeDate());
assertEquals("2026-11-11T00:00:00", t2.getTimeDate().getTextContent());
assertNull(t2.getTimeCycle());</t>
  </si>
  <si>
    <t>VoucherRedemptionServiceImplTest.java</t>
  </si>
  <si>
    <t>assertTrue(big.isApplied());
assertEquals(0, new BigDecimal("50000").compareTo(big.getProductDiscountAmount()));
assertEquals(0, BigDecimal.ZERO.compareTo(big.getShippingDiscountAmount()));
assertEquals(0, new BigDecimal("950000").compareTo(big.getFinalAmount()));
assertEquals(0, new BigDecimal("30000").compareTo(small.getDiscountAmount()));</t>
  </si>
  <si>
    <t>assertFalse(below.isApplied());
assertTrue(below.getMessage().contains("chưa đạt giá trị tối thiểu 200000"));
assertTrue(exact.isApplied());
assertEquals(0, new BigDecimal("50000").compareTo(exact.getDiscountAmount()));
assertEquals(0, new BigDecimal("150000").compareTo(exact.getFinalAmount()));</t>
  </si>
  <si>
    <t>assertTrue(capped.isApplied());
assertEquals(0, new BigDecimal("20000").compareTo(capped.getShippingDiscountAmount()));
assertEquals(0, BigDecimal.ZERO.compareTo(capped.getProductDiscountAmount()));
assertEquals(0, new BigDecimal("500000").compareTo(capped.getFinalAmount()));
assertEquals(0, new BigDecimal("15000").compareTo(under.getDiscountAmount()));</t>
  </si>
  <si>
    <t>assertEquals("Mã voucher không được để trống.", service.preview(req("  ", "100000", null)).getMessage());
assertFalse(service.preview(req("A", "0", null)).isApplied());
assertFalse(service.preview(VoucherApplyRequest.builder().code("A").userId("7").build()).isApplied());
assertTrue(service.preview(ghost).getMessage().contains("Không xác định được tài khoản"));
assertEquals("Mã voucher không tồn tại.", service.preview(req("NOPE", "100000", null)).getMessage());</t>
  </si>
  <si>
    <t>assertTrue(res.isApplied());
assertEquals(VoucherStatus.RESERVED, v.getStatus());
assertEquals(555L, v.getUsedOrderId());
verify(voucherMaintenanceService).expireIfNeeded(v);
verify(voucherRepository).save(v);</t>
  </si>
  <si>
    <t>assertEquals("Mã voucher đang được giữ cho một đơn hàng khác.", service.apply(r).getMessage());
assertEquals("Mã voucher đã được sử dụng.", service.apply(r).getMessage());
assertEquals("Mã voucher đã bị hủy.", service.apply(r).getMessage());
assertEquals("Mã voucher đã hết hạn.", service.apply(r).getMessage());
verify(voucherRepository, never()).save(any());</t>
  </si>
  <si>
    <t>assertEquals(VoucherStatus.USED, reserved1.getStatus());
assertNotNull(reserved1.getUsedAt());
assertEquals(VoucherStatus.UNUSED, reserved2.getStatus());
assertNull(reserved2.getUsedOrderId());
assertEquals(VoucherStatus.USED, used.getStatus());</t>
  </si>
  <si>
    <t>assertTrue(service.preview(p).isApplied());
assertTrue(service.preview(c1).isApplied());
assertFalse(rej.isApplied());
assertTrue(rej.getMessage().contains("không thuộc danh mục/sản phẩm"));
assertFalse(none.isApplied());</t>
  </si>
  <si>
    <t>CampaignServiceImplTest.java</t>
  </si>
  <si>
    <t>assertEquals(41L, res.getId());
assertEquals("tri_an_khach_hang_gold_2", res.getBpmnProcessDefinitionKey());
verify(deploymentBuilder).addString(eq("tri_an_khach_hang_gold_2.bpmn"), xml.capture());
assertTrue(xml.getValue().contains("&lt;bpmn:process id=\"tri_an_khach_hang_gold_2\""));
assertNotEquals("&lt;hack/&gt;", res.getBpmnXml());</t>
  </si>
  <si>
    <t>IllegalArgumentException ex = assertThrows(IllegalArgumentException.class, () -&gt; service.createCampaign(d));
assertTrue(ex.getMessage().contains(expected[i]), ex.getMessage());
verify(campaignRepository, never()).save(any());</t>
  </si>
  <si>
    <t>assertEquals(0, new BigDecimal("1500000").compareTo(r1.getTotalBudget()));
assertEquals(0, new BigDecimal("1100000").compareTo(r1.getRemainingBudget()));
assertEquals(0, BigDecimal.ZERO.compareTo(r2.getRemainingBudget()));
assertThrows(IllegalArgumentException.class, () -&gt; service.updateCampaign(5L, CampaignDto.builder().name(" ").build()));
assertThrows(IllegalArgumentException.class, () -&gt; service.updateCampaign(404L, CampaignDto.builder().name("X").build()));</t>
  </si>
  <si>
    <t>assertFalse(service.toggleCampaignActive(6L, false).getActive());
verify(repositoryService).suspendProcessDefinitionByKey("c6", true, null);
assertTrue(service.toggleCampaignActive(6L, true).getActive());
verify(repositoryService).activateProcessDefinitionByKey("c6", true, null);</t>
  </si>
  <si>
    <t>CampaignBudgetServiceImplTest.java</t>
  </si>
  <si>
    <t>assertEquals(0, new BigDecimal("50000").compareTo(c.getRemainingBudget()));
IllegalStateException ex = assertThrows(IllegalStateException.class,
assertTrue(ex.getMessage().contains("Ngân sách chiến dịch không đủ"));
assertEquals(0, new BigDecimal("50000").compareTo(c.getRemainingBudget()));
assertEquals(0, new BigDecimal("100000").compareTo(c.getRemainingBudget()));</t>
  </si>
  <si>
    <t>IssueVoucherPercentDelegateTest.java</t>
  </si>
  <si>
    <t>verify(execution).setVariable("voucherCode", "VPC-123456");
verify(execution).setVariable("percentVoucherId", 88L);
verify(execution).setVariable("voucherExpiresAt", "2026-10-24T00:00");
verify(execution).setVariable("voucherIssued", true);
verify(execution).setVariable("voucherIssued", false);</t>
  </si>
  <si>
    <t>WorkflowValidatorServiceBugCheck.java</t>
  </si>
  <si>
    <t>assertFalse(r.isValid(), "Graph có cạnh f4 trỏ tới node 'e1' không tồn tại nhưng validator báo hợp lệ");</t>
  </si>
  <si>
    <t>CampaignServiceImplBugCheck.java</t>
  </si>
  <si>
    <t>assertThrows(IllegalArgumentException.class, () -&gt; service.updateCampaign(5L, dto));</t>
  </si>
  <si>
    <t>verify(repositoryService).suspendProcessDefinitionByKey("sale_11_11", true, null);</t>
  </si>
  <si>
    <t>IssueVoucherPercentDelegateBugCheck.java</t>
  </si>
  <si>
    <t>assertThrows(Exception.class, () -&gt; delegate.execute(execution));</t>
  </si>
  <si>
    <t>pm.test('HTTP status ∈ ' + __exp.join('/'), () =&gt; pm.expect(__exp).to.include(pm.response.code));
pm.test('applied = false', () =&gt; pm.expect(j.data.applied).to.eql(false));</t>
  </si>
  <si>
    <t>pm.test('HTTP status ∈ ' + __exp.join('/'), () =&gt; pm.expect(__exp).to.include(pm.response.code));
pm.test('VALIDATION_FAILED', () =&gt; pm.expect(j.code).to.eql('VALIDATION_FAILED'));</t>
  </si>
  <si>
    <t>pm.test('HTTP status ∈ ' + __exp.join('/'), () =&gt; pm.expect(__exp).to.include(pm.response.code));
pm.test('valid = true', () =&gt; pm.expect(j.data.valid).to.eql(true));</t>
  </si>
  <si>
    <t>pm.test('HTTP status ∈ ' + __exp.join('/'), () =&gt; pm.expect(__exp).to.include(pm.response.code));
pm.test('Có bpmnProcessDefinitionKey', () =&gt; pm.expect(j.data.bpmnProcessDefinitionKey).to.be.a('string'));</t>
  </si>
  <si>
    <t>pm.test('HTTP status ∈ ' + __exp.join('/'), () =&gt; pm.expect(__exp).to.include(pm.response.code));
pm.test('Điểm tăng 100', () =&gt; pm.expect(j.data - Number(pm.environment.get('ptsBefore'))).to.eql(100));</t>
  </si>
  <si>
    <t>pm.test('HTTP status ∈ ' + __exp.join('/'), () =&gt; pm.expect(__exp).to.include(pm.response.code));
pm.test('Có voucher UNUSED của chiến dịch', () =&gt; pm.expect(v).to.not.be.undefined);</t>
  </si>
  <si>
    <t>pm.test('HTTP status ∈ ' + __exp.join('/'), () =&gt; pm.expect(__exp).to.include(pm.response.code));
pm.test('Có sourceType CAMPAIGN', () =&gt; pm.expect(j.data.content.map(t =&gt; t.sourceType)).to.include('CAMPAIGN'));</t>
  </si>
  <si>
    <t>pm.test('HTTP status ∈ ' + __exp.join('/'), () =&gt; pm.expect(__exp).to.include(pm.response.code));
pm.test('vndPerPoint = 1000', () =&gt; pm.expect(Number(j.data.vndPerPoint)).to.eql(1000));</t>
  </si>
  <si>
    <t>pm.test('HTTP status ∈ ' + __exp.join('/'), () =&gt; pm.expect(__exp).to.include(pm.response.code));
pm.test('voucherApplied, giảm ≤ 50.000', () =&gt; { pm.expect(j.data.voucherApplied).to.eql(true); pm.expect(Number(j.data.productDiscount)).to.be.at.most(50000); pm.expect(Number(j.data.productDiscount)).to.be.above(0); });</t>
  </si>
  <si>
    <t>pm.test('HTTP status ∈ ' + __exp.join('/'), () =&gt; pm.expect(__exp).to.include(pm.response.code));
pm.test('pointDiscount = 10000', () =&gt; pm.expect(Number(j.data.pointDiscount)).to.eql(10000));</t>
  </si>
  <si>
    <t>pm.test('HTTP status ∈ ' + __exp.join('/'), () =&gt; pm.expect(__exp).to.include(pm.response.code));
pm.test('totalIssued ≥ 1', () =&gt; pm.expect(j.data.totalIssued).to.be.at.least(1));</t>
  </si>
  <si>
    <t>pm.test('HTTP status ∈ ' + __exp.join('/'), () =&gt; pm.expect(__exp).to.include(pm.response.code));
pm.test('active = false', () =&gt; pm.expect(j.data.active).to.eql(false));</t>
  </si>
  <si>
    <t>ui/PH6.spec.ts</t>
  </si>
  <si>
    <t>KIỂM THỬ HIỆU NĂNG - PHÂN HỆ KHUYẾN MÃI, CHIẾN DỊCH, VOUCHER &amp; ĐIỂM THƯỞNG</t>
  </si>
  <si>
    <t>http://localhost:8087 (promotion-service), http://localhost:8085 (loyalty)</t>
  </si>
  <si>
    <t>Load Test: GET /api/v1/promotions/vouchers/me, GET /api/v1/public/campaigns/active, GET /api/v1/users/me/loyalty/points</t>
  </si>
  <si>
    <t>POST /api/v1/admin/campaigns</t>
  </si>
  <si>
    <t>Deploy BPMN lên Camunda, tần suất rất thấp.</t>
  </si>
  <si>
    <t>POST /api/v1/promotions/vouchers/preview</t>
  </si>
  <si>
    <t>Phụ thuộc giỏ hàng.</t>
  </si>
  <si>
    <t>GET /api/v1/promotions/vouchers/me (ví voucher)</t>
  </si>
  <si>
    <t>GET /api/v1/public/campaigns/active</t>
  </si>
  <si>
    <t>GET /api/v1/users/me/loyalty/points (điểm thưởng)</t>
  </si>
  <si>
    <t>3 ca giao diện không đạt.</t>
  </si>
  <si>
    <t>24 ca, 2 ca không đạt — chủ yếu sai mã lỗi HTTP / phân quyền / bảo mật (xem sheet API).</t>
  </si>
  <si>
    <t>Line coverage tầng service 75.7%, branch 69.3%. 4 ca BugCheck ghi nhận lỗi.</t>
  </si>
  <si>
    <t>1. API_PH6_011: Chiến dịch không tồn tại trả 404 — mong đợi HTTP 404; thực tế HTTP 500.
2. API_PH6_023: Staff không được xóa chiến dịch (chỉ ADMIN) — mong đợi HTTP 403; thực tế HTTP 500.
3. TC_PH6_WF_06: WorkflowValidatorService chỉ tính bậc/kề trên danh sách nodes, không kiểm tra from/to của cạnh có tồn tại: graph có cạnh trỏ tới node đã xóa vẫn 'hợp lệ', BpmnCompilerService sinh sequenceFlow targetRef tới phần tử không tồn tại và lỗi chỉ lộ ra khi Camunda deploy (500).
4. TC_PH6_CAMP_05: updateCampaign chỉ so sánh ngày khi request gửi CẢ startDate và endDate; gửi riêng endDate sớm hơn startDate hiện có vẫn được lưu -&gt; chiến dịch có khoảng thời gian âm, không bao giờ được kích hoạt.
5. TC_PH6_CAMP_06: updateCampaign(active=false) chỉ đổi cờ trong DB, không suspend process definition như toggleCampaignActive; chiến dịch Trigger_Timer_Schedule (timeCycle) vẫn tiếp tục chạy và phát voucher/điểm.
6. TC_PH6_DELEGATE_02: IssueVoucherPercentDelegate bắt mọi Exception rồi chỉ set voucherIssued=false: lỗi tạm thời (DB/Feign timeout) không làm job Camunda fail nên không retry, không tạo incident; khách mất voucher vĩnh viễn dù đã có idempotencyKey để retry an toàn. Cùng khuôn ở các delegate Fixed/Freeship/LoyaltyPoint/SendEmail.
7. UI_PH6_FR01_012: Nhân viên (STAFF) xóa chiến dịch — Chiến dịch không bị xóa (đúng), nhưng API trả HTTP 500 và toast "Lỗi: Lỗi hệ thống: Access Denied" thay vì 403/thông báo không có quyền: promotion-service bắt AccessDeniedException trong handler Exception chung (F2). Giao diện vẫn hiển thị nút Xóa cho STAFF. Bằng chứng: DELETE bởi staff -&gt; HTTP 500; toast: "Lỗi: Lỗi hệ thống: Access Denied"; chiến dịch còn tồn tại: true; dialog: Xóa vĩnh viễn chiến dịch "UI PH6 Don thanh cong cong diem"?
8. UI_PH6_FR03_006: Đặt hàng dùng đồng thời voucher và điểm thưởng — Điểm (325→275), voucher (USED), mã giảm giá và dòng "Giảm bằng điểm" đều đúng; nhưng checkout hiển thị Tổng thanh toán 32.804.000đ trong khi đơn được tạo với finalAmount 32.799.000đ (trang chi tiết đơn cũng hiện 32.799.000đ). Checkout tính VAT 10% trên số tiền trước khi trừ điểm (29.840.000đ → 2.984.000đ), order-service tính VAT sau khi trừ điểm (29.790.000đ → 2.979.000đ). Đơn test đã được hủy. Bằng chứng: Đơn #1331: status CONFIRMED, couponCode=VPC-34492341, discount=100000, pointsRedeemed=50, final=32799000; tổng hiển thị checkout 32804000; điểm 325→275; voucher VPC-34492341 → USED | Tổng ở trang chi tiết đơn: 32799000; finalAmount server: 32799000; tổng hiển thị lúc checkout: 32804000
9. UI_PH6_FR03_009: Quy tắc tích điểm hiển thị khớp cơ chế thực tế — Trang ghi "1 điểm = 1.000đ khi thanh toán. Tích 10.000đ chi tiêu = 1 điểm." nhưng đơn #1329 (32.909.000đ, CONFIRMED) không phát sinh giao dịch điểm nào. Theo thiết kế, điểm chỉ được cộng qua chiến dịch (HUONG_DAN mục 8 và 13), nên quy tắc trên giao diện gây hiểu nhầm cho khách. Bằng chứng: Giao diện ghi: "1 điểm = 1.000đ khi thanh toán. Tích 10.000đ chi tiêu = 1 điểm.". Đơn #1329 (CONFIRMED, 32909000đ, không có chiến dịch hoạt động) → giao dịch điểm liên quan: 0</t>
  </si>
  <si>
    <t>Ưu điểm:
- Validator đồ thị chặt chẽ (kết nối, chu trình, đúng 1 nhánh default, tham số theo loại node); server luôn tự compile BPMN từ workflowJson và bỏ qua bpmnXml của client.
- Chống trùng nhiều lớp: idempotencyKey unique khi phát voucher, bảng ExecutedAction cho email/điểm, Redis lock theo businessKey, khóa bi quan ngân sách, phát voucher REQUIRES_NEW.
- Voucher cá nhân có vòng đời rõ (UNUSED→RESERVED→USED/UNUSED, EXPIRED qua scheduler có khóa phân tán), ràng buộc category/product khi redeem; user-service adjustPoints khóa hàng user.
- Comment giải thích lý do sửa lỗi rất cụ thể, giúp người đọc hiểu quyết định thiết kế.</t>
  </si>
  <si>
    <t>Hạn chế:
- CamundaDatabaseConfig dùng System.out/err và printStackTrace thay logger (CamundaDatabaseConfig.java:43, 60-68); tập Trigger/Condition type khai báo lặp ở BpmnCompilerService.java:41-56, WorkflowValidatorService.java:20-50, WorkflowTriggerResolver.java:25; GlobalExceptionHandler trả nguyên e.getMessage() cho client (GlobalExceptionHandler.java:25).
- Không file nào có header, thông tin bản quyền hay @author (grep 'copyright|@author' trên BE/promotion-service/src không có kết quả).
- Cột tiền BigDecimal không khai báo precision/scale (Campaign.java:27-31, IssuedVoucher.java:46-59) trong khi 07_PROMOTION_SERVICE.md ghi DECIMAL(19,2); sinh mã voucher dùng số ma thuật (VoucherIssuanceServiceImpl.java:183-184).
- Validator, Compiler, IdempotencyGuard có Javadoc lớp, nhưng các interface service (CampaignService.java, VoucherRedemptionService.java...) và public method của CampaignServiceImpl không có Javadoc.
- Javadoc CampaignController.java:33-38 vẫn nói API nhận 'pre-compiled bpmnXml directly', trái với CampaignServiceImpl.java:96-108 đã bỏ qua bpmnXml do client gửi.
- Kafka consumer ack cả khi xử lý lỗi (PromotionKafkaConsumer.java:45-48, 79-82, 110-113...) nên sự kiện mất im lặng; IllegalStateException hết ngân sách rơi vào handler chung trả 500 kèm 'Lỗi hệ thống: ' + message nội bộ (GlobalExceptionHandler.java:21-26).</t>
  </si>
  <si>
    <t>Phân hệ Khuyến mãi, chiến dịch, voucher &amp; điểm thưởng đáp ứng các luồng nghiệp vụ chính khi kiểm thử trên môi trường local; các lỗi phát hiện tập trung ở xử lý ngoại lệ (mã lỗi HTTP), phân quyền chi tiết và một số điểm bảo mật/độ bền đã liệt kê ở mục 2. Cần sửa các lỗi mức Cao trước khi triển khai.</t>
  </si>
  <si>
    <t>0 Use Case riêng (thông báo là bước con của 2 UC Online Order và Cancel Order); 06_NOTIFICATION_SERVICE.md 571 dòng: 6 sự kiện → email, 3 API, 3 collection</t>
  </si>
  <si>
    <t>docs/services/06_NOTIFICATION_SERVICE.md; CHUONG_I_DAC_TA.md mục 1 (TT 28 Thông báo), mục 2 Bước 3 (Chức năng 4, 5), Bước 4 (đối tượng Thông báo), mục 3.1; CHUONG_II_PHA_PHAN_TICH.md mục 1.4 bước 21, mục 1.5 bước 18, mục 2 Bước 3 nhóm f (Notification, NotificationTemplate, FCMToken); đối chiếu RA_SOAT_BAO_CAO_VS_CODE.md (A14, B27, C6, D10, F)</t>
  </si>
  <si>
    <t>06_NOTIFICATION_SERVICE.md là file markdown trong repo, không có mã hiệu tài liệu, người lập hay người duyệt; chỉ có dòng "Version: 1.0.0" (dòng 12) và banner rà soát 2026-10-11.</t>
  </si>
  <si>
    <t>Không dùng mẫu SRS chuẩn (IEEE 830 hoặc mẫu của môn học); đây là tài liệu thiết kế kỹ thuật viết tự do.</t>
  </si>
  <si>
    <t>Chỉ có tiêu đề H1 "TÀI LIỆU THIẾT KẾ: NOTIFICATION SERVICE" và dòng Port/DB/Version; không có tên công ty, logo, mã dự án, mã hiệu hay ngày ban hành.</t>
  </si>
  <si>
    <t>Markdown không có đầu/cuối trang; chỉ có dòng cuối "Tài liệu thuộc nhóm 2 — Kiến trúc &amp; Kỹ thuật chuyên sâu".</t>
  </si>
  <si>
    <t>Markdown không phân trang nên không có số trang dạng x/y.</t>
  </si>
  <si>
    <t>Không có bảng lịch sử thay đổi; lịch sử chỉ có trong git log (vd commit 14239ac) và banner "rà soát 2026-10-11".</t>
  </si>
  <si>
    <t>Tài liệu ghi Version 1.0.0, không thuộc trường hợp &gt; v1.0.</t>
  </si>
  <si>
    <t>Mục I (1.1, 1.2) nêu nhiệm vụ và nguyên tắc FULLY ASYNCHRONOUS. Tuy nhiên câu "không bao giờ bị gọi đồng bộ" (1.2) mâu thuẫn với endpoint nội bộ POST /api/internal/notifications/send (banner dòng 7).</t>
  </si>
  <si>
    <t>Banner đầu tài liệu và bảng 1.1 nêu rõ phần có/không có trong code (SMS gạch bỏ, không có WebSocket). Thân tài liệu vẫn mô tả Twilio, WebSocket, Admin API nên phạm vi dễ hiểu nhầm.</t>
  </si>
  <si>
    <t>06_NOTIFICATION_SERVICE.md không có bảng thuật ngữ (FCM, idempotency, template code, outbox); chỉ CHUONG_I mục 1 có định nghĩa chung "Thông báo" (TT 28).</t>
  </si>
  <si>
    <t>Không có mục tài liệu tham khảo.</t>
  </si>
  <si>
    <t>Không có tài liệu tham khảo.</t>
  </si>
  <si>
    <t>Banner dòng 3-9 liệt kê các phần không khớp code (topic, kênh, template, API, retry); các mục 3.2, 4.1, 6.2, VII, VIII có cảnh báo ⚠️ "chưa hiện thực".</t>
  </si>
  <si>
    <t>Không có mục lục hay phần mô tả cấu trúc tài liệu; chỉ có các tiêu đề I–XI.</t>
  </si>
  <si>
    <t>Mục 1.2 minh họa luồng đặt hàng bất đồng bộ, mục II vẽ kiến trúc event-driven, mục III có sequence gửi email/push. Sequence 3.1 vẫn dùng OrderCreatedEvent và Thymeleaf (đã lỗi thời).</t>
  </si>
  <si>
    <t>Bảng 1.1 (Email, Push, SMS, In-App, Template) và bảng 2.2 (sự kiện → thông báo).</t>
  </si>
  <si>
    <t>Phân nhóm hợp lý nhưng mô tả chưa chính xác (xem 2 câu con bên dưới).</t>
  </si>
  <si>
    <t>Nhóm theo kênh (bảng 1.1) và theo topic/sự kiện Kafka (bảng 2.2), hợp lý.</t>
  </si>
  <si>
    <t>Bảng 1.1 ghi template "đa ngôn ngữ" và gửi OTP (không có luồng nào gọi sms_otp_template); bảng 4.2 dùng tên order-confirmation... thay vì order_confirmed_template... và còn refund/welcome/otp; mục 5.2 mô tả recipient/content là object, code là String (Notification.java:31-35); CHUONG_II mục 1.5 bước 18 "email biên lai hoàn tiền" không tồn tại (RA_SOAT C6, A14).</t>
  </si>
  <si>
    <t>Chỉ nói chung "Khách hàng/User"; không nêu admin (cấu hình chiến dịch email qua promotion-service) hay service nội bộ là bên kích hoạt; CHUONG_I mục 3 không có UC nào về thông báo.</t>
  </si>
  <si>
    <t>Không ghi vai trò của từng nhóm (khách nhận email, admin tạo chiến dịch, service gọi API nội bộ).</t>
  </si>
  <si>
    <t>Có sơ đồ mermaid tổng thể (mục 2.1) và ERD (mục IX), nhưng 2.1 vẽ cả SES/Twilio/WebSocket không tồn tại và ERD vẽ quan hệ NOTIFICATIONS–FCM_TOKENS không có trong code.</t>
  </si>
  <si>
    <t>Không mô tả đặc điểm người sử dụng.</t>
  </si>
  <si>
    <t>Có ràng buộc kỹ thuật: port 8086, MongoDB notif_db, Kafka, SMTP Gmail port 587 (mục X), nguyên tắc chỉ xử lý bất đồng bộ (1.2).</t>
  </si>
  <si>
    <t>Không nêu giả thiết/phụ thuộc, vd payload order-events/payment-events phải có email (code fallback userId@ecommerce.com), cần MAIL_USERNAME/MAIL_PASSWORD, payload Debezium bị mã hóa JSON hai lần.</t>
  </si>
  <si>
    <t>Không có mã yêu cầu; nhiều mục mô tả thiết kế chưa cài (VII, VIII, 6.2) lẫn với yêu cầu thật.</t>
  </si>
  <si>
    <t>Mâu thuẫn nội bộ: 1.2 "không bao giờ gọi đồng bộ" vs 6.1 có API nội bộ; 3.1 OrderCreatedEvent vs 2.2 OrderConfirmedEvent; CHUONG_I Bước 4 mô tả Thông báo có "trạng thái đã đọc, đường dẫn liên kết, loại thông báo" trong khi 06_NOTIFICATION_SERVICE.md mục 6.1 ghi không có API read và entity không có các trường này.</t>
  </si>
  <si>
    <t>Chỉ bảng XI (cải tiến tương lai) có cột Ưu tiên; các yêu cầu hiện tại không có độ ưu tiên.</t>
  </si>
  <si>
    <t>Không có mã hiệu (FR-xx/NFR-xx) cho yêu cầu.</t>
  </si>
  <si>
    <t>Sequence 3.1 dẫn findByOrderIdAndType(orderId, ORDER_CREATED) khác code existsByOrderIdAndEventType; CHUONG_II mục 1.5 bước 18 dẫn tới chức năng email hoàn tiền không tồn tại.</t>
  </si>
  <si>
    <t>Không có tiêu chí nghiệm thu cho chức năng thông báo.</t>
  </si>
  <si>
    <t>Thiếu nội dung và biến bắt buộc của từng template, quy tắc khi thiếu email người nhận, quy tắc chuyển trạng thái SENT/FAILED.</t>
  </si>
  <si>
    <t>Phần không có trong code được đánh dấu bằng banner, cảnh báo ⚠️ và gạch ngang (bảng 1.1, 2.2, 6.1).</t>
  </si>
  <si>
    <t>Không có chỉ tiêu chất lượng đo được cho notification-service (thời gian gửi, tỉ lệ lỗi); số 800-2000ms ở 1.2 chỉ là ví dụ, retry 3 lần (VII) chưa cài.</t>
  </si>
  <si>
    <t>Có yêu cầu ngoài phạm vi đã làm: SMS Twilio/ESMS, WebSocket in-app, Admin broadcast/stats, Zalo OA (mục 2.1, VIII, 6.2, XI); đã được đánh dấu nhưng vẫn nằm trong thân tài liệu.</t>
  </si>
  <si>
    <t>Phần lớn là giải pháp thiết kế: code Java NotificationRetryScheduler (7.1), WebSocketConfig (8.2), HTML Thymeleaf (4.1), docker-compose (X), không phải phát biểu yêu cầu.</t>
  </si>
  <si>
    <t>Mục 3.1 có nhánh SMTP lỗi → FAILED + retry và mục VII có retry/circuit breaker; nhưng code thực tế ack và không retry (NotificationKafkaConsumer.java:90-94).</t>
  </si>
  <si>
    <t>Phần mô tả đúng với code chỉ nằm trong banner 7 dòng; thân tài liệu mô tả kiến trúc không được cài, người thiết kế phải đọc code mới biết schema/luồng thật.</t>
  </si>
  <si>
    <t>Các yêu cầu cốt lõi (email cho 6 sự kiện, lưu MongoDB, chống gửi trùng) đã hiện thực (NotificationKafkaConsumer.java); SMS/WebSocket khả thi nhưng chưa làm.</t>
  </si>
  <si>
    <t>Có luồng xử lý: sequence 3.1 (idempotency → render → gửi → lưu), 3.2 (FCM), thuật toán retry 7.1.</t>
  </si>
  <si>
    <t>Ánh xạ sự kiện → email (bảng 2.2) kiểm thử được, nhưng các yêu cầu như template "đẹp, đa ngôn ngữ" (1.1) không kiểm được và thiếu tiêu chí đạt/không đạt.</t>
  </si>
  <si>
    <t>Không đặc tả mã/thông báo lỗi; ApiResponse chỉ có code SUCCESS/ERROR.</t>
  </si>
  <si>
    <t>Không có UC thông báo trong 23 UC tổng quan (CHUONG_I mục 3.1); thông báo chỉ là bước con trong Online Order (CHUONG_II 1.4 bước 21) và Cancel Order (1.5 bước 18).</t>
  </si>
  <si>
    <t>Chỉ ghi "Cần JWT" cho mục 6.1; không có yêu cầu bảo vệ endpoint nội bộ, bảo vệ PII (email trong log) hay quản lý credential SMTP.</t>
  </si>
  <si>
    <t>Chỉ có xác thực JWT qua gateway (header X-User-Id) cho /api/v1/notifications; không có yêu cầu phân quyền admin, mã hóa hay xác thực service-to-service.</t>
  </si>
  <si>
    <t>Không có yêu cầu sao lưu notif_db.</t>
  </si>
  <si>
    <t>Không có yêu cầu usability; chỉ có mẫu HTML email (4.1) mang tính thiết kế.</t>
  </si>
  <si>
    <t>Mục VII đặt retry tối đa 3 lần và circuit breaker cho email provider; banner dòng 9 thừa nhận chưa hiện thực.</t>
  </si>
  <si>
    <t>Không có chỉ tiêu hiệu năng cho notification-service; số liệu ở 1.2 chỉ minh họa lợi ích async cho order-service.</t>
  </si>
  <si>
    <t>Không nêu số thông báo/ngày, kích thước dữ liệu hay thời gian lưu; mục 5.1 chỉ ghi chung chung "write-heavy".</t>
  </si>
  <si>
    <t>Không có yêu cầu logging/monitoring; chỉ có dòng "alert admin qua Slack/PagerDuty" trong code mẫu 7.1.</t>
  </si>
  <si>
    <t>Nêu MongoDB kèm lý do chọn (5.1), Kafka, SMTP/Gmail, FCM, cấu hình Docker (X); banner cập nhật việc không dùng Thymeleaf.</t>
  </si>
  <si>
    <t>Mục II (topic Kafka) và mục VI (API).</t>
  </si>
  <si>
    <t>Không mô tả màn hình xem thông báo; FE cũng không gọi GET /api/v1/notifications (không tìm thấy trong FE/src).</t>
  </si>
  <si>
    <t>Có, xem 3 mục con bên dưới.</t>
  </si>
  <si>
    <t>Nêu SMTP (Gmail, port 587), FCM, Twilio (mục 2.1, X) nhưng chưa đặc tả giao thức, xử lý lỗi với từng nhà cung cấp.</t>
  </si>
  <si>
    <t>Bảng 2.2 (topic/sự kiện) và 6.1 (API nội bộ cho promotion-service); chưa đặc tả schema payload sự kiện (vd trường email có bắt buộc không).</t>
  </si>
  <si>
    <t>Kafka, HTTP REST, SMTP; WebSocket STOMP (mục VIII) là thiết kế chưa cài.</t>
  </si>
  <si>
    <t>Không có yêu cầu tài liệu người dùng/hỗ trợ trực tuyến.</t>
  </si>
  <si>
    <t>Gmail SMTP, Firebase Cloud Messaging, Twilio/ESMS, Amazon SES (mục 2.1, X).</t>
  </si>
  <si>
    <t>Chỉ liệt kê tên và biến môi trường (mục X); không mô tả hạn mức gửi của Gmail, chi phí hay SLA.</t>
  </si>
  <si>
    <t>Mục XI có dòng Unsubscribe "bắt buộc theo GDPR/luật VN".</t>
  </si>
  <si>
    <t>Chỉ một dòng trong bảng cải tiến tương lai; không có yêu cầu đồng ý nhận email marketing, trong khi email chiến dịch (promotion_voucher_template, vip_membership_promo_template) không có link hủy đăng ký (NotificationTemplateSeeder.java, footer emailShell).</t>
  </si>
  <si>
    <t>Không áp dụng tiêu chuẩn nào ngoài phạm vi dự án.</t>
  </si>
  <si>
    <t>Không áp dụng.</t>
  </si>
  <si>
    <t>Điểm mạnh: banner đầu 06_NOTIFICATION_SERVICE.md nêu chính xác khác biệt so với code (topic, kênh, template, API, retry), phần chưa cài được đánh dấu ⚠️/gạch ngang; có sơ đồ luồng, schema MongoDB và index đề xuất.
Điểm yếu: thân tài liệu vẫn mô tả thiết kế cũ (Thymeleaf, OrderCreatedEvent, Twilio, WebSocket, Admin API, retry scheduler) và mâu thuẫn nội bộ; không có kiểm soát tài liệu, mã yêu cầu, độ ưu tiên, tiêu chí nghiệm thu; báo cáo không có UC thông báo, CHUONG_I Bước 4 mô tả trường "đã đọc/đường dẫn/loại" không tồn tại, CHUONG_II 1.5 bước 18 mô tả email hoàn tiền không có trong code; thiếu yêu cầu phi chức năng về bảo mật endpoint nội bộ, PII trong log, hủy đăng ký email marketing.</t>
  </si>
  <si>
    <t>1. Viết lại 06_NOTIFICATION_SERVICE.md theo code: 6 sự kiện → 6 template, schema Notification thật (recipient/content là String, status PENDING/SENT/FAILED), API nội bộ cho promotion-service; chuyển SMS, WebSocket, Admin API, retry scheduler sang mục "Hướng phát triển".
2. Thêm yêu cầu có mã (vd FR-NOTI-01..06), độ ưu tiên và tiêu chí nghiệm thu đo được (vd email gửi trong 1 phút sau OrderConfirmedEvent, không gửi trùng khi Kafka redeliver).
3. Sửa báo cáo: CHUONG_I Bước 4 (bỏ trạng thái đã đọc/đường dẫn/loại), CHUONG_II 1.5 bước 18 (bỏ email biên lai hoàn tiền) theo RA_SOAT C6, A14, D10; cân nhắc thêm UC "Nhận thông báo".
4. Bổ sung yêu cầu phi chức năng: xác thực service-to-service cho API nội bộ, không ghi PII vào log, timeout/retry SMTP, link hủy đăng ký cho email marketing (Nghị định 91/2020/NĐ-CP về chống thư rác, Nghị định 13/2023/NĐ-CP về dữ liệu cá nhân).
5. Thêm phần kiểm soát tài liệu: phiên bản, ngày, người lập/duyệt, bảng lịch sử thay đổi, mục lục và thuật ngữ.</t>
  </si>
  <si>
    <t>notification-service (BE/notification-service/src/main/java/com/ecommerce/notificationservice/)</t>
  </si>
  <si>
    <t>24 file (21 file Java ~1.150 dòng: controller, service, consumer Kafka, entity, repository, DTO, seeder, util + application.yml, pom.xml, Dockerfile); đối chiếu thêm api-gateway SecurityConfig/application.yml, promotion-service NotificationClient, BE/docker-compose.yml</t>
  </si>
  <si>
    <t>Phân tầng controller/service/repository/entity rõ, dùng Lombok nên ngắn gọn, dễ theo dõi. Điểm trừ: BE/notification-service/src/main/java/com/ecommerce/notificationservice/event/consumer/NotificationKafkaConsumer.java:52-88 và 115-133 lặp 6 khối SendNotificationRequest.builder() chỉ khác templateId, nên thay bằng Map eventType→template.</t>
  </si>
  <si>
    <t>Cơ bản theo quy ước Java/Spring (camelCase, constructor injection qua @RequiredArgsConstructor). Lệch chuẩn: trạng thái "PENDING/SENT/FAILED" là chuỗi magic (BE/notification-service/src/main/java/com/ecommerce/notificationservice/service/impl/NotificationServiceImpl.java:118,158) thay vì enum; overload sendNotification(6 tham số) (BE/notification-service/src/main/java/com/ecommerce/notificationservice/service/impl/NotificationServiceImpl.java:54-57) không nơi nào gọi (code chết).</t>
  </si>
  <si>
    <t>Tên biến có nghĩa (emailRecipient, mailSuccess, fcmTokens). Riêng BE/notification-service/src/main/java/com/ecommerce/notificationservice/service/impl/NotificationServiceImpl.java:127-129 sao chép content/subject/emailRecipient sang bodyText/subText/toAddress không cần thiết (các biến đã effectively final).</t>
  </si>
  <si>
    <t>Không đồng nhất: BE/notification-service/src/main/java/com/ecommerce/notificationservice/config/NotificationTemplateSeeder.java thụt lề 2 dấu cách, mọi file khác trong module thụt 4 dấu cách.</t>
  </si>
  <si>
    <t>Dùng nhất quán kiểu K&amp;R (mở ngoặc cuối dòng) ở toàn bộ 21 file Java.</t>
  </si>
  <si>
    <t>Không file nào có header mô tả/tác giả/bản quyền; file bắt đầu thẳng bằng package.</t>
  </si>
  <si>
    <t>Chỉ một số field có ghi chú: SendNotificationRequest.java:20-25 (Javadoc), Notification.java:29-37 (giá trị hợp lệ của channels/status); phần lớn field của DTO/entity và các field @Value trong BE/notification-service/src/main/java/com/ecommerce/notificationservice/config/NotificationTemplateSeeder.java:20-42 không có.</t>
  </si>
  <si>
    <t>Kiểu số khai báo rõ: orderId Long, retryCount Integer với @Builder.Default = 0 (Notification.java:41-42). Tuy vậy retryCount không bao giờ được tăng ở đâu.</t>
  </si>
  <si>
    <t>Không có Javadoc cho interface NotificationService, NotificationServiceImpl, TemplateRenderer hay các controller; chỉ alreadyProcessed có ghi chú (BE/notification-service/src/main/java/com/ecommerce/notificationservice/event/consumer/NotificationKafkaConsumer.java:23-25).</t>
  </si>
  <si>
    <t>Logic quyết định trạng thái (BE/notification-service/src/main/java/com/ecommerce/notificationservice/service/impl/NotificationServiceImpl.java:158: SENT khi không có mailSender) và việc giải mã JSON hai lần khi payload là chuỗi (BE/notification-service/src/main/java/com/ecommerce/notificationservice/event/consumer/NotificationKafkaConsumer.java:39-41, do Debezium double-encode) không có giải thích.</t>
  </si>
  <si>
    <t>Không có đoạn code bị comment-out/đánh dấu hủy bỏ trong module.</t>
  </si>
  <si>
    <t>Ghi chú lỗi thời: NotificationTemplate.java:19 ví dụ code "ORDER_CREATED, PAYMENT_SUCCESS" trong khi code thật là order_confirmed_template...; Notification.java:31 ghi recipient có thể là FCM token nhưng luôn là email; BE/notification-service/src/main/resources/application.yml:15 group-id notification-service-group nhưng listener dùng notification-group (BE/notification-service/src/main/java/com/ecommerce/notificationservice/event/consumer/NotificationKafkaConsumer.java:34,97).</t>
  </si>
  <si>
    <t>Các ghi chú hiện có ngắn, rõ (trộn tiếng Việt và tiếng Anh); các chỗ sai lệch đã nêu ở câu trên.</t>
  </si>
  <si>
    <t>Ghi chú tập trung vào lý do: BE/notification-service/src/main/java/com/ecommerce/notificationservice/event/consumer/NotificationKafkaConsumer.java:23-25 giải thích vì sao cần idempotent (Kafka redeliver), dòng 92 giải thích vì sao vẫn ack khi lỗi (tránh poison message lặp vô hạn).</t>
  </si>
  <si>
    <t>Tên hàm nói đúng việc (sendNotification, registerFcmToken, resolveMessage, buildVariables, alreadyProcessed). Ngoại lệ: shopeeButton/shopeeOrderInfo/shopeeNextSteps trong BE/notification-service/src/main/java/com/ecommerce/notificationservice/config/NotificationTemplateSeeder.java:400,361,383 gắn tên thương hiệu bên ngoài, không mô tả chức năng.</t>
  </si>
  <si>
    <t>Không kiểm null khi đọc payload: payload.get("eventType").asText() (BE/notification-service/src/main/java/com/ecommerce/notificationservice/event/consumer/NotificationKafkaConsumer.java:42,105) ném NPE nếu thiếu field; registerFcmToken không kiểm token null trước findByToken (BE/notification-service/src/main/java/com/ecommerce/notificationservice/service/impl/NotificationServiceImpl.java:191).</t>
  </si>
  <si>
    <t>Consumer bắt Exception rồi ack ("BE/notification-service/src/main/java/com/ecommerce/notificationservice/event/consumer/NotificationKafkaConsumer.java:90-94") nên message lỗi bị bỏ vĩnh viễn, không retry/DLT; IllegalArgumentException khi không thấy template (BE/notification-service/src/main/java/com/ecommerce/notificationservice/service/impl/NotificationServiceImpl.java:62-64) ở API nội bộ không có @RestControllerAdvice nên trả 500 mặc định của Spring.</t>
  </si>
  <si>
    <t>dispatch() nuốt lỗi gửi mail (BE/notification-service/src/main/java/com/ecommerce/notificationservice/service/impl/NotificationServiceImpl.java:141-143) và sendNotification trả void, nên InternalNotificationController luôn trả SUCCESS (InternalNotificationController.java:25-26); promotion-service không biết email gửi thất bại.</t>
  </si>
  <si>
    <t>Java GC quản lý, không có cấp phát thủ công. Lưu ý getNotificationsByUser tải toàn bộ lịch sử không phân trang (BE/notification-service/src/main/java/com/ecommerce/notificationservice/service/impl/NotificationServiceImpl.java:171-186), mỗi bản ghi chứa nguyên HTML email.</t>
  </si>
  <si>
    <t>Kết nối MongoDB/SMTP do Spring quản lý nên được trả về kể cả khi lỗi. Rủi ro: BE/notification-service/src/main/resources/application.yml:23-33 không đặt mail.smtp.connectiontimeout/timeout/writetimeout (mặc định JavaMail là vô hạn), socket SMTP treo sẽ giữ luồng consumer Kafka.</t>
  </si>
  <si>
    <t>Không có đối tượng nào được đóng/giải phóng thủ công, nên không có trường hợp giải phóng hai lần.</t>
  </si>
  <si>
    <t>Các bean stateless (chỉ có field final và @Value); field brandLogoUrl trong BE/notification-service/src/main/java/com/ecommerce/notificationservice/config/NotificationTemplateSeeder.java:44-55 chỉ được ghi một lần trong @PostConstruct.</t>
  </si>
  <si>
    <t>Idempotency là check-then-act không nguyên tử: existsByOrderIdAndEventType (BE/notification-service/src/main/java/com/ecommerce/notificationservice/event/consumer/NotificationKafkaConsumer.java:26-31) rồi mới save (BE/notification-service/src/main/java/com/ecommerce/notificationservice/service/impl/NotificationServiceImpl.java:122), không có unique index (orderId, eventType) nên 2 instance hoặc redeliver đồng thời có thể gửi email trùng; registerFcmToken findByToken→save (BE/notification-service/src/main/java/com/ecommerce/notificationservice/service/impl/NotificationServiceImpl.java:191-209) cũng có thể tạo token trùng vì FCMToken.token không unique.</t>
  </si>
  <si>
    <t>Module không dùng lock tường minh.</t>
  </si>
  <si>
    <t>Không dùng lock nên không có deadlock. Tuy nhiên gửi SMTP đồng bộ không timeout trong luồng @KafkaListener có thể chặn consumer quá max.poll.interval.ms, gây rebalance và redeliver.</t>
  </si>
  <si>
    <t>Chỉ có vòng for-each hữu hạn (BE/notification-service/src/main/java/com/ecommerce/notificationservice/service/impl/NotificationServiceImpl.java:150, TemplateRenderer.java:18).</t>
  </si>
  <si>
    <t>Không có vòng lặp vô hạn; consumer ack cả khi lỗi (BE/notification-service/src/main/java/com/ecommerce/notificationservice/event/consumer/NotificationKafkaConsumer.java:93) để tránh lặp lại poison message.</t>
  </si>
  <si>
    <t>Không có vòng lặp lồng; chuỗi if-else 4 nhánh (BE/notification-service/src/main/java/com/ecommerce/notificationservice/event/consumer/NotificationKafkaConsumer.java:52-88) nên thay bằng tra Map để gọn hơn.</t>
  </si>
  <si>
    <t>6 khối builder gần như giống hệt ở BE/notification-service/src/main/java/com/ecommerce/notificationservice/event/consumer/NotificationKafkaConsumer.java:53-131 và các biến sao chép ở BE/notification-service/src/main/java/com/ecommerce/notificationservice/service/impl/NotificationServiceImpl.java:127-129; ngoài ra mỗi lần khởi động seeder ghi đè lại toàn bộ 10 template (BE/notification-service/src/main/java/com/ecommerce/notificationservice/config/NotificationTemplateSeeder.java:57-260).</t>
  </si>
  <si>
    <t>Notification.java không khai báo @Indexed/@CompoundIndex, nên existsByOrderIdAndEventType (mỗi event) và findByUserIdOrderByCreatedAtDesc quét toàn collection; dữ liệu tăng thì chậm dần. Mỗi bản ghi lưu nguyên HTML email (vài KB).</t>
  </si>
  <si>
    <t>Mỗi thông báo save 2 lần (BE/notification-service/src/main/java/com/ecommerce/notificationservice/service/impl/NotificationServiceImpl.java:122,160), gửi email đồng bộ trong luồng consumer, không có index và không phân trang.</t>
  </si>
  <si>
    <t>Controller không dùng @Valid/Bean Validation (InternalNotificationController.java:22, NotificationController.java:27); thiếu email thì fallback userId + "@ecommerce.com" (BE/notification-service/src/main/java/com/ecommerce/notificationservice/service/impl/NotificationServiceImpl.java:108), một domain có thật của bên thứ ba; biến template chèn vào HTML không escape (TemplateRenderer.java:18-21 + setText(..., true) ở BE/notification-service/src/main/java/com/ecommerce/notificationservice/service/impl/NotificationServiceImpl.java:136) nên có thể chèn HTML qua customerName.</t>
  </si>
  <si>
    <t>Không truy cập mảng/list theo chỉ số; chỉ duyệt for-each.</t>
  </si>
  <si>
    <t>Mọi biến được khai báo trước khi dùng (Java bắt buộc khi biên dịch).</t>
  </si>
  <si>
    <t>BE/notification-service/src/main/java/com/ecommerce/notificationservice/config/NotificationTemplateSeeder.java dài 446 dòng, run() khoảng 200 dòng HTML nhúng trong Java, nên tách template ra file resource. dispatch() (BE/notification-service/src/main/java/com/ecommerce/notificationservice/service/impl/NotificationServiceImpl.java:105-161) gộp lưu DB, gửi mail, push và cập nhật trạng thái, nên tách EmailSender/PushSender.</t>
  </si>
  <si>
    <t>Endpoint nội bộ /api/internal/notifications/send có được xác thực ở tầng service không?</t>
  </si>
  <si>
    <t>Gateway chặn /api/internal/** (api-gateway SecurityConfig.java:47) nhưng notification-service không kiểm header X-Internal-Api-Key mà promotion-service gửi (FeignInternalApiConfig), trong khi cổng 8086 được publish ra host (BE/docker-compose.yml:470): ai vào được host là gửi được email tùy ý.</t>
  </si>
  <si>
    <t>Trạng thái gửi (status/deliveryResults) có phản ánh đúng kết quả thực tế không?</t>
  </si>
  <si>
    <t>deliveryResults luôn ghi "PUSH:SENT" dù FCM chỉ ghi log và có thể không có token (BE/notification-service/src/main/java/com/ecommerce/notificationservice/service/impl/NotificationServiceImpl.java:148-159); bản ghi FAILED không bao giờ được gửi lại vì retryCount không dùng và kiểm tra idempotency chặn cả lần redeliver. Nhánh giả lập khi không có mailSender gần như không chạy, vì spring.mail.host có giá trị mặc định (BE/notification-service/src/main/resources/application.yml:24) nên Spring luôn tạo JavaMailSender.</t>
  </si>
  <si>
    <t>Module có unit/integration test không?</t>
  </si>
  <si>
    <t>BE/notification-service chỉ có src/main, không có thư mục src/test.</t>
  </si>
  <si>
    <t>Dữ liệu nhạy cảm có bị ghi vào log không?</t>
  </si>
  <si>
    <t>Log nguyên message Kafka gồm email khách (BE/notification-service/src/main/java/com/ecommerce/notificationservice/event/consumer/NotificationKafkaConsumer.java:36,99), log FCM token kèm toàn bộ nội dung thông báo (BE/notification-service/src/main/java/com/ecommerce/notificationservice/service/impl/NotificationServiceImpl.java:151-152) và token khi đăng ký (BE/notification-service/src/main/java/com/ecommerce/notificationservice/service/impl/NotificationServiceImpl.java:190).</t>
  </si>
  <si>
    <t>Template email có hiển thị đúng không?</t>
  </si>
  <si>
    <t>welcome_template chứa "100%%" và "35%%" (BE/notification-service/src/main/java/com/ecommerce/notificationservice/config/NotificationTemplateSeeder.java:80,82): phần thân được truyền làm tham số của formatted() nên %% không được đổi thành %. Logo trỏ tới frontendUrl + "/src/assets/images/logo.png" (BE/notification-service/src/main/java/com/ecommerce/notificationservice/config/NotificationTemplateSeeder.java:53), đường dẫn chỉ có trên Vite dev server, bản build sẽ 404.</t>
  </si>
  <si>
    <t>* Điểm mạnh:
- Phân tầng rõ (consumer Kafka → service → MongoDB), ack thủ công (application.yml:13,19) và có kiểm tra chống gửi trùng theo (orderId, eventType).
- Template lưu trong MongoDB, seeder upsert theo code; render placeholder {{key}} đơn giản, dễ thêm template cho chiến dịch.
- Ghi chú ở các điểm quan trọng giải thích "tại sao" (idempotent consumer, ack poison message).</t>
  </si>
  <si>
    <t>1. Tạo unique compound index (orderId, eventType) và @Indexed userId; thay check-then-act bằng insert-if-absent để chống gửi trùng thật sự.
2. Đặt timeout SMTP (mail.smtp.connectiontimeout/timeout/writetimeout), tách gửi mail khỏi luồng @KafkaListener, thêm retry có giới hạn + DLT thay vì ack nuốt lỗi, dùng retryCount và sửa deliveryResults cho đúng.
3. Kiểm X-Internal-Api-Key ở InternalNotificationController, thêm @Valid + @RestControllerAdvice; bỏ fallback userId@ecommerce.com (bỏ qua email khi thiếu địa chỉ).
4. HTML-escape biến template (HtmlUtils.htmlEscape) trước khi chèn; sửa "%%" trong welcome_template và URL logo; thêm link hủy đăng ký cho email marketing.
5. Bỏ PII khỏi log, phân trang GET /api/v1/notifications, dùng enum cho status, gộp 6 nhánh if thành Map, xóa overload không dùng và viết unit test cho consumer/service.</t>
  </si>
  <si>
    <t>Phân hệ: PH7 – Thông báo</t>
  </si>
  <si>
    <t>Email thông báo theo vòng đời đơn hàng</t>
  </si>
  <si>
    <t>Đặt hàng, giao hàng, đã giao, hủy đơn, thanh toán VNPAY → email qua SMTP giả (scratchpad/qa/mails/*.eml)</t>
  </si>
  <si>
    <t>Lịch sử thông báo (API /notifications)</t>
  </si>
  <si>
    <t>Bản ghi thông báo của khách, cách ly giữa các tài khoản, yêu cầu đăng nhập</t>
  </si>
  <si>
    <t>Hiển thị thông báo trên giao diện</t>
  </si>
  <si>
    <t>Chuông thông báo admin, trung tâm thông báo của khách, trạng thái đơn cập nhật trên giao diện</t>
  </si>
  <si>
    <t>1. TỔNG QUAN KẾT QUẢ
- Tổng cộng 15 test case được thực hiện, trong đó 10 Pass (66,7%) và 5 Fail (33,3%), không có Pending.
- Phân loại theo nhóm: UI/UX 3, Function 8, Negative 4.
FE không có giao diện thông báo, nên thông báo được kiểm chứng bán tự động: thao tác đặt/giao/hủy/thanh toán trên giao diện, rồi đọc email trong SMTP giả (scratchpad/qa/mails/*.eml) và GET /api/v1/notifications. Email xác nhận, đã giao, hủy đơn và thanh toán VNPay đều đến trong vài giây, mỗi sự kiện một email, đúng người nhận. Lỗi nằm ở email "đang giao", nội dung email và việc thiếu giao diện thông báo.</t>
  </si>
  <si>
    <t>2. PHÂN TÍCH KẾT QUẢ
Nhóm UI/UX (3 test case): 1 Pass, 2 Fail. Chuông ở header admin bấm không có tác dụng (UI_PH7_FR03_001); khách không có nơi xem thông báo (UI_PH7_FR03_002).
Nhóm Function (8 test case): 5 Pass, 3 Fail.
- Email "Đơn hàng #1332 đang được giao tới bạn" gửi tới eeb77c2d-…@ecommerce.com thay vì customer@gmail.com (UI_PH7_FR01_003); bản ghi thông báo tương ứng cũng lưu người nhận này (UI_PH7_FR02_001).
- Email xác nhận không có sản phẩm và tổng tiền, trạng thái ghi "Chờ thanh toán / Vận chuyển" (UI_PH7_FR01_002).
Nhóm Negative (4 test case): 100% Pass. Không trùng email, email của qa_cust2 chỉ tới qa_cust2@techstore.test, khách khác không thấy thông báo của customer, chưa đăng nhập bị 401.</t>
  </si>
  <si>
    <t>3. PHÂN TÍCH NGUYÊN NHÂN GỐC
- order-service: payload OrderShippedEvent không có trường email (các sự kiện xác nhận/hủy/đã giao đã được sửa để dùng order.getEmail()). NotificationServiceImpl.dispatch khi đó dùng địa chỉ dự phòng userId + "@ecommerce.com".
- Mẫu email xác nhận chỉ nhận mã đơn, không có biến cho sản phẩm/tổng tiền; trạng thái là chữ cố định.
- FE chưa có tính năng thông báo: nút chuông trong AdminHeader không có onClick, storefront không gọi GET /notifications. Kênh PUSH được ghi SENT dù FCM chỉ lưu token.</t>
  </si>
  <si>
    <t>4. MỨC ĐỘ NGHIÊM TRỌNG
- Trung bình (Medium): khách không bao giờ nhận email "đang giao" (gửi tới địa chỉ không tồn tại, thực tế sẽ bị trả về); khách và admin không có giao diện xem thông báo.
- Thấp (Low): email xác nhận thiếu thông tin đơn và sai trạng thái; bản ghi PUSH "SENT" không phản ánh thực tế.</t>
  </si>
  <si>
    <t>FR_01 – Email thông báo theo vòng đời đơn hàng</t>
  </si>
  <si>
    <t>UI_PH7_FR01_001</t>
  </si>
  <si>
    <t>Đặt hàng COD nhận email xác nhận</t>
  </si>
  <si>
    <t>customer (customer@gmail.com); SP #1; COD</t>
  </si>
  <si>
    <t>1. Khách đặt đơn COD qua /checkout.
2. Chờ đơn CONFIRMED.
3. Kiểm tra thư mục mails/*.eml.</t>
  </si>
  <si>
    <t>Trong ≤ 90 giây có email tiêu đề "Đặt hàng thành công — Đơn #id" gửi tới customer@gmail.com.</t>
  </si>
  <si>
    <t>Bằng chứng: Đơn N1 #1332 (CONFIRMED); email: 20261017-231137-537.eml → customer@gmail.com | "Đặt hàng thành công — Đơn #1332"</t>
  </si>
  <si>
    <t>UI_PH7_FR01_002</t>
  </si>
  <si>
    <t>Nội dung email xác nhận đơn hàng</t>
  </si>
  <si>
    <t>Email của đơn N1 (#1332)</t>
  </si>
  <si>
    <t>1. Mở file .eml của đơn N1, giải mã quoted-printable.
2. Đối chiếu nội dung với đơn.</t>
  </si>
  <si>
    <t>Email có mã đơn, tên sản phẩm và tổng tiền thanh toán của đơn.</t>
  </si>
  <si>
    <t>Email chỉ có "Mã đơn hàng: #1332", "Người bán: AuraTech" và "Trạng thái đơn: Chờ thanh toán / Vận chuyển" (dù đơn đã CONFIRMED). Không có danh sách sản phẩm, số lượng, tổng tiền hay địa chỉ giao hàng; lời chào "Xin chào bạn" không có tên khách. Bằng chứng: 20261017-231137-537.eml: trích nội dung: " Đặt hàng thành công! Công nghệ chính hãng · Giao nhanh toàn quốc ✅ Đặt hàng thành công! Xin chào bạn, Cảm ơn bạn đã mua sắm tại AuraTech. Đơn hàng của bạn đã được tiếp nhận và đang chờ xử lý thanh toán / vận chuyển. Xem chi tiết đơn hàng THÔNG TIN ĐƠN HÀNG Mã đơn hàng: #1332 Người bán: AuraTech Trạng thái đơn: Chờ thanh toán / Vận chuyển Bạn cần hỗ trợ? Liên hệ hotline 0389.468.847 hoặc gửi mail về hotro@auratechvn.online © 2026 AuraTech · localhost:5173 Email này được hệ thống gửi tự động, vui lòng không trả lời trực tiếp thư này. "</t>
  </si>
  <si>
    <t>UI_PH7_FR01_003</t>
  </si>
  <si>
    <t>Admin xác nhận giao hàng, khách nhận email "đang giao"</t>
  </si>
  <si>
    <t>admin; đơn N1 (CONFIRMED)</t>
  </si>
  <si>
    <t>1. Admin mở Order Management, mở đơn N1, bấm "Xác Nhận Giao Hàng".
2. Kiểm tra mails/*.eml.</t>
  </si>
  <si>
    <t>Đơn SHIPPED có mã vận đơn; email "Đơn hàng #id đang được giao tới bạn" gửi tới customer@gmail.com.</t>
  </si>
  <si>
    <t>Đơn chuyển SHIPPED (MOCK-GHTK-B5E41EA2) và có email, nhưng người nhận là "eeb77c2d-9938-474c-aa6a-438308be1a87@ecommerce.com" thay vì customer@gmail.com. Payload OrderShippedEvent của order-service không có trường email (các sự kiện xác nhận/hủy/đã giao đã được sửa để dùng order.getEmail()), nên notification-service rơi vào nhánh dự phòng userId + "@ecommerce.com". Ảnh minh họa dựng từ file .eml. Bằng chứng: Đơn #1332 → SHIPPED, mã vận đơn MOCK-GHTK-B5E41EA2; email: 20261017-231149-047.eml → eeb77c2d-9938-474c-aa6a-438308be1a87@ecommerce.com | "Đơn hàng #1332 đang được giao tới bạn"</t>
  </si>
  <si>
    <t>UI_PH7_FR01_004</t>
  </si>
  <si>
    <t>Admin cập nhật đã giao, khách nhận email giao thành công</t>
  </si>
  <si>
    <t>admin; đơn N1 (SHIPPED)</t>
  </si>
  <si>
    <t>1. Admin mở đơn N1, bấm "Đã Giao Thành Công".
2. Kiểm tra mails/*.eml.</t>
  </si>
  <si>
    <t>Đơn DELIVERED; email "Giao hàng thành công — Đơn #id" gửi tới customer@gmail.com.</t>
  </si>
  <si>
    <t>Bằng chứng: Đơn #1332 → DELIVERED; email: 20261017-231158-596.eml → customer@gmail.com | "Giao hàng thành công — Đơn #1332"</t>
  </si>
  <si>
    <t>UI_PH7_FR01_005</t>
  </si>
  <si>
    <t>Khách hủy đơn nhận email hủy</t>
  </si>
  <si>
    <t>customer; đơn N2 (COD)</t>
  </si>
  <si>
    <t>1. Đặt đơn N2.
2. Mở chi tiết đơn, bấm "Hủy đơn", đồng ý.
3. Kiểm tra mails/*.eml.</t>
  </si>
  <si>
    <t>Alert "Hủy đơn hàng thành công!"; email "Đơn hàng #id đã bị hủy" gửi tới customer@gmail.com.</t>
  </si>
  <si>
    <t>Bằng chứng: Đơn N2 #1333; email: 20261017-231214-871.eml → customer@gmail.com | "Đơn hàng #1333 đã bị hủy"</t>
  </si>
  <si>
    <t>UI_PH7_FR01_006</t>
  </si>
  <si>
    <t>Thanh toán VNPAY thành công nhận email thanh toán</t>
  </si>
  <si>
    <t>customer; đơn N3 VNPAY; callback VNPay mã 00 có chữ ký HMAC hợp lệ (sandbox chưa duyệt merchant, xem PH5)</t>
  </si>
  <si>
    <t>1. Đặt đơn chọn VNPAY, được chuyển sang sandbox.
2. Trình duyệt mở URL callback mã 00 có chữ ký hợp lệ.
3. Kiểm tra mails/*.eml.</t>
  </si>
  <si>
    <t>Đơn CONFIRMED; email "Thanh toán thành công — Đơn #id" gửi tới customer@gmail.com.</t>
  </si>
  <si>
    <t>Bằng chứng: Đơn N3 #1334 (VNPAY, txnRef 4b528900-5539-4998-8503-d8ba18b2f8c0); trạng thái CONFIRMED; email: 20261017-231224-140.eml → customer@gmail.com | "Thanh toán thành công — Đơn #1334"</t>
  </si>
  <si>
    <t>UI_PH7_FR01_007</t>
  </si>
  <si>
    <t>Mỗi sự kiện chỉ gửi một email</t>
  </si>
  <si>
    <t>Đơn N1 sau 3 sự kiện xác nhận → đang giao → đã giao</t>
  </si>
  <si>
    <t>1. Đếm các file .eml có tiêu đề chứa "#N1" theo từng loại.</t>
  </si>
  <si>
    <t>Đúng 1 email xác nhận, 1 email đang giao, 1 email đã giao (không trùng lặp).</t>
  </si>
  <si>
    <t>Bằng chứng: Email cho đơn #1332: {"confirmed":1,"shipped":1,"delivered":1}; 20261017-231137-537.eml → customer@gmail.com | "Đặt hàng thành công — Đơn #1332" ; 20261017-231149-047.eml → eeb77c2d-9938-474c-aa6a-438308be1a87@ecommerce.com | "Đơn hàng #1332 đang được giao tới bạn" ; 20261017-231158-596.eml → customer@gmail.com | "Giao hàng thành công — Đơn #1332"</t>
  </si>
  <si>
    <t>UI_PH7_FR01_008</t>
  </si>
  <si>
    <t>Email gửi đúng địa chỉ của từng khách hàng</t>
  </si>
  <si>
    <t>qa_cust2 (qa_cust2@techstore.test); 1 đơn COD (tạo qua API)</t>
  </si>
  <si>
    <t>1. Tạo đơn COD cho qa_cust2, chờ CONFIRMED.
2. Kiểm tra người nhận của email liên quan.</t>
  </si>
  <si>
    <t>Email của đơn qa_cust2 chỉ gửi tới qa_cust2@techstore.test, không gửi tới customer@gmail.com.</t>
  </si>
  <si>
    <t>Bằng chứng: qa_cust2 email hồ sơ: qa_cust2@techstore.test; đơn #1335; email: 20261017-231237-145.eml → qa_cust2@techstore.test | "Đặt hàng thành công — Đơn #1335"</t>
  </si>
  <si>
    <t>FR_02 – Lịch sử thông báo (API /notifications)</t>
  </si>
  <si>
    <t>UI_PH7_FR02_001</t>
  </si>
  <si>
    <t>Lịch sử thông báo của khách ghi nhận đủ sự kiện</t>
  </si>
  <si>
    <t>GET /api/v1/notifications (token customer); đơn N1</t>
  </si>
  <si>
    <t>1. Gọi GET /api/v1/notifications bằng token customer.
2. Lọc theo đơn N1.</t>
  </si>
  <si>
    <t>Có 3 bản ghi OrderConfirmed/OrderShipped/OrderDelivered, trạng thái SENT, tiêu đề chứa mã đơn, recipient là customer@gmail.com.</t>
  </si>
  <si>
    <t>Đủ 3 bản ghi, trạng thái SENT, đúng tiêu đề; nhưng bản ghi OrderShippedEvent có recipient "eeb77c2d-…@ecommerce.com" (cùng nguyên nhân với UI_PH7_FR01_003). Mọi bản ghi đều ghi kênh EMAIL,PUSH dù hệ thống chưa gửi push. Bằng chứng: GET /notifications -&gt; 200, tổng 53; đơn #1332: OrderDeliveredEvent/SENT/customer@gmail.com, OrderShippedEvent/SENT/eeb77c2d-9938-474c-aa6a-438308be1a87@ecommerce.com, OrderConfirmedEvent/SENT/customer@gmail.com</t>
  </si>
  <si>
    <t>UI_PH7_FR02_002</t>
  </si>
  <si>
    <t>Khách khác không xem được thông báo của customer</t>
  </si>
  <si>
    <t>Token qa_cust2</t>
  </si>
  <si>
    <t>1. Gọi GET /api/v1/notifications bằng token qa_cust2.
2. Tìm bản ghi của các đơn N1–N3 hoặc recipient customer@gmail.com.</t>
  </si>
  <si>
    <t>HTTP 200 nhưng không có bản ghi nào của customer.</t>
  </si>
  <si>
    <t>Bằng chứng: qa_cust2 GET /notifications -&gt; 200, 5 bản ghi; bản ghi của customer lọt sang: 0</t>
  </si>
  <si>
    <t>UI_PH7_FR02_003</t>
  </si>
  <si>
    <t>Xem thông báo khi chưa đăng nhập</t>
  </si>
  <si>
    <t>Không gửi token</t>
  </si>
  <si>
    <t>1. Gọi GET /api/v1/notifications không có Authorization.</t>
  </si>
  <si>
    <t>Gateway trả 401.</t>
  </si>
  <si>
    <t>Bằng chứng: GET /notifications không token -&gt; 401</t>
  </si>
  <si>
    <t>FR_03 – Hiển thị thông báo trên giao diện</t>
  </si>
  <si>
    <t>UI_PH7_FR03_001</t>
  </si>
  <si>
    <t>Chuông thông báo trên header quản trị</t>
  </si>
  <si>
    <t>admin; nút chuông có chấm đỏ ở header</t>
  </si>
  <si>
    <t>1. Đăng nhập admin, đợi Dashboard tải xong.
2. Bấm nút chuông.</t>
  </si>
  <si>
    <t>Mở danh sách thông báo (đơn mới, thanh toán…), có gọi API thông báo.</t>
  </si>
  <si>
    <t>Bấm chuông không có phản hồi: nội dung trang không đổi (2137/2137 ký tự), không có request nào tới API thông báo. Nút không có onClick, không có aria-label/title, chấm đỏ luôn hiện. FE chưa có giao diện thông báo (đã ghi ở HUONG_DAN mục 13). Bằng chứng: Độ dài nội dung trước/sau khi bấm chuông: 2137/2137; request liên quan notification: 0; aria-label/title của nút: "null"/"null"</t>
  </si>
  <si>
    <t>UI_PH7_FR03_002</t>
  </si>
  <si>
    <t>Trung tâm thông báo của khách hàng</t>
  </si>
  <si>
    <t>customer; header storefront và menu /profile</t>
  </si>
  <si>
    <t>1. Đăng nhập customer, mở /profile.
2. Tìm nút chuông ở header hoặc mục "Thông báo" trong menu hồ sơ.</t>
  </si>
  <si>
    <t>Khách xem được danh sách thông báo về đơn hàng của mình (dữ liệu có sẵn ở GET /notifications).</t>
  </si>
  <si>
    <t>Header không có nút chuông, menu hồ sơ không có mục "Thông báo"; FE không gọi GET /api/v1/notifications ở trang nào. Thông báo chỉ đến qua email. Bằng chứng: Header storefront có nút chuông: 0; menu hồ sơ có mục "Thông báo": 0</t>
  </si>
  <si>
    <t>UI_PH7_FR03_003</t>
  </si>
  <si>
    <t>Trang chi tiết đơn cập nhật trạng thái sau khi giao</t>
  </si>
  <si>
    <t>customer; đơn N1 (DELIVERED)</t>
  </si>
  <si>
    <t>1. Mở /order/{N1}.</t>
  </si>
  <si>
    <t>Hiện "Đã giao hàng", stepper đến "Đã nhận", không còn nút "Hủy đơn".</t>
  </si>
  <si>
    <t>Bằng chứng: Đơn #1332: arrow_back Quay lại hồ sơ tài khoản receipt_long CHI TIẾT ĐƠN HÀNG #1332 Đặt lúc: 23:11:30 17/10/2026 TRẠNG THÁI: Đã giao hàng shopping_bag Đặt đơn verified Xác nhận local_shipping Đang giao check_circle Đã nhận receipt</t>
  </si>
  <si>
    <t>UI_PH7_FR03_004</t>
  </si>
  <si>
    <t>Lịch sử đơn hiển thị trạng thái đã hủy</t>
  </si>
  <si>
    <t>customer; đơn N2 (CANCELLED)</t>
  </si>
  <si>
    <t>1. Mở /profile?tab=orders.
2. Tìm thẻ "Đơn hàng #N2".</t>
  </si>
  <si>
    <t>Thẻ hiện "Đã hủy", không còn nút "Hủy đơn hàng".</t>
  </si>
  <si>
    <t>Project: TECHSTORE_2026 | Phân hệ: PH7 – Thông báo | Framework: JUnit 5 + Mockito (Spring Boot 3.2.5, Java 17)</t>
  </si>
  <si>
    <t>MongoDB (mock repository) + SMTP (JavaMailSender mock)</t>
  </si>
  <si>
    <t>BE/notification-service/src/test/java/com/ecommerce/notificationservice/</t>
  </si>
  <si>
    <t>mvn -q -pl notification-service -am org.jacoco:jacoco-maven-plugin:0.8.11:prepare-agent test org.jacoco:jacoco-maven-plugin:0.8.11:report -DfailIfNoTests=false -Dsurefire.failIfNoSpecifiedTests=false  (BugCheck: mvn -q -pl notification-service -am test -Dtest=*BugCheck ...)</t>
  </si>
  <si>
    <t>TemplateRenderer.java</t>
  </si>
  <si>
    <t>render()</t>
  </si>
  <si>
    <t>Thay {{key}}, biến null, placeholder thiếu, ký tự đặc biệt; escape HTML (BugCheck).</t>
  </si>
  <si>
    <t>NotificationServiceImpl.java</t>
  </si>
  <si>
    <t>sendNotification() (2 overload), resolveMessage(), buildVariables(), dispatch(), registerFcmToken(), getNotificationsByUser()</t>
  </si>
  <si>
    <t>Chọn template theo code, ưu tiên biến truyền vào, tiêu đề/nội dung mặc định, dựng MimeMessage (from/to/subject/HTML), trạng thái SENT/FAILED, token FCM.</t>
  </si>
  <si>
    <t>NotificationKafkaConsumer.java</t>
  </si>
  <si>
    <t>consumeOrderEvent(), consumePaymentEvent()</t>
  </si>
  <si>
    <t>Ánh xạ 6 loại sự kiện -&gt; template, payload JSON lồng, chống gửi trùng theo (orderId, eventType), ack khi lỗi.</t>
  </si>
  <si>
    <t>Logic thông báo nằm ở service + consumer</t>
  </si>
  <si>
    <t>Hai controller chỉ chuyển tiếp; việc chọn template, thay biến, quyết định trạng thái và chống gửi trùng nằm ở NotificationServiceImpl / NotificationKafkaConsumer.</t>
  </si>
  <si>
    <t>Không gửi email thật</t>
  </si>
  <si>
    <t>JavaMailSender được mock; MimeMessagePreparator được chạy trên MimeMessage cục bộ để kiểm nội dung thư mà không cần SMTP.</t>
  </si>
  <si>
    <t>Không chạm topic thật</t>
  </si>
  <si>
    <t>Consumer được gọi trực tiếp với chuỗi JSON, không publish lên order-events/payment-events.</t>
  </si>
  <si>
    <t>NotificationController / InternalNotificationController</t>
  </si>
  <si>
    <t>Tầng web; phủ bằng kiểm thử API PH7 (ghi nhận: endpoint nội bộ không kiểm X-Internal-Api-Key).</t>
  </si>
  <si>
    <t>NotificationTemplateSeeder.java</t>
  </si>
  <si>
    <t>Seed dữ liệu template khi khởi động (MongoDB); kiểm nội dung template ở mức thủ công/API. Ghi nhận review: '%%' trong welcome_template.</t>
  </si>
  <si>
    <t>Idempotency nguyên tử (unique index orderId+eventType)</t>
  </si>
  <si>
    <t>Check-then-act cần MongoDB thật để kiểm race; unit test chỉ kiểm nhánh đã tồn tại -&gt; bỏ qua.</t>
  </si>
  <si>
    <t>Mã hóa tiêu đề email</t>
  </si>
  <si>
    <t>Quan sát khi test: MimeMessageHelper tạo không chỉ định encoding nên tiêu đề tiếng Việt phụ thuộc charset mặc định của JVM (Windows JDK 17 = Cp1252 làm hỏng dấu). Image eclipse-temurin đặt UTF-8 nên production không lỗi; test dùng tiêu đề ASCII để tất định.</t>
  </si>
  <si>
    <t>NotificationServiceImpl</t>
  </si>
  <si>
    <t>com.ecommerce.notificationservice.service.impl</t>
  </si>
  <si>
    <t>115/116</t>
  </si>
  <si>
    <t>TemplateRenderer</t>
  </si>
  <si>
    <t>com.ecommerce.notificationservice.util</t>
  </si>
  <si>
    <t>11/11</t>
  </si>
  <si>
    <t>NotificationKafkaConsumer</t>
  </si>
  <si>
    <t>com.ecommerce.notificationservice.event.consumer</t>
  </si>
  <si>
    <t>93/94</t>
  </si>
  <si>
    <t>TC_PH7_TPL_01</t>
  </si>
  <si>
    <t>BE/notification-service/src/test/java/com/ecommerce/notificationservice/util/TemplateRendererTest.java</t>
  </si>
  <si>
    <t>Thay biến trong template</t>
  </si>
  <si>
    <t>template 'Đơn #{{orderId}} của {{customerName}} | mã: [{{voucherCode}}] | lại #{{orderId}} | {{unknown}}'
orderId=1024, customerName='Nguyễn Văn A', voucherCode=null</t>
  </si>
  <si>
    <t>'Đơn #1024 của Nguyễn Văn A | mã: [] | lại #1024 | {{unknown}}'</t>
  </si>
  <si>
    <t>TC_PH7_TPL_02</t>
  </si>
  <si>
    <t>Giá trị biên của template/biến</t>
  </si>
  <si>
    <t>template null, '   '; biến null, rỗng; giá trị '$50 \ 100%'</t>
  </si>
  <si>
    <t>''; ''; giữ nguyên template; giữ nguyên; 'Giảm $50 \ 100%' (không bị hiểu là regex)</t>
  </si>
  <si>
    <t>TC_PH7_NOTI_01</t>
  </si>
  <si>
    <t>BE/notification-service/src/test/java/com/ecommerce/notificationservice/service/NotificationServiceImplTest.java</t>
  </si>
  <si>
    <t>sendNotification(SendNotificationRequest)</t>
  </si>
  <si>
    <t>Gửi thông báo theo template có biến</t>
  </si>
  <si>
    <t>Template order_confirmed_template trong DB (mock); không cấu hình SMTP</t>
  </si>
  <si>
    <t>userId=u1, email=a@mail.com, orderId=1024, templateId=' order_confirmed_template '
templateVariables {customerName: 'Nguyễn Văn A', userId: 'Khách VIP'}</t>
  </si>
  <si>
    <t>Tiêu đề 'Đơn hàng #1024 đã được xác nhận'; nội dung '&lt;p&gt;Chào Nguyễn Văn A (Khách VIP), đơn 1024 đã xác nhận.&lt;/p&gt;'; recipient a@mail.com; channels EMAIL, PUSH</t>
  </si>
  <si>
    <t>TC_PH7_NOTI_02</t>
  </si>
  <si>
    <t>sendNotification() / resolveMessage()</t>
  </si>
  <si>
    <t>Template không tồn tại; subject ghi đè tiêu đề template</t>
  </si>
  <si>
    <t>Không có ghost_template; payment_success_template có body rỗng</t>
  </si>
  <si>
    <t>templateId=ghost_template
templateId=payment_success_template, subject='Đã nhận tiền đơn #{{orderId}}', orderId=7</t>
  </si>
  <si>
    <t>IllegalArgumentException, không lưu, không gửi; tiêu đề 'Đã nhận tiền đơn #7', nội dung mặc định</t>
  </si>
  <si>
    <t>TC_PH7_NOTI_03</t>
  </si>
  <si>
    <t>Gửi nội dung thô và giá trị mặc định</t>
  </si>
  <si>
    <t>Không cấu hình SMTP</t>
  </si>
  <si>
    <t>content '&lt;b&gt;Mã của bạn: {{voucherCode}}&lt;/b&gt;', voucherCode=VPC-123456, không subject
subject 'Tiêu đề riêng', không content</t>
  </si>
  <si>
    <t>Tiêu đề 'Thông báo từ E-Commerce', nội dung '&lt;b&gt;Mã của bạn: VPC-123456&lt;/b&gt;'; tiêu đề riêng + nội dung mặc định '&lt;p&gt;Chào bạn!...'</t>
  </si>
  <si>
    <t>TC_PH7_NOTI_04</t>
  </si>
  <si>
    <t>sendNotification(...) / dispatch()</t>
  </si>
  <si>
    <t>Gửi email thành công và trạng thái</t>
  </si>
  <si>
    <t>JavaMailSender (mock) gửi OK; user u3 có 1 token FCM</t>
  </si>
  <si>
    <t>u3, c@mail.com, đơn 55, OrderShippedEvent, tiêu đề 'Don #55 dang giao', nội dung '&lt;p&gt;Đơn đang giao&lt;/p&gt;'</t>
  </si>
  <si>
    <t>MimeMessage: from no-reply@shop.test, to c@mail.com, đúng tiêu đề, text/html đúng nội dung; lưu 2 lần, trạng thái SENT, deliveryResults 'EMAIL:SENT; PUSH:SENT'</t>
  </si>
  <si>
    <t>TC_PH7_NOTI_05</t>
  </si>
  <si>
    <t>dispatch()</t>
  </si>
  <si>
    <t>SMTP lỗi và chế độ giả lập</t>
  </si>
  <si>
    <t>SMTP ném MailSendException; lần 2 không có JavaMailSender</t>
  </si>
  <si>
    <t>2 lần sendNotification(u4, ...)</t>
  </si>
  <si>
    <t>Không ném lỗi, FAILED, 'EMAIL:FAILED; PUSH:SENT'; giả lập -&gt; SENT</t>
  </si>
  <si>
    <t>TC_PH7_NOTI_06</t>
  </si>
  <si>
    <t>registerFcmToken(), getNotificationsByUser()</t>
  </si>
  <si>
    <t>Đăng ký token FCM và xem lịch sử</t>
  </si>
  <si>
    <t>tok-old thuộc u-old (IOS); u5 có 1 thông báo</t>
  </si>
  <si>
    <t>register(u5, tok-new, WEB, dev-1); register(u5, tok-old, ANDROID, dev-2); getNotificationsByUser(u5)</t>
  </si>
  <si>
    <t>Tạo mới tok-new; tok-old gán lại u5/ANDROID, cập nhật lastUsedAt, không tạo trùng; 1 DTO id n1, SENT, orderId 9</t>
  </si>
  <si>
    <t>TC_PH7_KAFKA_01</t>
  </si>
  <si>
    <t>BE/notification-service/src/test/java/com/ecommerce/notificationservice/event/consumer/NotificationKafkaConsumerTest.java</t>
  </si>
  <si>
    <t>Ánh xạ sự kiện đơn hàng sang template</t>
  </si>
  <si>
    <t>Chưa có thông báo nào</t>
  </si>
  <si>
    <t>OrderConfirmed 1, OrderCancelled 2, OrderShipped 3, OrderDelivered 4 (userId u1, email a@mail.com)</t>
  </si>
  <si>
    <t>order_confirmed/cancelled/shipped/delivered_template theo thứ tự; request mang u1, a@mail.com, orderId, eventType; ack 4 lần</t>
  </si>
  <si>
    <t>TC_PH7_KAFKA_02</t>
  </si>
  <si>
    <t>consumePaymentEvent()</t>
  </si>
  <si>
    <t>Ánh xạ sự kiện thanh toán sang template</t>
  </si>
  <si>
    <t>PaymentSuccess 10 (JSON lồng); PaymentFailed 11; RefundCompleted 12</t>
  </si>
  <si>
    <t>payment_success_template (orderId 10), payment_failed_template; RefundCompleted bỏ qua; ack 3 lần</t>
  </si>
  <si>
    <t>TC_PH7_KAFKA_03</t>
  </si>
  <si>
    <t>Chống gửi email trùng khi Kafka redeliver</t>
  </si>
  <si>
    <t>Đã có thông báo (20, OrderConfirmedEvent) và (21, PaymentSuccessEvent)</t>
  </si>
  <si>
    <t>Gửi lại 2 sự kiện đó</t>
  </si>
  <si>
    <t>Không gọi sendNotification; ack 2 lần</t>
  </si>
  <si>
    <t>TC_PH7_KAFKA_04</t>
  </si>
  <si>
    <t>Giá trị mặc định, sự kiện không liên quan và payload hỏng</t>
  </si>
  <si>
    <t>OrderCancelled 30 thiếu userId/email; OrderCreated 31; '{not json'; payment thiếu eventType</t>
  </si>
  <si>
    <t>1 thông báo với userId 'anonymous', email ''; các message còn lại không gửi, không ném lỗi; ack 4 lần</t>
  </si>
  <si>
    <t>TC_PH7_KAFKA_05</t>
  </si>
  <si>
    <t>Lỗi gửi không gây lặp vô hạn</t>
  </si>
  <si>
    <t>sendNotification ném IllegalArgumentException (template không tồn tại)</t>
  </si>
  <si>
    <t>OrderShipped 40</t>
  </si>
  <si>
    <t>Không ném lỗi, ack</t>
  </si>
  <si>
    <t>TemplateRenderer.java, NotificationServiceImpl.java</t>
  </si>
  <si>
    <t>TC_PH7_TPL_03</t>
  </si>
  <si>
    <t>BE/notification-service/src/test/java/com/ecommerce/notificationservice/service/NotificationServiceImplBugCheck.java</t>
  </si>
  <si>
    <t>render() qua sendNotification()</t>
  </si>
  <si>
    <t>Biến người dùng nhập phải được escape trước khi chèn vào email HTML</t>
  </si>
  <si>
    <t>Template welcome '&lt;p&gt;Xin chào {{customerName}}&lt;/p&gt;'</t>
  </si>
  <si>
    <t>customerName = '&lt;img src=x onerror=alert(1)&gt;'</t>
  </si>
  <si>
    <t>Nội dung không chứa '&lt;img', chứa '&amp;lt;img'</t>
  </si>
  <si>
    <t>TC_PH7_NOTI_07</t>
  </si>
  <si>
    <t>Thiếu email thì không gửi tới địa chỉ bịa</t>
  </si>
  <si>
    <t>SMTP (mock) sẵn sàng</t>
  </si>
  <si>
    <t>userId='kc-7f3a', email=null</t>
  </si>
  <si>
    <t>recipient không phải 'kc-7f3a@ecommerce.com'; không gọi JavaMailSender.send</t>
  </si>
  <si>
    <t>TC_PH7_NOTI_08</t>
  </si>
  <si>
    <t>Kết quả gửi phải phản ánh thực tế</t>
  </si>
  <si>
    <t>User u9 không có token FCM</t>
  </si>
  <si>
    <t>sendNotification(u9, z@mail.com, ...)</t>
  </si>
  <si>
    <t>deliveryResults không chứa 'PUSH:SENT'</t>
  </si>
  <si>
    <t>TemplateRenderer chèn giá trị biến nguyên văn vào template HTML (gửi bằng setText(..., true)); customerName/fullName do người dùng đặt có thể chèn thẻ HTML/link giả mạo vào email do hệ thống gửi (HTML injection/phishing).</t>
  </si>
  <si>
    <t>BE/notification-service/src/main/java/com/ecommerce/notificationservice/util/TemplateRenderer.java:18-21; service/impl/NotificationServiceImpl.java:136</t>
  </si>
  <si>
    <t>Khi sự kiện không có email, dispatch() tự bịa người nhận userId + '@ecommerce.com' (domain thật của bên thứ ba) và vẫn gửi email chứa thông tin đơn hàng tới địa chỉ đó -&gt; lộ dữ liệu, thư dội.</t>
  </si>
  <si>
    <t>BE/notification-service/src/main/java/com/ecommerce/notificationservice/service/impl/NotificationServiceImpl.java:108</t>
  </si>
  <si>
    <t>deliveryResults luôn ghi 'PUSH:SENT' kể cả khi user không có token FCM (và FCM chỉ được giả lập bằng log), làm sai thống kê kết quả gửi.</t>
  </si>
  <si>
    <t>BE/notification-service/src/main/java/com/ecommerce/notificationservice/service/impl/NotificationServiceImpl.java:148-159</t>
  </si>
  <si>
    <t>NHÓM: THÔNG BÁO</t>
  </si>
  <si>
    <t>API_PH7_001</t>
  </si>
  <si>
    <t>/api/v1/notifications</t>
  </si>
  <si>
    <t>Danh sách thông báo của khách có sự kiện đơn hàng</t>
  </si>
  <si>
    <t>HTTP 200; có thông báo cho đơn B (xác nhận/giao/đã giao)</t>
  </si>
  <si>
    <t>HTTP 200  (71 ms)
{"code":"SUCCESS","message":"Success","data":[{"id":"6ad382ef8c170564f80c2d34","userId":"eeb77c2d-9938-474c-aa6a-438308be1a87","orderId":14,"eventType":"OrderConfirmedEvent","channels":["EMAIL","PUSH"</t>
  </si>
  <si>
    <t>API_PH7_002</t>
  </si>
  <si>
    <t>Thông báo chỉ thuộc về người gọi</t>
  </si>
  <si>
    <t>HTTP 200; không chứa thông báo của khách khác</t>
  </si>
  <si>
    <t>HTTP 200  (20 ms)
{"code":"SUCCESS","message":"Success","data":[{"id":"6ad382c48c170564f80c2d2d","userId":"a8dd1f5d-cb16-4929-b81a-d7d615bae01b","orderId":12,"eventType":"OrderCancelledEvent","channels":["EMAIL","PUSH"</t>
  </si>
  <si>
    <t>API_PH7_003</t>
  </si>
  <si>
    <t>Chặn xem thông báo khi không có token</t>
  </si>
  <si>
    <t>HTTP 401  (6 ms)
(body rỗng)</t>
  </si>
  <si>
    <t>API_PH7_004</t>
  </si>
  <si>
    <t>/api/v1/notifications/fcm-token</t>
  </si>
  <si>
    <t>Đăng ký FCM token</t>
  </si>
  <si>
    <t>{
 "fcmToken": "qa-fcm-token-123",
 "platform": "web",
 "deviceId": "qa-device"
}</t>
  </si>
  <si>
    <t>HTTP 200  (25 ms)
{"code": "SUCCESS", "message": "Success"}</t>
  </si>
  <si>
    <t>API_PH7_005</t>
  </si>
  <si>
    <t>/notification-service/api/internal/notifications/send</t>
  </si>
  <si>
    <t>Không gửi được thông báo nội bộ qua route tự động của gateway</t>
  </si>
  <si>
    <t>{
 "userId": "qa",
 "email": "qa_security@techstore.test",
 "eventType": "QA_SECURITY_TEST",
 "subject": "QA",
 "content": "Kiểm thử bảo mật"
}</t>
  </si>
  <si>
    <t>HTTP 401/403/404; khách hàng không gọi được API nội bộ</t>
  </si>
  <si>
    <t>HTTP 200  (10746 ms)
{"code": "SUCCESS", "message": "Success"}
Không đạt: HTTP status ∈ 401/403/404</t>
  </si>
  <si>
    <t>Bug: HTTP status ∈ 401/403/404: expected [ 401, 403, 404 ] to include 200</t>
  </si>
  <si>
    <t>API_PH7_006</t>
  </si>
  <si>
    <t>http://localhost:8086/api/v1/notifications</t>
  </si>
  <si>
    <t>Gọi thẳng cổng notification-service phải xác thực</t>
  </si>
  <si>
    <t>Không (public)
X-User-Id: {{cust_kcId}}</t>
  </si>
  <si>
    <t>HTTP 401 (không có token)</t>
  </si>
  <si>
    <t>HTTP 200  (11 ms)
{"code":"SUCCESS","message":"Success","data":[{"id":"6ad382f58c170564f80c2d36","userId":"eeb77c2d-9938-474c-aa6a-438308be1a87","orderId":15,"eventType":"OrderCancelledEvent","channels":["EMAIL","PUSH"
Không đạt: HTTP status ∈ 401/403</t>
  </si>
  <si>
    <t>Bug: HTTP status ∈ 401/403: expected [ 401, 403 ] to include 200</t>
  </si>
  <si>
    <t>npx playwright test ui/PH7.spec.ts</t>
  </si>
  <si>
    <t>TemplateRendererTest.java</t>
  </si>
  <si>
    <t>assertEquals("Đơn #1024 của Nguyễn Văn A | mã: [] | lại #1024 | {{unknown}}", out);</t>
  </si>
  <si>
    <t>assertEquals("", TemplateRenderer.render(null, Map.of("a", "b")));
assertEquals("", TemplateRenderer.render("   ", Map.of("a", "b")));
assertEquals("Xin chào {{name}}", TemplateRenderer.render("Xin chào {{name}}", null));
assertEquals("Xin chào {{name}}", TemplateRenderer.render("Xin chào {{name}}", Map.of()));
assertEquals("Giảm $50 \\ 100%", TemplateRenderer.render("Giảm {{v}}", Map.of("v", "$50 \\ 100%")));</t>
  </si>
  <si>
    <t>NotificationServiceImplTest.java</t>
  </si>
  <si>
    <t>assertEquals("Đơn hàng #1024 đã được xác nhận", n.getSubject());
assertEquals("&lt;p&gt;Chào Nguyễn Văn A (Khách VIP), đơn 1024 đã xác nhận.&lt;/p&gt;", n.getContent());
assertEquals("a@mail.com", n.getRecipient());
assertEquals(1024L, n.getOrderId());
assertEquals(List.of("EMAIL", "PUSH"), n.getChannels());</t>
  </si>
  <si>
    <t>assertThrows(IllegalArgumentException.class, () -&gt; s.sendNotification(SendNotificationRequest.builder()
assertEquals("Đã nhận tiền đơn #7", n.getSubject());
assertTrue(n.getContent().contains("Chiến dịch khuyến mãi đã được kích hoạt"), "nội dung template rỗng -&gt; dùng nội dung mặc định");</t>
  </si>
  <si>
    <t>assertEquals("Thông báo từ E-Commerce", n1.getSubject());
assertEquals("&lt;b&gt;Mã của bạn: VPC-123456&lt;/b&gt;", n1.getContent());
assertEquals("Tiêu đề riêng", n2.getSubject());
assertTrue(n2.getContent().startsWith("&lt;p&gt;Chào bạn!"));</t>
  </si>
  <si>
    <t>verify(javaMailSender).send(prep.capture());
assertEquals("no-reply@shop.test", ((InternetAddress) mm.getFrom()[0]).getAddress());
assertEquals("c@mail.com", ((InternetAddress) mm.getAllRecipients()[0]).getAddress());
assertEquals("Don #55 dang giao", mm.getSubject()); // tiêu đề ASCII: MimeMessageHelper không đặt encoding -&gt; phụ thuộc charset mặc định của JVM
assertTrue(mm.getContentType().startsWith("text/html"));</t>
  </si>
  <si>
    <t>assertDoesNotThrow(() -&gt; service(true).sendNotification("u4", "d@mail.com", 1L, "PaymentFailedEvent", "S", "C"));
assertEquals("FAILED", failed.getStatus());
assertEquals("EMAIL:FAILED; PUSH:SENT", failed.getDeliveryResults());
assertEquals("SENT", lastSaved(2).getStatus());</t>
  </si>
  <si>
    <t>verify(fcmTokenRepository, times(2)).save(c.capture());
assertNull(c.getAllValues().get(0).getId());
assertEquals("tok-new", c.getAllValues().get(0).getToken());
assertSame(old, c.getAllValues().get(1));
assertEquals("u5", old.getUserId());</t>
  </si>
  <si>
    <t>NotificationKafkaConsumerTest.java</t>
  </si>
  <si>
    <t>verify(notificationService, times(4)).sendNotification(c.capture());
assertEquals(List.of("order_confirmed_template", "order_cancelled_template", "order_shipped_template", "order_delivered_template"),
assertEquals("u1", first.getUserId());
assertEquals("a@mail.com", first.getEmail());
assertEquals(1L, first.getOrderId());</t>
  </si>
  <si>
    <t>verify(notificationService, times(2)).sendNotification(c.capture());
assertEquals("payment_success_template", c.getAllValues().get(0).getTemplateId());
assertEquals(10L, c.getAllValues().get(0).getOrderId());
assertEquals("payment_failed_template", c.getAllValues().get(1).getTemplateId());
verify(ack, times(3)).acknowledge();</t>
  </si>
  <si>
    <t>assertDoesNotThrow(() -&gt; consumer.consumeOrderEvent("{not json", ack));
assertDoesNotThrow(() -&gt; consumer.consumePaymentEvent("{\"orderId\":32}", ack));
verify(notificationService, times(1)).sendNotification(c.capture());
assertEquals("anonymous", c.getValue().getUserId());
assertEquals("", c.getValue().getEmail());</t>
  </si>
  <si>
    <t>assertDoesNotThrow(() -&gt; consumer.consumeOrderEvent(ev("OrderShippedEvent", 40), ack));
verify(ack).acknowledge();</t>
  </si>
  <si>
    <t>NotificationServiceImplBugCheck.java</t>
  </si>
  <si>
    <t>assertFalse(content.contains("&lt;img"), "Nội dung email chứa thẻ HTML do người dùng chèn: " + content);
assertTrue(content.contains("&amp;lt;img"));</t>
  </si>
  <si>
    <t>assertFalse(lastSaved().getRecipient() != null &amp;&amp; lastSaved().getRecipient().endsWith("@ecommerce.com"),
verify(javaMailSender, never()).send(any(MimeMessagePreparator.class));</t>
  </si>
  <si>
    <t>assertFalse(lastSaved().getDeliveryResults().contains("PUSH:SENT"), lastSaved().getDeliveryResults());</t>
  </si>
  <si>
    <t>pm.test('HTTP status ∈ ' + __exp.join('/'), () =&gt; pm.expect(__exp).to.include(pm.response.code));
pm.test('Có thông báo của đơn B', () =&gt; pm.expect(j.data.map(n =&gt; String(n.orderId))).to.include(String(pm.environment.get('ordB'))));</t>
  </si>
  <si>
    <t>pm.test('HTTP status ∈ ' + __exp.join('/'), () =&gt; pm.expect(__exp).to.include(pm.response.code));
pm.test('Không chứa đơn B của khách 1', () =&gt; pm.expect(j.data.map(n =&gt; String(n.orderId))).to.not.include(String(pm.environment.get('ordB'))));</t>
  </si>
  <si>
    <t>ui/PH7.spec.ts</t>
  </si>
  <si>
    <t>KIỂM THỬ HIỆU NĂNG - PHÂN HỆ THÔNG BÁO</t>
  </si>
  <si>
    <t>http://localhost:8086 (notification-service)</t>
  </si>
  <si>
    <t>Load Test: GET /api/v1/notifications</t>
  </si>
  <si>
    <t>Stress Test: GET /api/v1/notifications</t>
  </si>
  <si>
    <t>Gửi email (Kafka consumer)</t>
  </si>
  <si>
    <t>Không phải API HTTP; luồng bất đồng bộ.</t>
  </si>
  <si>
    <t>GET /api/v1/notifications (thông báo của tôi)</t>
  </si>
  <si>
    <t>GET /api/v1/notifications (tải nặng)</t>
  </si>
  <si>
    <t>5 ca giao diện không đạt.</t>
  </si>
  <si>
    <t>6 ca, 2 ca không đạt — chủ yếu sai mã lỗi HTTP / phân quyền / bảo mật (xem sheet API).</t>
  </si>
  <si>
    <t>Line coverage tầng service 99.1%, branch 90.7%. 3 ca BugCheck ghi nhận lỗi.</t>
  </si>
  <si>
    <t>1. API_PH7_005: Không gửi được thông báo nội bộ qua route tự động của gateway — mong đợi HTTP 401/403/404; khách hàng không gọi được API nội bộ; thực tế HTTP 200.
2. API_PH7_006: Gọi thẳng cổng notification-service phải xác thực — mong đợi HTTP 401 (không có token); thực tế HTTP 200.
3. TC_PH7_TPL_03: TemplateRenderer chèn giá trị biến nguyên văn vào template HTML (gửi bằng setText(..., true)); customerName/fullName do người dùng đặt có thể chèn thẻ HTML/link giả mạo vào email do hệ thống gửi (HTML injection/phishing).
4. TC_PH7_NOTI_07: Khi sự kiện không có email, dispatch() tự bịa người nhận userId + '@ecommerce.com' (domain thật của bên thứ ba) và vẫn gửi email chứa thông tin đơn hàng tới địa chỉ đó -&gt; lộ dữ liệu, thư dội.
5. TC_PH7_NOTI_08: deliveryResults luôn ghi 'PUSH:SENT' kể cả khi user không có token FCM (và FCM chỉ được giả lập bằng log), làm sai thống kê kết quả gửi.
6. UI_PH7_FR01_002: Nội dung email xác nhận đơn hàng — Email chỉ có "Mã đơn hàng: #1332", "Người bán: AuraTech" và "Trạng thái đơn: Chờ thanh toán / Vận chuyển" (dù đơn đã CONFIRMED). Không có danh sách sản phẩm, số lượng, tổng tiền hay địa chỉ giao hàng; lời chào "Xin chào bạn" không có tên khách. Bằng chứng: 20261017-231137-537.eml: trích nội dung: " Đặt hàng thành công! Công nghệ chính hãng · Giao nhanh toàn quốc ✅ Đặt hàng thành công! Xin chào bạn, Cảm ơn bạn đã mua sắm tại AuraTech. Đơn hàng của bạn đã được tiếp nhận và đang chờ xử lý thanh toán / vận chuyển. Xem chi tiết đơn hàng THÔNG TIN ĐƠN HÀNG Mã đơn hàng: #1332 Người bán: AuraTech Trạng thái đơn: Chờ thanh toán / Vận chuyển Bạn cần hỗ trợ? Liên hệ hotline 0389.468.847 hoặc gửi mail về hotro@auratechvn.online © 2026 AuraTech · localhost:5173 Email này được hệ thống gửi tự động, vui lòng không trả lời trực tiếp thư này. "
7. UI_PH7_FR01_003: Admin xác nhận giao hàng, khách nhận email "đang giao" — Đơn chuyển SHIPPED (MOCK-GHTK-B5E41EA2) và có email, nhưng người nhận là "eeb77c2d-9938-474c-aa6a-438308be1a87@ecommerce.com" thay vì customer@gmail.com. Payload OrderShippedEvent của order-service không có trường email (các sự kiện xác nhận/hủy/đã giao đã được sửa để dùng order.getEmail()), nên notification-service rơi vào nhánh dự phòng userId + "@ecommerce.com". Ảnh minh họa dựng từ file .eml. Bằng chứng: Đơn #1332 → SHIPPED, mã vận đơn MOCK-GHTK-B5E41EA2; email: 20261017-231149-047.eml → eeb77c2d-9938-474c-aa6a-438308be1a87@ecommerce.com | "Đơn hàng #1332 đang được giao tới bạn"
8. UI_PH7_FR02_001: Lịch sử thông báo của khách ghi nhận đủ sự kiện — Đủ 3 bản ghi, trạng thái SENT, đúng tiêu đề; nhưng bản ghi OrderShippedEvent có recipient "eeb77c2d-…@ecommerce.com" (cùng nguyên nhân với UI_PH7_FR01_003). Mọi bản ghi đều ghi kênh EMAIL,PUSH dù hệ thống chưa gửi push. Bằng chứng: GET /notifications -&gt; 200, tổng 53; đơn #1332: OrderDeliveredEvent/SENT/customer@gmail.com, OrderShippedEvent/SENT/eeb77c2d-9938-474c-aa6a-438308be1a87@ecommerce.com, OrderConfirmedEvent/SENT/customer@gmail.com
9. UI_PH7_FR03_001: Chuông thông báo trên header quản trị — Bấm chuông không có phản hồi: nội dung trang không đổi (2137/2137 ký tự), không có request nào tới API thông báo. Nút không có onClick, không có aria-label/title, chấm đỏ luôn hiện. FE chưa có giao diện thông báo (đã ghi ở HUONG_DAN mục 13). Bằng chứng: Độ dài nội dung trước/sau khi bấm chuông: 2137/2137; request liên quan notification: 0; aria-label/title của nút: "null"/"null"
10. UI_PH7_FR03_002: Trung tâm thông báo của khách hàng — Header không có nút chuông, menu hồ sơ không có mục "Thông báo"; FE không gọi GET /api/v1/notifications ở trang nào. Thông báo chỉ đến qua email. Bằng chứng: Header storefront có nút chuông: 0; menu hồ sơ có mục "Thông báo": 0</t>
  </si>
  <si>
    <t>Ưu điểm:
- Phân tầng rõ (consumer Kafka → service → MongoDB), ack thủ công (application.yml:13,19) và có kiểm tra chống gửi trùng theo (orderId, eventType).
- Template lưu trong MongoDB, seeder upsert theo code; render placeholder {{key}} đơn giản, dễ thêm template cho chiến dịch.
- Ghi chú ở các điểm quan trọng giải thích "tại sao" (idempotent consumer, ack poison message).</t>
  </si>
  <si>
    <t>Hạn chế:
- Không đồng nhất: BE/notification-service/src/main/java/com/ecommerce/notificationservice/config/NotificationTemplateSeeder.java thụt lề 2 dấu cách, mọi file khác trong module thụt 4 dấu cách.
- Không file nào có header mô tả/tác giả/bản quyền; file bắt đầu thẳng bằng package.
- Chỉ một số field có ghi chú: SendNotificationRequest.java:20-25 (Javadoc), Notification.java:29-37 (giá trị hợp lệ của channels/status); phần lớn field của DTO/entity và các field @Value trong BE/notification-service/src/main/java/com/ecommerce/notificationservice/config/NotificationTemplateSeeder.java:20-42 không có.
- Không có Javadoc cho interface NotificationService, NotificationServiceImpl, TemplateRenderer hay các controller; chỉ alreadyProcessed có ghi chú (BE/notification-service/src/main/java/com/ecommerce/notificationservice/event/consumer/NotificationKafkaConsumer.java:23-25).
- Logic quyết định trạng thái (BE/notification-service/src/main/java/com/ecommerce/notificationservice/service/impl/NotificationServiceImpl.java:158: SENT khi không có mailSender) và việc giải mã JSON hai lần khi payload là chuỗi (BE/notification-service/src/main/java/com/ecommerce/notificationservice/event/consumer/NotificationKafkaConsumer.java:39-41, do Debezium double-encode) không có giải thích.
- Ghi chú lỗi thời: NotificationTemplate.java:19 ví dụ code "ORDER_CREATED, PAYMENT_SUCCESS" trong khi code thật là order_confirmed_template...; Notification.java:31 ghi recipient có thể là FCM token nhưng luôn là email; BE/notification-service/src/main/resources/application.yml:15 group-id notification-service-group nhưng listener dùng notification-group (BE/notification-service/src/main/java/com/ecommerce/notificationservice/event/consumer/NotificationKafkaConsumer.java:34,97).</t>
  </si>
  <si>
    <t>Phân hệ Thông báo đáp ứng các luồng nghiệp vụ chính khi kiểm thử trên môi trường local; các lỗi phát hiện tập trung ở xử lý ngoại lệ (mã lỗi HTTP), phân quyền chi tiết và một số điểm bảo mật/độ bền đã liệt kê ở mục 2. Cần sửa các lỗi mức Cao trước khi triển khai.</t>
  </si>
  <si>
    <t>5 Use Case (Personalized Recommendation, Track User Clickstream, Infer Sequential Preferences, Display Recommended List, Cross-sell Recommendation); 2 tài liệu 1.379 dòng</t>
  </si>
  <si>
    <t>docs/AI/recommendation-complete.md (blueprint, đã gắn nhãn lịch sử); docs/AI/recsys-behavior-knowledge-transfer.md; CHUONG_I_DAC_TA.md mục 1 (TT 59-60), mục 2 Bước 3 (Chức năng 3), mục 3.1, mục 3.4; CHUONG_II_PHA_PHAN_TICH.md mục 1.3; đối chiếu RA_SOAT_BAO_CAO_VS_CODE.md (A12, C8-C10, E13-E17, F)</t>
  </si>
  <si>
    <t>Cả hai là markdown; recsys-behavior-knowledge-transfer.md có khối thông tin đầu (Dành cho, Trạng thái code, Kiểm lần cuối 2026-10-11) nhưng không có mã hiệu, người lập/duyệt; recommendation-complete.md chỉ có banner.</t>
  </si>
  <si>
    <t>Không dùng mẫu SRS chuẩn; một bên là blueprint ý tưởng, một bên là tài liệu bàn giao kỹ thuật.</t>
  </si>
  <si>
    <t>Chỉ có tiêu đề H1; không có tên công ty, logo, mã dự án, mã hiệu, phiên bản, ngày ban hành.</t>
  </si>
  <si>
    <t>Markdown không có đầu/cuối trang.</t>
  </si>
  <si>
    <t>Markdown không phân trang.</t>
  </si>
  <si>
    <t>Không có trang ký người xem xét/phê duyệt.</t>
  </si>
  <si>
    <t>Không có bảng lịch sử thay đổi của tài liệu; recsys-behavior-knowledge-transfer.md mục 9 chỉ có bảng commit code (72e999e…434e6bd) và mục 15 ghi việc đối chiếu với code.</t>
  </si>
  <si>
    <t>Tài liệu không có số phiên bản.</t>
  </si>
  <si>
    <t>Thông tin trạng thái trong recsys-behavior-knowledge-transfer.md không được cập nhật: dòng 6 ghi "PR vào ai/behavoir chưa tạo" và mục 9 còn dòng "(chưa commit)", trong khi nhánh fix/recs-p0-serving đã merge vào develop (commit 9581b43).</t>
  </si>
  <si>
    <t>recsys-behavior-knowledge-transfer.md dòng 3-5 nêu đối tượng đọc và mục tiêu; recommendation-complete.md dòng 16 nêu mục đích phác thảo ý tưởng.</t>
  </si>
  <si>
    <t>recsys-behavior-knowledge-transfer.md mục 1 (bức tranh lớn) và mục 9 (đã chạy/còn thiếu); recommendation-complete.md có bảng khác biệt với code ở banner.</t>
  </si>
  <si>
    <t>recsys-behavior-knowledge-transfer.md mục 14 "Từ điển thuật ngữ" (SASRec, HR@10, impression...); CHUONG_I mục 1 TT 59-60.</t>
  </si>
  <si>
    <t>recsys-behavior-knowledge-transfer.md dòng 11-14 liệt kê recsys-behavior-flow-review.md, recsys-p1-assessment-and-plan.md, recsys-gd0-browser-test.md; mục 8.7 dẫn bộ REES46 (Kaggle), mục 14 dẫn Kang &amp; McAuley 2018.</t>
  </si>
  <si>
    <t>Chỉ có tên và link tương đối; ngày phát hành có ở một số tài liệu, không có ở tất cả.</t>
  </si>
  <si>
    <t>Có tên file của từng tài liệu tham khảo.</t>
  </si>
  <si>
    <t>Chỉ hai tài liệu có ngày (2026-09-26); recsys-gd0-browser-test.md và bài báo SASRec không ghi ngày đầy đủ.</t>
  </si>
  <si>
    <t>Nguồn là link tương đối trong repo; REES46 có URL Kaggle (mục 8.7).</t>
  </si>
  <si>
    <t>recommendation-complete.md banner ghi "phần lớn KHÔNG được cài đặt"; recsys-behavior-knowledge-transfer.md mục 4.4 (độ tin cậy dữ liệu), 4.5 (quyền riêng tư), 9.3 (còn tồn tại).</t>
  </si>
  <si>
    <t>recsys-behavior-knowledge-transfer.md có mục lục 15 mục (dòng 18-36) và mục 11 "Bản đồ code và thứ tự nên đọc".</t>
  </si>
  <si>
    <t>recsys-behavior-knowledge-transfer.md mục 2 "câu chuyện của khách tên An" mô tả trọn một vòng; CHUONG_II mục 1.3 có kịch bản chính và ngoại lệ.</t>
  </si>
  <si>
    <t>CHUONG_I mục 3.4 liệt kê 5 UC; recsys-behavior-knowledge-transfer.md mục 3-7 mô tả tracking, consumer, train, serving, hiển thị.</t>
  </si>
  <si>
    <t>Phân nhóm hợp lý nhưng mô tả trong báo cáo chưa chính xác (xem 2 câu con bên dưới).</t>
  </si>
  <si>
    <t>Nhóm theo luồng Tracking → Kafka/Consumer → Train → Serving → Hiển thị (knowledge-transfer mục 3-7), UC 3.4 cũng theo luồng này.</t>
  </si>
  <si>
    <t>Báo cáo lệch code: CHUONG_II 1.3 bước 3 topic "user-clickstream-events" (thật là product-viewed-events), bước 6 coi wishlist là tín hiệu, bước 8 "10 tương tác" (thật 50), bước 14-16 combo giá ưu đãi, ngoại lệ 8.1 dùng sản phẩm đánh giá 5 sao; UC Cross-sell (CHUONG_I 3.4) thực tế trả Popularity (RA_SOAT A12, C8-C10). knowledge-transfer thì khớp code.</t>
  </si>
  <si>
    <t>CHUONG_I mục 3.1: Personalized Recommendation cho khách hàng và khách vãng lai; CHUONG_II 1.3 Actor Customer/Guest.</t>
  </si>
  <si>
    <t>Customer/Guest nhận gợi ý, hệ thống thu thập hành vi (UC Track User Clickstream); knowledge-transfer phân vai P1/P2.</t>
  </si>
  <si>
    <t>recsys-behavior-knowledge-transfer.md mục 1 có sơ đồ tổng thể (Tracking/Redis/MariaDB/checkpoint/Serving), mục 6.1 vẽ đường đi request; CHUONG_I hình 4 (uc_goi_y.puml).</t>
  </si>
  <si>
    <t>Không mô tả đặc điểm người dùng; chỉ có giả định "TMĐT Việt Nam đa số mobile" trong phần tracker (mục 3.3).</t>
  </si>
  <si>
    <t>recsys-behavior-knowledge-transfer.md mục 4.4 (giới hạn pipeline), 6.6 (chạy CPU), 9.1 (không mở cổng 8003), mục 10 (action_type VARCHAR(30)).</t>
  </si>
  <si>
    <t>recsys-behavior-knowledge-transfer.md nêu phụ thuộc Debezium cho PURCHASE, cột source do Hibernate thêm (9.3), checkpoint platform_v1 và cổng đánh giá (6.5), quy ước UTC (9.2).</t>
  </si>
  <si>
    <t>Không có mã yêu cầu; mỗi UC ở CHUONG_I 3.4 chỉ có một câu mô tả.</t>
  </si>
  <si>
    <t>recommendation-complete.md (FAISS, FP-Growth, Spring Boot điều phối, HR@10 ≥ 0,65) mâu thuẫn recsys-behavior-knowledge-transfer.md (cross-sell = Popularity, FE → gateway → FastAPI, HR@10 đo khoảng 0,05); CHUONG_I/II mâu thuẫn recsys-behavior-knowledge-transfer.md (wishlist là tín hiệu, 10 vs 50 item, topic).</t>
  </si>
  <si>
    <t>Không có độ ưu tiên cho yêu cầu; chỉ có thứ tự giai đoạn GĐ0-GĐ4 trong kế hoạch.</t>
  </si>
  <si>
    <t>UC có tên tiếng Anh (Personalized Recommendation, Track User Clickstream...) nhưng không có mã hiệu UC-xx/FR-xx.</t>
  </si>
  <si>
    <t>recsys-behavior-knowledge-transfer.md dẫn đúng tới file code và mục liên quan, nhưng CHUONG_I mục 3.4 trỏ puml bằng link file:///d:/Downloads/... của máy cá nhân (RA_SOAT A17).</t>
  </si>
  <si>
    <t>recommendation-complete.md mục 5 đặt ngưỡng HR@10 ≥ 0,65, NDCG@10 ≥ 0,45, MRR ≥ 0,40, Coverage ≥ 25%, latency &lt; 50 ms; recsys-behavior-knowledge-transfer.md 6.5 có cổng deploy (SASRec phải thắng baseline). Ngưỡng HR@10 không đạt được (đo khoảng 0,05).</t>
  </si>
  <si>
    <t>UC trong CHUONG_I 3.4 chỉ có một câu, thiếu tiền/hậu điều kiện, dữ liệu vào/ra (trừ kịch bản 1.3); knowledge-transfer đủ chi tiết kỹ thuật nhưng không viết dưới dạng yêu cầu.</t>
  </si>
  <si>
    <t>recsys-behavior-knowledge-transfer.md mục 9.3 "Còn tồn tại", các cảnh báo ⚠️ "Chưa kiểm riêng" (9.2); recommendation-complete.md banner.</t>
  </si>
  <si>
    <t>Có chỉ tiêu số: latency &lt; 50 ms (recommendation-complete.md mục 1, 5), mục tiêu 200 ms của plan và số đo p50 13 ms/p95 17 ms (recsys-behavior-knowledge-transfer.md 6.6), HR@10/NDCG@10.</t>
  </si>
  <si>
    <t>Có yêu cầu ngoài phạm vi đã làm: FAISS sản phẩm tương tự, FP-Growth, Neo4j (recommendation-complete.md 3.2, 3.3, 3.6, 4.2), combo giá ưu đãi (CHUONG_II 1.3 bước 14-16).</t>
  </si>
  <si>
    <t>recommendation-complete.md là blueprint giải pháp (hybrid scoring, MMR, DDL); recsys-behavior-knowledge-transfer.md là tài liệu bàn giao kỹ thuật, không phát biểu yêu cầu.</t>
  </si>
  <si>
    <t>Ngoại lệ 8.1 cold-start (CHUONG_II 1.3); thang dự phòng SASRec → Recency → Popularity (recsys-behavior-knowledge-transfer.md 6.3); không nạp checkpoint không qua cổng (6.5).</t>
  </si>
  <si>
    <t>recsys-behavior-knowledge-transfer.md có hợp đồng dữ liệu (mục 10: key Redis, topic, schema user_events, checkpoint), bản đồ code (mục 11), thang 3 tầng (6.3), đủ để thiết kế/bảo trì.</t>
  </si>
  <si>
    <t>Một số yêu cầu không khả thi với dữ liệu hiện có: HR@10 ≥ 0,65 trong khi đo được khoảng 0,05 (recommendation-complete.md banner, recsys-behavior-knowledge-transfer.md 8.3-8.7); cross-sell FP-Growth cần dữ liệu đơn thật, code còn TODO (recommend.py:169-170).</t>
  </si>
  <si>
    <t>recsys-behavior-knowledge-transfer.md mục 5.4 (SASRec), 6.3 (thang chiến lược), công thức Popularity = lượt xem + 3 × thêm giỏ trong 30 ngày; recommendation-complete.md 3.1-3.7.</t>
  </si>
  <si>
    <t>Các yêu cầu có metric đo được (HR@10, NDCG@10, latency); có harness đánh giá (recsys-behavior-knowledge-transfer.md 8.5), 64 test pytest và 5/5 ca E2E qua gateway (9.1).</t>
  </si>
  <si>
    <t>Không đặc tả mã/thông báo lỗi API (422 khi source lạ chỉ nhắc trong 9.2; 500 trả detail=str(e)).</t>
  </si>
  <si>
    <t>Các UC con (Track User Clickstream, Infer Sequential Preferences, Display Recommended List, Cross-sell) thuộc UC Personalized Recommendation (CHUONG_I 3.1, 3.4) và Chức năng 3 (Bước 3).</t>
  </si>
  <si>
    <t>recsys-behavior-knowledge-transfer.md 9.1 (danh tính chỉ lấy từ header gateway, không mở cổng 8003), 4.5 (quyền riêng tư); validate đầu vào ở cổng ingest (mục 3.4).</t>
  </si>
  <si>
    <t>Xác thực JWT qua gateway (X-User-Id inject), chống đọc gợi ý của người khác (bỏ ?user_id=), whitelist actionType/source, giới hạn lô 200, bảo vệ dữ liệu cá nhân theo Nghị định 13/2023/NĐ-CP.</t>
  </si>
  <si>
    <t>Chỉ nêu thời hạn lưu (Redis 30 ngày, user_events không giới hạn, mục 4.5); không có yêu cầu sao lưu user_events hay checkpoint.</t>
  </si>
  <si>
    <t>recsys-behavior-knowledge-transfer.md mục 7: 3 tab gợi ý (for_you/recent/trending), khối mua kèm ở giỏ; tracker không được làm hỏng UX (mục 3.3).</t>
  </si>
  <si>
    <t>Thang dự phòng đảm bảo luôn có gợi ý, consumer không chết vì một message lỗi (4.2), cổng deploy chặn model kém (6.5).</t>
  </si>
  <si>
    <t>Latency &lt; 50 ms (recommendation-complete.md), 200 ms (plan), số đo p50/p95 (recsys-behavior-knowledge-transfer.md 6.6).</t>
  </si>
  <si>
    <t>Có quy mô dữ liệu thử nghiệm (seed, REES46 20,69 triệu event ở recsys-behavior-knowledge-transfer.md 8.7; lô 200 event; Redis 50 item) nhưng không có yêu cầu lưu lượng (request/giây, event/giây) cho vận hành.</t>
  </si>
  <si>
    <t>/health trả trạng thái và lý do bật/tắt SASRec (6.5), header X-Recs-Strategy, mục 12 chạy thử, 12.2 bẫy môi trường, 13 câu hỏi thường gặp (recsys-behavior-knowledge-transfer.md).</t>
  </si>
  <si>
    <t>FastAPI, PyTorch CPU, Redis, Kafka (aiokafka), MariaDB, checkpoint platform_v1 (recsys-behavior-knowledge-transfer.md mục 6, 10); recommendation-complete.md có tech stack nhưng đã lỗi thời.</t>
  </si>
  <si>
    <t>recsys-behavior-knowledge-transfer.md mục 6.1 (đường đi request) và mục 10 (hợp đồng dữ liệu).</t>
  </si>
  <si>
    <t>CHUONG_II 1.3 có bảng "Gợi ý dành riêng cho bạn" và bảng combo; recsys-behavior-knowledge-transfer.md mục 7 mô tả 3 tab trang chủ. Cột "% Match" và combo giá ưu đãi trong báo cáo không có trong code.</t>
  </si>
  <si>
    <t>Không có giao tiếp phần cứng (chỉ ghi chú chạy CPU là đủ, mục 6.6).</t>
  </si>
  <si>
    <t>api-gateway + Keycloak (6.1), đọc thẳng ecommerce_product_db/ecommerce_order_db (6.4 catalog), bộ dữ liệu công khai REES46/Taobao cho huấn luyện offline (recsys-behavior-knowledge-transfer.md 8.6-8.7).</t>
  </si>
  <si>
    <t>recsys-behavior-knowledge-transfer.md mục 10: topic product-viewed-events, cart-updated-events, user-behavior-events, order-events; key Redis user:{uid}:history/session:{sid}:history; schema user_events (chốt ở shared_common/contracts.py).</t>
  </si>
  <si>
    <t>HTTP qua gateway, Kafka, Redis; FE gửi bằng fetch keepalive/sendBeacon (mục 3.3).</t>
  </si>
  <si>
    <t>Tài liệu hướng tới developer (bàn giao, chạy thử mục 12); không có tài liệu cho người dùng cuối.</t>
  </si>
  <si>
    <t>Dùng thư viện mã nguồn mở (PyTorch, FastAPI, aiokafka) và bộ dữ liệu công khai (REES46, Taobao, RetailRocket).</t>
  </si>
  <si>
    <t>Bộ REES46 được mô tả nguồn, kích thước, cách tải và ghi chú giấy phép (recsys-behavior-knowledge-transfer.md 8.7); phiên bản/giấy phép thư viện chỉ có trong requirements.txt, chưa nêu trong tài liệu.</t>
  </si>
  <si>
    <t>recsys-behavior-knowledge-transfer.md mục 4.5 nêu Nghị định 13/2023/NĐ-CP về bảo vệ dữ liệu cá nhân.</t>
  </si>
  <si>
    <t>recsys-behavior-knowledge-transfer.md 4.5 liệt kê hiện trạng (chưa xin đồng ý, chưa có tắt theo dõi, user_events không giới hạn thời hạn, chưa xóa khi xóa tài khoản) và các việc tối thiểu cần làm; ghi rõ là hạn chế đã biết.</t>
  </si>
  <si>
    <t>Điểm mạnh: recsys-behavior-knowledge-transfer.md rất chi tiết và khớp code (kiểm 2026-10-11): có mục lục, thuật ngữ, hợp đồng dữ liệu, bản đồ code, số đo hiệu năng/chất lượng, nêu thẳng giới hạn độ tin cậy dữ liệu (4.4) và quyền riêng tư (4.5); recommendation-complete.md đã được gắn nhãn là bản đề xuất cũ.
Điểm yếu: không có kiểm soát tài liệu, mã yêu cầu, độ ưu tiên; phần báo cáo (CHUONG_I 3.4, CHUONG_II 1.3) lệch code (topic, wishlist, 10 item, combo giá ưu đãi, cold-start theo đánh giá 5 sao); recommendation-complete.md mâu thuẫn với hệ thống và đặt chỉ tiêu HR@10 ≥ 0,65 không khả thi; thông tin trạng thái nhánh/PR trong knowledge-transfer đã cũ; chưa có yêu cầu lưu lượng và đặc tả lỗi API.</t>
  </si>
  <si>
    <t>1. Viết lại UC 3.4 (CHUONG_I) và kịch bản 1.3 (CHUONG_II) theo knowledge-transfer: topic product-viewed-events/cart-updated-events/user-behavior-events, 50 item, thang SASRec → Recency → Popularity; chuyển cross-sell combo sang "Hướng phát triển" (RA_SOAT A12, C8-C10, E13-E17).
2. Thêm mã yêu cầu (FR-REC-xx), độ ưu tiên và tiêu chí nghiệm thu khả thi (vd SASRec chỉ phục vụ khi thắng baseline theo cổng 6.5; latency p95 &lt; 200 ms qua gateway).
3. Thêm phần kiểm soát tài liệu (phiên bản, ngày, người lập/duyệt, bảng lịch sử) và cập nhật trạng thái nhánh: fix/recs-p0-serving đã merge vào develop.
4. Bổ sung đặc tả lỗi API (422/500), yêu cầu lưu lượng (request/giây, event/giây) và yêu cầu sao lưu/thời hạn lưu user_events.
5. Loại recommendation-complete.md khỏi bộ tài liệu SRS (chỉ giữ làm tài liệu lịch sử) để tránh mâu thuẫn.</t>
  </si>
  <si>
    <t>recs-service (AI/recs-service/app/) + luồng thu thập hành vi: AI/forecast-service/app/kafka/behavior_consumer.py, behavior_producer.py, endpoint /public/behavior/events; AI/shared-common (contracts.py, pool.py); product-service ProductViewEventProducer; FE/src/services/behaviorTracker.ts</t>
  </si>
  <si>
    <t>24 file (~1.900 dòng): recs-service 11 file (main.py, app/main.py, config.py, models/recommend.py, recommend.py, sasrec.py, catalog.py, popularity.py, recency.py, Dockerfile, requirements.txt) + tests/test_endpoints.py; forecast-service 5 file (behavior_consumer.py, behavior_producer.py, models/behavior.py, forecast.py phần ingest, main.py); shared-common 2 file; product-service 3 file (ProductViewEventProducer, ProductViewedEvent, ProductController); FE 2 file (behaviorTracker.ts, productApi.ts)</t>
  </si>
  <si>
    <t>Code chia rõ endpoints/services/models; hàm ngắn, có type hint, docstring giải thích thang chiến lược (AI/recs-service/app/api/endpoints/recommend.py:48-63). Điểm trừ: ghi chú trộn tiếng Việt có dấu và không dấu (vd AI/recs-service/app/services/sasrec.py:66 "SASRec khong duoc nap").</t>
  </si>
  <si>
    <t>Python theo PEP 8, Java theo quy ước Spring, TS nhất quán. Lệch nhỏ: hai entry point uvicorn trùng nhau với reload=True (AI/recs-service/main.py:6 và app/main.py:31-34).</t>
  </si>
  <si>
    <t>Python snake_case, Java/TS camelCase; riêng RecommendRequest trộn userId/sessionId (camelCase) với top_k (snake_case) (AI/recs-service/app/models/recommend.py:7-9).</t>
  </si>
  <si>
    <t>Python 4 dấu cách, Java 4 dấu cách, TS 2 dấu cách, nhất quán trong từng ngôn ngữ.</t>
  </si>
  <si>
    <t>Java dùng K&amp;R nhất quán (BE/product-service/src/main/java/com/ecommerce/productservice/event/producer/ProductViewEventProducer.java); TS cũng nhất quán (FE/src/services/behaviorTracker.ts).</t>
  </si>
  <si>
    <t>Có docstring đầu module (AI/recs-service/app/services/catalog.py:1-3, AI/forecast-service/app/kafka/behavior_consumer.py:1-6, AI/shared-common/shared_common/contracts.py:1-9) nhưng không có tác giả/bản quyền.</t>
  </si>
  <si>
    <t>Hằng số đều có ghi chú: AI/recs-service/app/services/popularity.py:11-14 (WINDOW_DAYS, CART_WEIGHT, CANDIDATE_POOL, CACHE_TTL_SECONDS), AI/shared-common/shared_common/contracts.py:16-17 (HISTORY_MAX_LEN, TTL), AI/forecast-service/app/models/behavior.py:10-12 (MAX_BATCH_SIZE).</t>
  </si>
  <si>
    <t>Hằng số đặt tên rõ (HISTORY_MAX_LEN=50, HISTORY_TTL_SECONDS=30*24*3600, MAX_BATCH_SIZE=200). Ngoại lệ: dropout 0.2 hard-code (AI/recs-service/app/services/sasrec.py:23,26) và top_k không có giới hạn trên/dưới.</t>
  </si>
  <si>
    <t>Hàm chính có docstring (_resolve_history, _recommend_for_history, get_products_by_ids, SasRecService), nhưng get_recommendations, get_cross_sell_combo, _read_history (AI/recs-service/app/api/endpoints/recommend.py:21,99,166) và start/stop/_write_to_redis (AI/forecast-service/app/kafka/behavior_consumer.py:133,148,189) thiếu docstring.</t>
  </si>
  <si>
    <t>Phần khó được giải thích: đảo chuỗi newest-first sang thứ tự thời gian và +1 cho pad token (AI/recs-service/app/services/sasrec.py:139-143), cách lấy thời điểm PURCHASE (AI/forecast-service/app/kafka/behavior_consumer.py:211-221).</t>
  </si>
  <si>
    <t>Không có code bị comment-out; việc bỏ CORSMiddleware được giải thích bằng ghi chú (AI/recs-service/app/main.py:15-18).</t>
  </si>
  <si>
    <t>Ghi chú lỗi thời: AI/recs-service/app/services/sasrec.py:52-53 ghi script train platform_v1 "chưa tồn tại" nhưng evaluation/train_serving.py đã có; config.py:9 trỏ recsys_platform_sasrec.py còn AI/recs-service/app/services/sasrec.py:88,99 trỏ evaluation.train_serving; AI/shared-common/shared_common/pool.py:8-10 ghi recs-service còn import database.py nhưng recs đã dùng pool.</t>
  </si>
  <si>
    <t>Các ghi chú rõ ràng, có dẫn chứng số đo và tài liệu (vd recency.py:9-15 dẫn HR@10/recall đo được); các chỗ lỗi thời đã nêu ở câu trên.</t>
  </si>
  <si>
    <t>Ghi chú chủ yếu giải thích lý do: AI/recs-service/app/services/sasrec.py:43-54 (vì sao chỉ tin checkpoint platform_v1), AI/shared-common/shared_common/contracts.py:81-85 (vì sao HISTORY_ACTIONS chỉ gồm xem/thêm giỏ), AI/forecast-service/app/kafka/behavior_producer.py:4-7 (vì sao đi vòng qua Kafka).</t>
  </si>
  <si>
    <t>Tên hàm mô tả đúng việc (_resolve_history, _recommend_for_history, get_trending_product_scores). Ngoại lệ: get_cross_sell_combo (AI/recs-service/app/api/endpoints/recommend.py:166) không tạo combo mà trả Popularity và bỏ qua item_ids.</t>
  </si>
  <si>
    <t>Giá trị trả về được kiểm (vd AI/recs-service/app/api/endpoints/recommend.py:89-90; AI/recs-service/app/services/sasrec.py:136-137, 145-147). Tuy vậy catalog.py trả {}/[] khi DB lỗi (AI/recs-service/app/services/catalog.py:59-61, 77-79), endpoint trả 200 rỗng nên không phân biệt "không có dữ liệu" với "DB chết".</t>
  </si>
  <si>
    <t>Consumer chỉ bắt CancelledError ở vòng ngoài (AI/forecast-service/app/kafka/behavior_consumer.py:165-166): lỗi Kafka trong `async for` làm task chết im lặng, không tự khởi động lại; commit trong finally (AI/forecast-service/app/kafka/behavior_consumer.py:163-164) nên event lỗi bị bỏ. Endpoint trả HTTPException(500, detail=str(e)) (AI/recs-service/app/api/endpoints/recommend.py:112,141,162,175) làm lộ thông báo lỗi nội bộ.</t>
  </si>
  <si>
    <t>Endpoint ingest luôn trả 200 kể cả khi publish lỗi (AI/forecast-service/app/api/endpoints/forecast.py:313-319, có chủ đích); BE/product-service/src/main/java/com/ecommerce/productservice/event/producer/ProductViewEventProducer.java:45 gọi kafkaTemplate.send() bất đồng bộ không gắn callback, lỗi broker không được log (chỉ bắt lỗi đồng bộ ở dòng 47-50).</t>
  </si>
  <si>
    <t>Bộ nhớ có chặn trên: cache popularity tối đa 100 item, Redis list LTRIM 50 + TTL 30 ngày (AI/forecast-service/app/kafka/behavior_consumer.py:207-209), hàng đợi FE tối đa 200 (FE/src/services/behaviorTracker.ts:25,151); model nạp một lần.</t>
  </si>
  <si>
    <t>Connection dùng `with engine.connect()`/`engine.begin()` (AI/recs-service/app/services/catalog.py:57,75,97; AI/forecast-service/app/kafka/behavior_consumer.py:231,266) nên trả về pool kể cả khi lỗi; Redis dùng ConnectionPool max 50 (AI/shared-common/shared_common/pool.py:32-37); consumer stop() hủy task và dừng consumer (AI/forecast-service/app/kafka/behavior_consumer.py:148-153).</t>
  </si>
  <si>
    <t>stop() kiểm None trước khi stop (AI/forecast-service/app/kafka/behavior_consumer.py:149-152); không có giải phóng hai lần.</t>
  </si>
  <si>
    <t>FastAPI chạy endpoint sync trong threadpool: SasRecService._ensure_loaded đặt _load_attempted=True trước khi nạp xong và không có lock (AI/recs-service/app/services/sasrec.py:69-72), request đồng thời lúc khởi động thấy model None và rơi về tầng sau; AI/shared-common/shared_common/pool.py:30-41 và 64-77 khởi tạo _redis_pool/_engines kiểu check-then-set không lock, có thể tạo trùng pool.</t>
  </si>
  <si>
    <t>PopularityRecService dùng threading.Lock (AI/recs-service/app/services/popularity.py:31,34); model torch chỉ đọc trong torch.no_grad() (AI/recs-service/app/services/sasrec.py:153-161), đọc đồng thời an toàn.</t>
  </si>
  <si>
    <t>Chỉ có một lock (AI/recs-service/app/services/popularity.py:34), dùng `with` nên luôn được giải phóng.</t>
  </si>
  <si>
    <t>Không có deadlock, nhưng có tranh chấp lock: popularity giữ lock trong lúc chạy truy vấn GROUP BY và truy vấn sản phẩm (AI/recs-service/app/services/popularity.py:34-48), khi cache hết hạn mọi request xếp hàng chờ; nếu DB trả rỗng thì không cache (AI/recs-service/app/services/popularity.py:46-47) nên request sau lại truy vấn trong lock.</t>
  </si>
  <si>
    <t>Các vòng for đều hữu hạn (recency.py:20-25 khử trùng, sasrec.py:158-159 loại item đã xem, behaviorTracker.ts:228 duyệt 4 mốc cuộn).</t>
  </si>
  <si>
    <t>Vòng `async for msg in consumer` (AI/forecast-service/app/kafka/behavior_consumer.py:157) chạy vô hạn có chủ đích và dừng bằng cancel; setInterval 10 s ở FE có stopBehaviorTracker (FE/src/services/behaviorTracker.ts:246,252-256).</t>
  </si>
  <si>
    <t>Không có vòng lặp lồng đáng kể.</t>
  </si>
  <si>
    <t>Logic dùng chung được tách: 3 tầng cùng gọi catalog.get_products_by_ids, key/topic tập trung ở AI/shared-common/shared_common/contracts.py. Trùng nhỏ: hai endpoint personal/public có thân giống hệt (AI/recs-service/app/api/endpoints/recommend.py:124-162).</t>
  </si>
  <si>
    <t>Consumer gọi Redis/MariaDB đồng bộ ngay trong vòng lặp asyncio (AI/forecast-service/app/kafka/behavior_consumer.py:182-187) nên chặn event loop của forecast-service (chạy chung process với FastAPI) trong mỗi lần ghi; commit offset sau từng message (AI/forecast-service/app/kafka/behavior_consumer.py:164); 3 lệnh Redis riêng lẻ không pipeline (AI/forecast-service/app/kafka/behavior_consumer.py:207-209).</t>
  </si>
  <si>
    <t>Cache popularity 5 phút là tốt, nhưng PURCHASE ghi mỗi dòng một transaction (AI/forecast-service/app/kafka/behavior_consumer.py:237-241); recs-service truy vấn thẳng DB của product-service và order-service (AI/recs-service/app/services/catalog.py:14-15), vi phạm database-per-service và phụ thuộc schema của service khác.</t>
  </si>
  <si>
    <t>top_k không có ràng buộc (AI/recs-service/app/api/endpoints/recommend.py:127,147,166; models/recommend.py:9): giá trị âm làm torch.topk lỗi (500), quá lớn tạo truy vấn IN rất dài; item_ids của cross-sell không được dùng; timestamp trong BehaviorEvent là str không kiểm định dạng (AI/forecast-service/app/models/behavior.py:25), sai định dạng vẫn trả 200 rồi consumer bỏ event. Phần đã tốt: whitelist actionType/source, weight [0, 86400], lô tối đa 200 (AI/forecast-service/app/models/behavior.py:31-55).</t>
  </si>
  <si>
    <t>Có kiểm biên: tail = idx_seq[-maxlen:], k = min(top_k, numel) (AI/recs-service/app/services/sasrec.py:150-160). Nhưng khi top_k lớn hơn số item chưa xem, topk trả cả item đã xem có điểm -inf và idx_to_item vẫn ánh xạ ra product_id (AI/recs-service/app/services/sasrec.py:163-168): kết quả gồm món đã xem với score -inf, Starlette không serialize được nên trả 500.</t>
  </si>
  <si>
    <t>Biến được gán trước khi dùng; Python không có lỗi biến chưa khai báo trong các luồng đã đọc.</t>
  </si>
  <si>
    <t>Không có hàm quá dài: dài nhất là _ensure_loaded ~55 dòng (AI/recs-service/app/services/sasrec.py:69-123) và _parse_message ~55 dòng 3 nhánh (AI/forecast-service/app/kafka/behavior_consumer.py:62-117), có thể tách theo từng topic cho gọn.</t>
  </si>
  <si>
    <t>Danh tính người dùng khi lấy gợi ý có được bảo vệ (chống đọc gợi ý của người khác) không?</t>
  </si>
  <si>
    <t>Hai route qua gateway chỉ tin X-User-Id do gateway inject (AI/recs-service/app/api/endpoints/recommend.py:132-136, 152-157), nhưng POST /api/v1/recommend vẫn nhận userId trong body (AI/recs-service/app/api/endpoints/recommend.py:99-104) và cổng 8003 được publish ra host (AI/docker-compose.yml:65): gọi thẳng service là đọc được gợi ý dựng từ lịch sử của user khác (X-User-Id tự đặt cũng vậy).</t>
  </si>
  <si>
    <t>Thứ tự sự kiện hành vi trong một phiên có được bảo toàn khi đưa vào chuỗi gợi ý không?</t>
  </si>
  <si>
    <t>BE/product-service/src/main/java/com/ecommerce/productservice/event/producer/ProductViewEventProducer.java:45 dùng key Kafka = productId nên các lượt xem của cùng một phiên rơi vào nhiều partition, còn consumer LPUSH theo thứ tự tiêu thụ chứ không theo timestamp (AI/forecast-service/app/kafka/behavior_consumer.py:207), nên chuỗi đưa vào SASRec có thể đảo thứ tự. Ngược lại AI/forecast-service/app/kafka/behavior_producer.py:56 đã dùng key = sessionId.</t>
  </si>
  <si>
    <t>Pipeline hành vi có chống trùng và chống mất sự kiện không?</t>
  </si>
  <si>
    <t>Commit trong finally (AI/forecast-service/app/kafka/behavior_consumer.py:163-164) nên lỗi DB tạm thời làm mất event; không dùng eventId, không có unique key nên redeliver sinh dòng trùng kể cả PURCHASE (AI/forecast-service/app/kafka/behavior_consumer.py:237-241); Redis được ghi trước DB (AI/forecast-service/app/kafka/behavior_consumer.py:186-187). Các giới hạn này đã được ghi trong recsys-behavior-knowledge-transfer.md mục 4.4 nhưng chưa sửa.</t>
  </si>
  <si>
    <t>Checkpoint model có được nạp an toàn không?</t>
  </si>
  <si>
    <t>torch.load(path, weights_only=False) (AI/recs-service/app/services/sasrec.py:78) unpickle toàn bộ file, có thể thực thi mã tùy ý nếu checkpoint bị thay; nên dùng weights_only=True và lưu item_id_map/eval dạng JSON. Điểm tốt: cổng đánh giá không nạp model thua baseline (AI/recs-service/app/services/sasrec.py:88-96).</t>
  </si>
  <si>
    <t>Module có test tự động không?</t>
  </si>
  <si>
    <t>recs-service có 5 file test (test_endpoints, test_popularity, test_sasrec_order, test_serving_gate, test_evaluation) và forecast-service có test_behavior_consumer_history/purchase/source; chưa có test cho ProductViewEventProducer và behaviorTracker.ts. Lần review này không chạy test.</t>
  </si>
  <si>
    <t>* Điểm mạnh:
- Thang chiến lược SASRec → Recency → Popularity rõ ràng; checkpoint phải qua cổng đánh giá mới được nạp, /health báo lý do SASRec bật/tắt.
- Hợp đồng key Redis/topic Kafka tập trung ở shared_common/contracts.py; cổng ingest validate chặt (whitelist actionType/source, weight [0, 86400], lô tối đa 200).
- Ghi chú giải thích "tại sao" kèm số đo; route qua gateway chỉ tin danh tính từ header gateway; có bộ test pytest cho recs-service và consumer.</t>
  </si>
  <si>
    <t>1. Ràng buộc top_k (Query(10, ge=1, le=50)), kiểu datetime cho timestamp trong BehaviorEvent, bỏ detail=str(e) khỏi HTTPException; chặn kết quả score -inf trong SasRecService.recommend.
2. Đổi key Kafka của product-viewed-events sang sessionId/userId để giữ thứ tự trong phiên; gắn callback log lỗi cho kafkaTemplate.send().
3. Consumer: chạy I/O đồng bộ qua asyncio.to_thread (hoặc driver async), retry + DLT thay vì commit trong finally, chống trùng theo eventId/(order_id, item_id), ghi DB trước Redis, dùng pipeline Redis, tự khởi động lại task khi vòng lặp chết.
4. Thêm threading.Lock cho khởi tạo lười SasRecService và pool.py; torch.load(weights_only=True); không giữ lock popularity khi truy vấn (stale-while-revalidate) và cache cả kết quả rỗng trong thời gian ngắn.
5. Bỏ hoặc khóa POST /api/v1/recommend (nhận userId trong body) và không publish cổng 8003; thay truy vấn trực tiếp ecommerce_product_db bằng API/read replica; cross-sell dùng item_ids hoặc đổi tên endpoint cho đúng.</t>
  </si>
  <si>
    <t>Phân hệ: PH8 – Hành vi người dùng &amp; gợi ý sản phẩm</t>
  </si>
  <si>
    <t>Khối gợi ý trang chủ</t>
  </si>
  <si>
    <t>Tab GỢI Ý CHO BẠN / XEM GẦN ĐÂY / XU HƯỚNG MUA SẮM, chiến lược X-Recs-Strategy, carousel, responsive, xử lý lỗi</t>
  </si>
  <si>
    <t>Ghi nhận hành vi (behavior tracker)</t>
  </si>
  <si>
    <t>Gom sự kiện, gửi lô POST /public/behavior/events khoảng 10 giây; impression/search/giỏ/checkout, ẩn tab, dữ liệu sai</t>
  </si>
  <si>
    <t>Gợi ý mua kèm trong giỏ hàng</t>
  </si>
  <si>
    <t>Khối "Ưu đãi mua kèm AI Combo Recommended", thêm nhanh, phụ thuộc nội dung giỏ, giỏ trống</t>
  </si>
  <si>
    <t>1. TỔNG QUAN KẾT QUẢ
- Tổng cộng 23 test case được thực hiện, trong đó 20 Pass (87%) và 3 Fail (13%), không có Pending.
- Phân loại theo nhóm: UI/UX 6, Function 13, Negative 4.
Khối gợi ý trang chủ và behavior tracker hoạt động đúng thiết kế: khách mới nhận popularity, customer nhận sasrec (header X-Recs-Strategy), lô sự kiện gửi đều 10 giây, gửi ngay khi ẩn tab, dữ liệu sai bị 422. Lỗi nằm ở đường ghi lịch sử xem (consumer Kafka) và gợi ý mua kèm trong giỏ.</t>
  </si>
  <si>
    <t>2. PHÂN TÍCH KẾT QUẢ
Nhóm UI/UX (6 test case): 100% Pass. 3 tab, trạng thái rỗng, carousel "Xem tiếp", khối gợi ý ở 375px, khối mua kèm và giỏ trống hiển thị đúng.
Nhóm Function (13 test case): 10 Pass, 3 Fail.
- Xem SP #672 nhưng tab XEM GẦN ĐÂY không cập nhật sau khoảng 30 giây (UI_PH8_FR01_006).
- "Thêm nhanh vào giỏ" báo "Đã thêm …" rồi API trả OUT_OF_STOCK, giỏ không đổi (UI_PH8_FR03_003).
- Gợi ý mua kèm giống hệt nhau cho giỏ điện thoại và giỏ laptop (UI_PH8_FR03_004, hành vi đã biết).
Nhóm Negative (4 test case): 100% Pass. Trang chủ vẫn hiển thị khi recs-service lỗi; impression không lặp khi đổi tab; actionType lạ và lô 201 sự kiện bị 422.
Ghi chú: SEARCH được gửi 2 lần do React.StrictMode ở chế độ dev, không phải lỗi bản production.</t>
  </si>
  <si>
    <t>3. PHÂN TÍCH NGUYÊN NHÂN GỐC
- forecast-service behavior_consumer dùng datetime.fromisoformat cho timestamp Java (LocalDateTime.now() có 9 chữ số phần giây, ví dụ 16:20:31.447238600). Python chỉ nhận tối đa 6 chữ số nên ném "Invalid isoformat string" và bỏ message của product-viewed-events, cart-updated-events. Lịch sử Redis (recent, đầu vào SASRec) và bảng user_events thiếu phần lớn lượt xem/giỏ.
- CartPage gọi showToast("Đã thêm …") ngay sau addToCart mà không chờ kết quả; addToCart không truyền biến thể; cross-sell trả danh sách popularity, không lọc hàng hết.</t>
  </si>
  <si>
    <t>4. MỨC ĐỘ NGHIÊM TRỌNG
- Cao (High): mất phần lớn sự kiện xem sản phẩm và giỏ hàng. Tab "Xem gần đây" và gợi ý cá nhân hóa không phản ánh hành vi mới, đồng thời làm bẩn dữ liệu train churn/recsys.
- Trung bình (Medium): toast báo thêm giỏ thành công khi thực tế thất bại; gợi ý mua kèm sản phẩm hết hàng.
- Thấp (Low): gợi ý mua kèm không phụ thuộc giỏ (đã biết, nhãn "AI Combo Recommended" gây hiểu nhầm).</t>
  </si>
  <si>
    <t>FR_01 – Khối gợi ý trang chủ</t>
  </si>
  <si>
    <t>UI_PH8_FR01_001</t>
  </si>
  <si>
    <t>Kiểm tra giao diện khối gợi ý trang chủ</t>
  </si>
  <si>
    <t>Khách vãng lai; trang /</t>
  </si>
  <si>
    <t>1. Mở trang chủ.
2. Quan sát khối gợi ý.</t>
  </si>
  <si>
    <t>Hiện 3 tab; tab "GỢI Ý CHO BẠN" mặc định có 1–10 thẻ sản phẩm kèm tên và giá.</t>
  </si>
  <si>
    <t>Bằng chứng: Số thẻ hiển thị: 10; 3 thẻ đầu: Sạc Anker Zolo 3C1A 140W kèm cáp USB-C B2697 | Laptop ASUS TUF Gaming A16 FA608UHI-TU121W | PC ASUS V501MV-03100U014W</t>
  </si>
  <si>
    <t>UI_PH8_FR01_002</t>
  </si>
  <si>
    <t>Khách mới nhận gợi ý phổ biến (cold start)</t>
  </si>
  <si>
    <t>Khách vãng lai (chưa có lịch sử)</t>
  </si>
  <si>
    <t>1. Mở trang chủ, bắt response GET /public/recommendations/personal?source=for_you.</t>
  </si>
  <si>
    <t>HTTP 200, header X-Recs-Strategy = popularity, danh sách không rỗng.</t>
  </si>
  <si>
    <t>Bằng chứng: for_you: HTTP 200, X-Recs-Strategy=popularity, 10 sản phẩm: 672,295,398</t>
  </si>
  <si>
    <t>UI_PH8_FR01_003</t>
  </si>
  <si>
    <t>Khách có lịch sử nhận gợi ý cá nhân hóa</t>
  </si>
  <si>
    <t>customer (đã có lịch sử xem/mua)</t>
  </si>
  <si>
    <t>1. Đăng nhập customer, mở trang chủ.
2. So sánh danh sách for_you với danh sách của khách vãng lai.</t>
  </si>
  <si>
    <t>X-Recs-Strategy = sasrec, danh sách khác danh sách của khách vãng lai.</t>
  </si>
  <si>
    <t>Bằng chứng: customer for_you: X-Recs-Strategy=sasrec; 32,28,19,26,34; danh sách khách vãng lai: 672,295,398,526,971; trùng=false</t>
  </si>
  <si>
    <t>UI_PH8_FR01_004</t>
  </si>
  <si>
    <t>Tab XU HƯỚNG MUA SẮM hiển thị theo dữ liệu</t>
  </si>
  <si>
    <t>Khách vãng lai</t>
  </si>
  <si>
    <t>1. Mở trang chủ.
2. Bấm "XU HƯỚNG MUA SẮM".</t>
  </si>
  <si>
    <t>Hiện đúng số thẻ và thứ tự như API source=trending (thẻ đầu trùng sản phẩm đầu).</t>
  </si>
  <si>
    <t>Bằng chứng: API trending: Sạc Anker Zolo 3C1A 140W kèm cáp USB-C B2697 | Laptop ASUS TUF Gaming A16 FA608UHI-TU121W | PC ASUS V501MV-03100U014W; UI: Sạc Anker Zolo 3C1A 140W kèm cáp USB-C B2697 | Laptop ASUS TUF Gaming A16 FA608UHI-TU121W | PC ASUS V501MV-03100U014W</t>
  </si>
  <si>
    <t>UI_PH8_FR01_005</t>
  </si>
  <si>
    <t>Trạng thái rỗng tab XEM GẦN ĐÂY</t>
  </si>
  <si>
    <t>Khách vãng lai mới</t>
  </si>
  <si>
    <t>1. Mở trang chủ.
2. Bấm "XEM GẦN ĐÂY".</t>
  </si>
  <si>
    <t>Hiện "Bạn chưa xem sản phẩm nào gần đây".</t>
  </si>
  <si>
    <t>UI_PH8_FR01_006</t>
  </si>
  <si>
    <t>Tab XEM GẦN ĐÂY cập nhật sau khi xem sản phẩm</t>
  </si>
  <si>
    <t>customer; xem SP #672 (Sạc Anker Zolo 3C1A 140W)</t>
  </si>
  <si>
    <t>1. Mở /product/672, đợi 4 giây.
2. Về trang chủ, bấm "XEM GẦN ĐÂY" (thử lại tối đa 4 lần, khoảng 30 giây).</t>
  </si>
  <si>
    <t>Sản phẩm vừa xem đứng đầu tab XEM GẦN ĐÂY.</t>
  </si>
  <si>
    <t>Sau khoảng 30 giây tab chỉ có "Samsung Galaxy S26 Ultra" (đã xem từ trước). Log ai-forecast-service: "Failed to process message from product-viewed-events: Invalid isoformat string: '2026-10-17T16:20:31.447238600'". Timestamp Java có 9 chữ số phần giây, datetime.fromisoformat của Python chỉ nhận tối đa 6, nên phần lớn sự kiện xem sản phẩm và giỏ hàng (cart-updated-events) bị bỏ, không vào Redis/user_events. Chỉ sự kiện có phần nano tròn tới micro giây mới qua được (lúc khám phá, SP #295 vào được). Bằng chứng: Đã xem #672 "Sạc Anker Zolo 3C1A 140W kèm cáp USB-C B2697"; tab XEM GẦN ĐÂY: Samsung Galaxy S26 Ultra 5G 12GB 256GB</t>
  </si>
  <si>
    <t>UI_PH8_FR01_007</t>
  </si>
  <si>
    <t>Bấm thẻ gợi ý mở trang chi tiết sản phẩm</t>
  </si>
  <si>
    <t>Khách vãng lai; thẻ đầu tab GỢI Ý CHO BẠN</t>
  </si>
  <si>
    <t>1. Bấm thẻ sản phẩm đầu tiên.</t>
  </si>
  <si>
    <t>Chuyển tới /product/{id}, tiêu đề trang trùng tên thẻ.</t>
  </si>
  <si>
    <t>Bằng chứng: Bấm "Sạc Anker Zolo 3C1A 140W kèm cáp USB-C B2697" → http://localhost:5173/product/672</t>
  </si>
  <si>
    <t>UI_PH8_FR01_008</t>
  </si>
  <si>
    <t>Nút "Xem tiếp" cuộn danh sách gợi ý</t>
  </si>
  <si>
    <t>1. Bấm nút "Xem tiếp" của carousel.</t>
  </si>
  <si>
    <t>scrollLeft của carousel tăng, hiện nút "Xem trước".</t>
  </si>
  <si>
    <t>Bằng chứng: scrollLeft 0 → 923</t>
  </si>
  <si>
    <t>UI_PH8_FR01_009</t>
  </si>
  <si>
    <t>Khối gợi ý trên màn hình 375px</t>
  </si>
  <si>
    <t>1. Đặt kích thước 375×800, mở trang chủ.
2. Đo vị trí khối gợi ý và các tab.</t>
  </si>
  <si>
    <t>Khối gợi ý và 3 tab nằm gọn trong 375px, có thẻ sản phẩm.</t>
  </si>
  <si>
    <t>Bằng chứng: Khối gợi ý x=12, rộng 351; tab đầu x=40, tab cuối kết thúc tại 335</t>
  </si>
  <si>
    <t>UI_PH8_FR01_010</t>
  </si>
  <si>
    <t>Máy chủ gợi ý lỗi, trang chủ vẫn hiển thị</t>
  </si>
  <si>
    <t>Giả lập recommendations/personal trả 500 (page.route)</t>
  </si>
  <si>
    <t>1. Chặn API gợi ý trả 500.
2. Mở trang chủ, chuyển qua các tab.</t>
  </si>
  <si>
    <t>Trang chủ vẫn hiển thị; tab hiện "Chưa có gợi ý dành cho bạn lúc này"/"Chưa có dữ liệu xu hướng"; không có lỗi JS.</t>
  </si>
  <si>
    <t>Bằng chứng: Lỗi JS chưa bắt: 0</t>
  </si>
  <si>
    <t>FR_02 – Ghi nhận hành vi (behavior tracker)</t>
  </si>
  <si>
    <t>UI_PH8_FR02_001</t>
  </si>
  <si>
    <t>Gửi lô sự kiện hành vi kèm impression</t>
  </si>
  <si>
    <t>Khách vãng lai; trang chủ</t>
  </si>
  <si>
    <t>1. Mở trang chủ, chờ request POST /public/behavior/events đầu tiên.
2. Đọc payload và phản hồi.</t>
  </si>
  <si>
    <t>Trong khoảng 10 giây có lô chứa IMPRESSION (source=for_you, itemId, sessionId); phản hồi 200 {received, accepted} bằng số sự kiện.</t>
  </si>
  <si>
    <t>Bằng chứng: Lô đầu tiên sau 10 s: 11 sự kiện (PAGE_DWELL,IMPRESSION); phản hồi (gửi lại cùng payload qua API) HTTP 200 {"received":11,"accepted":11}; IMPRESSION source=for_you</t>
  </si>
  <si>
    <t>UI_PH8_FR02_002</t>
  </si>
  <si>
    <t>Chu kỳ gửi lô khoảng 10 giây</t>
  </si>
  <si>
    <t>/category; đổi sắp xếp 12 lần, mỗi lần cách 2,5 giây</t>
  </si>
  <si>
    <t>1. Mở /category.
2. Liên tục đổi ô sắp xếp trong khoảng 30 giây.
3. Đo khoảng cách giữa các lô.</t>
  </si>
  <si>
    <t>Các lô cách nhau 8,5–11,5 giây; các SORT_APPLIED đều được gửi.</t>
  </si>
  <si>
    <t>Bằng chứng: 3 lô trong ~30 s; khoảng cách giữa các lô (s): 10, 10; tổng SORT_APPLIED: 14</t>
  </si>
  <si>
    <t>UI_PH8_FR02_003</t>
  </si>
  <si>
    <t>Sự kiện tìm kiếm được ghi nhận</t>
  </si>
  <si>
    <t>Từ khóa "iphone"</t>
  </si>
  <si>
    <t>1. Tìm "iphone" ở header.
2. Bắt lô sự kiện tiếp theo.</t>
  </si>
  <si>
    <t>Lô sự kiện có SEARCH và IMPRESSION source=search.</t>
  </si>
  <si>
    <t>SEARCH xuất hiện 2 lần do React.StrictMode chạy effect 2 lần ở chế độ dev (main.jsx); bản build production chỉ gửi 1 lần. Bằng chứng: SEARCH: 2; IMPRESSION source=search: 20; các loại: PAGE_DWELL,IMPRESSION,SEARCH,FILTER_APPLIED,SORT_APPLIED</t>
  </si>
  <si>
    <t>UI_PH8_FR02_004</t>
  </si>
  <si>
    <t>Sự kiện xem giỏ và bắt đầu thanh toán</t>
  </si>
  <si>
    <t>customer; giỏ có SP #1</t>
  </si>
  <si>
    <t>1. Mở /cart, bấm "Tiến hành thanh toán".
2. Chờ lô sự kiện.</t>
  </si>
  <si>
    <t>Có VIEW_CART và BEGIN_CHECKOUT; mọi lô có header Authorization; sessionId thống nhất.</t>
  </si>
  <si>
    <t>Bằng chứng: 1 lô; Authorization: true; loại: PAGE_DWELL,VIEW_CART,BEGIN_CHECKOUT,VIEW_SHIPPING_FEE; sessionId: dceef876-74b0-4a70-b25d-de3cf2725d66</t>
  </si>
  <si>
    <t>UI_PH8_FR02_005</t>
  </si>
  <si>
    <t>Ẩn tab trình duyệt gửi ngay sự kiện</t>
  </si>
  <si>
    <t>1. Mở trang chủ, đợi lô định kỳ đầu tiên.
2. Giả lập visibilitychange → hidden.</t>
  </si>
  <si>
    <t>Gửi ngay (không chờ 10 giây) lô có TAB_HIDDEN.</t>
  </si>
  <si>
    <t>Bằng chứng: Request sau 12 ms; sự kiện: TAB_HIDDEN,PAGE_DWELL</t>
  </si>
  <si>
    <t>UI_PH8_FR02_006</t>
  </si>
  <si>
    <t>Impression không bị lặp khi chuyển tab qua lại</t>
  </si>
  <si>
    <t>Khách vãng lai; chuyển 3 lần giữa GỢI Ý CHO BẠN và XU HƯỚNG MUA SẮM</t>
  </si>
  <si>
    <t>1. Chuyển tab qua lại 3 lần.
2. Gom các IMPRESSION đã gửi.</t>
  </si>
  <si>
    <t>Mỗi cặp (source, itemId) chỉ có 1 IMPRESSION; tab trending vẫn được ghi.</t>
  </si>
  <si>
    <t>Bằng chứng: 20 IMPRESSION; theo source: {"for_you":10,"trending":10}; trùng: 0</t>
  </si>
  <si>
    <t>UI_PH8_FR02_007</t>
  </si>
  <si>
    <t>Gửi sự kiện với loại hành động không hợp lệ</t>
  </si>
  <si>
    <t>actionType "HACK_EVENT"</t>
  </si>
  <si>
    <t>1. POST /public/behavior/events với actionType không hợp lệ.</t>
  </si>
  <si>
    <t>HTTP 422, báo actionType không hợp lệ.</t>
  </si>
  <si>
    <t>Bằng chứng: HTTP 422; {"detail":[{"type":"value_error","loc":["body","events",0,"actionType"],"msg":"Value error, actionType không hợp lệ: HACK_EVENT","input":"HACK_EVENT","ctx":{"error":{}}}]}</t>
  </si>
  <si>
    <t>UI_PH8_FR02_008</t>
  </si>
  <si>
    <t>Gửi lô vượt quá 200 sự kiện</t>
  </si>
  <si>
    <t>201 sự kiện SCROLL_DEPTH</t>
  </si>
  <si>
    <t>1. POST /public/behavior/events với 201 sự kiện.</t>
  </si>
  <si>
    <t>HTTP 422.</t>
  </si>
  <si>
    <t>Bằng chứng: HTTP 422; {"detail":[{"type":"too_long","loc":["body","events"],"msg":"List should have at most 200 items after validation, not 201","input":[{"actionType":"SCROLL_DEPTH","weight":25,"timestamp":"2026-10-17T10:</t>
  </si>
  <si>
    <t>FR_03 – Gợi ý mua kèm trong giỏ hàng</t>
  </si>
  <si>
    <t>UI_PH8_FR03_001</t>
  </si>
  <si>
    <t>Kiểm tra giao diện gợi ý mua kèm trong giỏ</t>
  </si>
  <si>
    <t>1. Mở /cart.</t>
  </si>
  <si>
    <t>Hiện "Ưu đãi mua kèm" + nhãn "AI Combo Recommended", có thẻ sản phẩm với nút "Thêm nhanh vào giỏ".</t>
  </si>
  <si>
    <t>Bằng chứng: Số thẻ mua kèm: 5</t>
  </si>
  <si>
    <t>UI_PH8_FR03_002</t>
  </si>
  <si>
    <t>Gợi ý mua kèm gửi đúng sản phẩm trong giỏ</t>
  </si>
  <si>
    <t>1. Mở /cart, bắt request GET /recommendations/cross-sell.</t>
  </si>
  <si>
    <t>item_ids = productId trong giỏ (1); kết quả không chứa chính sản phẩm đó.</t>
  </si>
  <si>
    <t>Bằng chứng: Sản phẩm trong giỏ: productId=1 (id dòng giỏ=); request item_ids=1; gợi ý: 672,295,398,526,971</t>
  </si>
  <si>
    <t>UI_PH8_FR03_003</t>
  </si>
  <si>
    <t>Thêm nhanh sản phẩm gợi ý vào giỏ</t>
  </si>
  <si>
    <t>customer; thẻ mua kèm đầu tiên</t>
  </si>
  <si>
    <t>1. Ở /cart, bấm "Thêm nhanh vào giỏ" ở thẻ đầu.
2. Kiểm tra toast và giỏ hàng.</t>
  </si>
  <si>
    <t>POST /cart 200, giỏ có 2 sản phẩm, toast "Đã thêm … vào giỏ hàng!".</t>
  </si>
  <si>
    <t>Bấm "Thêm nhanh vào giỏ" ở thẻ đầu (Sạc Anker Zolo 3C1A 140W): toast "Đã thêm … vào giỏ hàng!" hiện ngay, sau đó API trả 400 OUT_OF_STOCK "Sản phẩm này hiện chỉ còn 0 sản phẩm trong kho." và giỏ vẫn 1 sản phẩm. CartPage gọi showToast thành công mà không chờ kết quả addToCart (addToCart cũng không truyền biến thể); cross-sell (popularity) không lọc sản phẩm hết hàng. Bằng chứng: POST /cart -&gt; 400 {"code":"OUT_OF_STOCK","message":"Sản phẩm này hiện chỉ còn 0 sản phẩm trong kho.","data":null}; toast đã hiện: Đăng nhập thành công! Chào mừng hai Thanh quay trở lại. | Đã thêm Sạc Anker Zolo 3C1A 140W kèm cáp USB-C B2697 vào giỏ hàng! | Sản phẩm này hiện chỉ còn 0 sản phẩm trong kho.; giỏ sau khi thêm: 1 x1</t>
  </si>
  <si>
    <t>UI_PH8_FR03_004</t>
  </si>
  <si>
    <t>Gợi ý mua kèm thay đổi theo nội dung giỏ</t>
  </si>
  <si>
    <t>item_ids=1 (điện thoại) và item_ids=295 (laptop)</t>
  </si>
  <si>
    <t>1. Gọi cross-sell cho 2 giỏ khác loại.
2. So sánh kết quả.</t>
  </si>
  <si>
    <t>Hai giỏ khác loại nhận gợi ý khác nhau (dựa trên đồng mua/liên quan).</t>
  </si>
  <si>
    <t>Cả hai giỏ đều nhận cùng danh sách 672, 295, 398, 526, 971 (danh sách phổ biến). Cross-sell hiện chỉ là popularity fallback. Đây là hành vi đã biết (HUONG_DAN mục 13), vẫn ghi nhận vì nhãn "AI Combo Recommended" gây hiểu nhầm. Bằng chứng: Giỏ có SP #1 (điện thoại) → 672,295,398,526,971; giỏ có SP #295 (laptop) → 672,295,398,526,971</t>
  </si>
  <si>
    <t>UI_PH8_FR03_005</t>
  </si>
  <si>
    <t>Giỏ trống hiển thị gợi ý sản phẩm nổi bật</t>
  </si>
  <si>
    <t>customer; giỏ trống</t>
  </si>
  <si>
    <t>1. Xóa giỏ, mở /cart.</t>
  </si>
  <si>
    <t>Hiện "Giỏ hàng của bạn đang trống" và khối "Gợi ý sản phẩm nổi bật" có thẻ sản phẩm.</t>
  </si>
  <si>
    <t>Bằng chứng: Tiêu đề "Gợi ý sản phẩm nổi bật": 1; số thẻ: 4</t>
  </si>
  <si>
    <t>Project: TECHSTORE_2026 | Phân hệ: PH8 – Hành vi người dùng &amp; gợi ý sản phẩm | Framework: pytest 9.1 + pytest-cov 7.1 (FastAPI TestClient, monkeypatch; Python 3.10 trong image ai-recs-service / ai-forecast-service)</t>
  </si>
  <si>
    <t>pytest 9.1 + pytest-cov 7.1 (FastAPI TestClient, monkeypatch; Python 3.10 trong image ai-recs-service / ai-forecast-service)</t>
  </si>
  <si>
    <t>coverage.py 7.16 qua pytest-cov (--cov-branch), không sửa requirements</t>
  </si>
  <si>
    <t>Redis (FakeRedis) + MariaDB (engine giả/monkeypatch) + Kafka (producer giả) — không hạ tầng thật, container --network none</t>
  </si>
  <si>
    <t>Python 3.10</t>
  </si>
  <si>
    <t>AI/recs-service/tests/, AI/forecast-service/tests/</t>
  </si>
  <si>
    <t>docker run --rm --network none -v A:/Graduation-Project/AI/recs-service:/workspace/recs-service -w /workspace/recs-service ai-recs-service sh -c "pip install pytest pytest-cov httpx (wheel offline) &amp;&amp; python -m pytest -p no:cacheprovider tests/ --junitxml=... --cov=app --cov-branch --cov-report=json"  (BugCheck: python -m pytest tests/bugcheck_ph8_recs.py) ; tương tự cho forecast-service (--cov=app --cov=shared_common, BugCheck: tests/bugcheck_ph8_behavior.py)</t>
  </si>
  <si>
    <t>app/api/endpoints/recommend.py</t>
  </si>
  <si>
    <t>_recommend_for_history(), _sasrec_items(), _resolve_history(), _read_history(), các endpoint /recommend, /recommendations/personal, /cross-sell</t>
  </si>
  <si>
    <t>Thang chiến lược SASRec -&gt; Recency -&gt; Popularity, nguồn theo khối UI (for_you/recent/trending), gộp lịch sử user/session, xử lý lỗi.</t>
  </si>
  <si>
    <t>app/services/popularity.py + catalog.py</t>
  </si>
  <si>
    <t>PopularityRecService.get_popular_items(), get_trending_product_scores(), get_products_by_ids()</t>
  </si>
  <si>
    <t>Điểm phổ biến 30 ngày (VIEW + 3×ADD_TO_CART), cache 300s, không cache rỗng, lỗi DB trả rỗng.</t>
  </si>
  <si>
    <t>app/services/recency.py</t>
  </si>
  <si>
    <t>RecencyRecService.recommend()</t>
  </si>
  <si>
    <t>Khử trùng giữ lần xem mới nhất, cắt top_k, bỏ SP đã ẩn.</t>
  </si>
  <si>
    <t>app/services/sasrec.py</t>
  </si>
  <si>
    <t>SasRecService.is_ready(), _ensure_loaded()</t>
  </si>
  <si>
    <t>Chỉ nạp checkpoint platform_v1; thiếu/sai checkpoint thì tắt tầng SASRec.</t>
  </si>
  <si>
    <t>AI/forecast-service app/models/behavior.py</t>
  </si>
  <si>
    <t>BehaviorEvent, BehaviorBatchRequest (validator actionType/weight/source)</t>
  </si>
  <si>
    <t>Whitelist 14 actionType FE, weight [0, 86400], tối đa 200 event/lô, timestamp bắt buộc.</t>
  </si>
  <si>
    <t>AI/forecast-service app/api/endpoints/forecast.py + kafka/behavior_producer.py</t>
  </si>
  <si>
    <t>ingest_behavior_events(), BehaviorEventProducer.publish_batch()</t>
  </si>
  <si>
    <t>Danh tính chỉ từ X-User-Id gateway, luôn 200 khi Kafka lỗi, key partition theo session.</t>
  </si>
  <si>
    <t>Logic gợi ý nằm ở hàm chiến lược + service</t>
  </si>
  <si>
    <t>Endpoint FastAPI chỉ đọc header rồi gọi _recommend_for_history; mọi rẽ nhánh (SASRec sẵn sàng?, có lịch sử?, nguồn UI) nằm ở hàm này và các *RecService nên kiểm trực tiếp được từng tầng.</t>
  </si>
  <si>
    <t>Dựng được tình huống khó tái hiện</t>
  </si>
  <si>
    <t>Checkpoint sai item_space, SASRec gợi ý toàn SP đã ẩn, Redis chứa phần tử rác, cache hết hạn (đồng hồ giả), Kafka sập — đều dựng bằng monkeypatch trong mili-giây.</t>
  </si>
  <si>
    <t>Không gọi mạng/hạ tầng thật</t>
  </si>
  <si>
    <t>Container test chạy với --network none; Redis/MariaDB/Elasticsearch/Kafka/LLM được thay bằng fake hoặc monkeypatch, nên không ghi gì lên topic order-events/user-risk-events hay DB thật.</t>
  </si>
  <si>
    <t>AI/recs-service evaluation/*, scripts/backfill_history.py</t>
  </si>
  <si>
    <t>Pipeline đánh giá/huấn luyện offline; đã có test_evaluation.py, test_serving_gate.py sẵn (chạy cùng lệnh, PASS).</t>
  </si>
  <si>
    <t>SasRecService.recommend() (suy luận Transformer)</t>
  </si>
  <si>
    <t>Đã có test_sasrec_order.py/test_serving_gate.py sẵn kiểm thứ tự chuỗi và cổng đánh giá; PH8 chỉ kiểm phần nạp/không nạp checkpoint.</t>
  </si>
  <si>
    <t>AI/forecast-service kafka/behavior_consumer.py</t>
  </si>
  <si>
    <t>Đường ghi user_events/Redis; đã có 3 file test_behavior_* sẵn. Lỗi consumer bỏ event có timestamp sai được ghi nhận qua TC_PH8_ING_12.</t>
  </si>
  <si>
    <t>app/main.py (health)</t>
  </si>
  <si>
    <t>Chỉ trả trạng thái; không có logic nghiệp vụ.</t>
  </si>
  <si>
    <t>AI/recs-service</t>
  </si>
  <si>
    <t>82/92</t>
  </si>
  <si>
    <t>app/services/popularity.py</t>
  </si>
  <si>
    <t>31/31</t>
  </si>
  <si>
    <t>20/21</t>
  </si>
  <si>
    <t>92/98</t>
  </si>
  <si>
    <t>33/51</t>
  </si>
  <si>
    <t>app/models/recommend.py</t>
  </si>
  <si>
    <t>app/models/behavior.py</t>
  </si>
  <si>
    <t>AI/forecast-service</t>
  </si>
  <si>
    <t>app/kafka/behavior_producer.py</t>
  </si>
  <si>
    <t>24/30</t>
  </si>
  <si>
    <t>Tính gộp trên các module trong scope (liệt kê dưới; cột Class = file module Python, Package = service). Nguồn: pytest-cov --cov-branch JSON của lần chạy thật — recs-service: toàn bộ tests/ (gồm 46 test có sẵn + 25 test PH8); forecast-service: toàn bộ tests/ (gồm test PH9). File bugcheck_*.py chạy riêng, không đo coverage.</t>
  </si>
  <si>
    <t>Test có sẵn trong repo (đã chạy lại, không tính vào bảng ca bên dưới): recs-service có sẵn 5 file test (46 test: test_endpoints, test_evaluation, test_popularity, test_sasrec_order, test_serving_gate) chạy cùng lệnh: 46/46 PASS; forecast-service có sẵn 3 file test_behavior_* (18 test): 18/18 PASS. Không sửa, không tính vào danh sách case PH8.</t>
  </si>
  <si>
    <t>recommend.py</t>
  </si>
  <si>
    <t>TC_PH8_STRAT_01</t>
  </si>
  <si>
    <t>AI/recs-service/tests/test_qa_ph8_strategy.py</t>
  </si>
  <si>
    <t>_recommend_for_history()</t>
  </si>
  <si>
    <t>Ưu tiên tầng SASRec khi model sẵn sàng, chỉ trả SP còn active</t>
  </si>
  <si>
    <t>SASRec sẵn sàng (mock); catalog chỉ còn SP 50, 52 active</t>
  </si>
  <si>
    <t>history=[3,2,1], top_k=3
SASRec gợi ý 50(0.9), 51(0.8), 52(0.7)</t>
  </si>
  <si>
    <t>strategy='sasrec'; items=[50 (0.9), 52 (0.7)]; không gọi popularity</t>
  </si>
  <si>
    <t>TC_PH8_STRAT_02</t>
  </si>
  <si>
    <t>SASRec trả rỗng thì rơi xuống tầng Recency</t>
  </si>
  <si>
    <t>SASRec sẵn sàng nhưng recommend() trả []</t>
  </si>
  <si>
    <t>history=[3,2,1], top_k=10</t>
  </si>
  <si>
    <t>strategy='recency'; items theo thứ tự xem gần nhất [3,2,1]</t>
  </si>
  <si>
    <t>TC_PH8_STRAT_03</t>
  </si>
  <si>
    <t>_sasrec_items()</t>
  </si>
  <si>
    <t>SASRec gợi ý toàn SP đã ẩn -&gt; không trả rỗng mà rơi xuống Recency</t>
  </si>
  <si>
    <t>SASRec gợi ý SP 77; catalog không có SP 77</t>
  </si>
  <si>
    <t>history=[5], top_k=10</t>
  </si>
  <si>
    <t>strategy='recency'; items=[5]</t>
  </si>
  <si>
    <t>TC_PH8_STRAT_04</t>
  </si>
  <si>
    <t>Recency rỗng (lịch sử toàn SP đã ẩn) thì rơi xuống Popularity</t>
  </si>
  <si>
    <t>SASRec tắt; catalog không còn SP 8, 9</t>
  </si>
  <si>
    <t>history=[8,9], top_k=2</t>
  </si>
  <si>
    <t>strategy='popularity'; items=[900, 901]</t>
  </si>
  <si>
    <t>TC_PH8_STRAT_05</t>
  </si>
  <si>
    <t>Cold-start (chưa có lịch sử) dùng Popularity, không gọi SASRec</t>
  </si>
  <si>
    <t>SASRec báo sẵn sàng</t>
  </si>
  <si>
    <t>history=[], top_k=10</t>
  </si>
  <si>
    <t>strategy='popularity'; 3 item; SASRec.recommend không được gọi</t>
  </si>
  <si>
    <t>TC_PH8_STRAT_06</t>
  </si>
  <si>
    <t>Khối 'Gợi ý cho bạn' (for_you) dùng SASRec khi sẵn sàng</t>
  </si>
  <si>
    <t>SASRec sẵn sàng, gợi ý SP 60</t>
  </si>
  <si>
    <t>history=[1], top_k=5, source='for_you'</t>
  </si>
  <si>
    <t>strategy='sasrec'; items=[60]</t>
  </si>
  <si>
    <t>TC_PH8_STRAT_07</t>
  </si>
  <si>
    <t>for_you khi SASRec tắt: Popularity đã loại SP đã xem, lấy dư top_k+len(seen)</t>
  </si>
  <si>
    <t>SASRec tắt; popularity trả 900, 901, 902</t>
  </si>
  <si>
    <t>history=[900,901], top_k=1, source='for_you'</t>
  </si>
  <si>
    <t>strategy='popularity'; items=[902]; popularity được gọi với top_k=3</t>
  </si>
  <si>
    <t>TC_PH8_STRAT_08</t>
  </si>
  <si>
    <t>source=trending luôn là Popularity toàn cục</t>
  </si>
  <si>
    <t>Có lịch sử; SASRec bị cấm gọi (fail nếu gọi)</t>
  </si>
  <si>
    <t>history=[1,2], top_k=2, source='trending'</t>
  </si>
  <si>
    <t>strategy='popularity'; items=[900, 901]; không gọi SASRec</t>
  </si>
  <si>
    <t>sasrec.py</t>
  </si>
  <si>
    <t>TC_PH8_STRAT_09</t>
  </si>
  <si>
    <t>SasRecService.is_ready()</t>
  </si>
  <si>
    <t>Từ chối checkpoint nghiên cứu REES46 (item_space khác platform_v1) để không gợi ý sai</t>
  </si>
  <si>
    <t>File checkpoint item_space='rees46_cosmetics' trong tmp_path</t>
  </si>
  <si>
    <t>MODEL_WEIGHTS_PATH=&lt;tmp&gt;/rees46.pt</t>
  </si>
  <si>
    <t>is_ready()=False; status.reason nhắc 'platform_v1'; recommend() trả []</t>
  </si>
  <si>
    <t>TC_PH8_STRAT_10</t>
  </si>
  <si>
    <t>SasRecService._ensure_loaded()</t>
  </si>
  <si>
    <t>Không có checkpoint -&gt; SASRec tắt, chỉ thử nạp 1 lần</t>
  </si>
  <si>
    <t>Đường dẫn checkpoint không tồn tại</t>
  </si>
  <si>
    <t>MODEL_WEIGHTS_PATH=&lt;tmp&gt;/khong-co.pt rồi đổi sang đường dẫn khác</t>
  </si>
  <si>
    <t>is_ready()=False, lý do 'khong tim thay'; lần gọi 2 không nạp lại (lý do giữ nguyên)</t>
  </si>
  <si>
    <t>popularity.py</t>
  </si>
  <si>
    <t>TC_PH8_POP_01</t>
  </si>
  <si>
    <t>PopularityRecService._ranked_items()</t>
  </si>
  <si>
    <t>Popularity dùng cửa sổ 30 ngày, trọng số giỏ 3.0, pool 100</t>
  </si>
  <si>
    <t>get_trending_product_scores được spy</t>
  </si>
  <si>
    <t>get_popular_items(top_k=5)</t>
  </si>
  <si>
    <t>get_trending_product_scores(30, 100, 3.0)</t>
  </si>
  <si>
    <t>TC_PH8_POP_02</t>
  </si>
  <si>
    <t>get_trending_product_scores()</t>
  </si>
  <si>
    <t>Truy vấn điểm phổ biến: score = VIEW + 3×ADD_TO_CART, ép kiểu kết quả</t>
  </si>
  <si>
    <t>Engine giả trả 2 dòng ('12','7.0'), (5,3)</t>
  </si>
  <si>
    <t>window_days=30, limit=100, cart_weight=3.0</t>
  </si>
  <si>
    <t>[(12, 7.0), (5, 3.0)]; params {view:VIEW_PRODUCT, cart:ADD_TO_CART, w:3.0, days:30, k:100}; SQL GROUP BY item_id ORDER BY score DESC</t>
  </si>
  <si>
    <t>TC_PH8_POP_03</t>
  </si>
  <si>
    <t>get_trending_product_scores(), get_products_by_ids()</t>
  </si>
  <si>
    <t>Lỗi DB không làm sập endpoint</t>
  </si>
  <si>
    <t>get_engine trả engine ném lỗi khi connect</t>
  </si>
  <si>
    <t>get_trending_product_scores(30,100,3.0); get_products_by_ids([1,2])</t>
  </si>
  <si>
    <t>[] và {} (không ném lỗi)</t>
  </si>
  <si>
    <t>TC_PH8_POP_04</t>
  </si>
  <si>
    <t>Cache popularity hết hạn sau 300s</t>
  </si>
  <si>
    <t>Đồng hồ monotonic giả</t>
  </si>
  <si>
    <t>Gọi tại t=1000, t=1299, t=1301</t>
  </si>
  <si>
    <t>Truy vấn trending 1 lần cho 2 lần gọi đầu, lần 3 (sau 301s) truy vấn lại</t>
  </si>
  <si>
    <t>TC_PH8_POP_05</t>
  </si>
  <si>
    <t>Không cache kết quả rỗng</t>
  </si>
  <si>
    <t>user_events và sales_count đều rỗng</t>
  </si>
  <si>
    <t>get_popular_items(5) gọi 2 lần</t>
  </si>
  <si>
    <t>Cả 2 lần trả []; trending được truy vấn 2 lần</t>
  </si>
  <si>
    <t>TC_PH8_TOPK_01</t>
  </si>
  <si>
    <t>get_popular_items()</t>
  </si>
  <si>
    <t>Biên top_k của Popularity</t>
  </si>
  <si>
    <t>Có 3 SP phổ biến</t>
  </si>
  <si>
    <t>top_k=0; top_k=50</t>
  </si>
  <si>
    <t>top_k=0 -&gt; []; top_k=50 -&gt; đủ 3 SP [1,2,3]</t>
  </si>
  <si>
    <t>recency.py</t>
  </si>
  <si>
    <t>TC_PH8_TOPK_02</t>
  </si>
  <si>
    <t>Recency khử trùng, giữ lần xem mới nhất, cắt top_k, điểm giảm dần</t>
  </si>
  <si>
    <t>Catalog có mọi SP</t>
  </si>
  <si>
    <t>history (newest-first)=[7,3,7,5,3,9,1,2], top_k=4</t>
  </si>
  <si>
    <t>ids=[7,3,5,9]; score=[4,3,2,1]</t>
  </si>
  <si>
    <t>TC_PH8_TOPK_03</t>
  </si>
  <si>
    <t>GET /recommendations/personal</t>
  </si>
  <si>
    <t>Endpoint trả đúng số item top_k</t>
  </si>
  <si>
    <t>Redis giả: user:u-1:history = [5,4,3,2,1]</t>
  </si>
  <si>
    <t>X-User-Id=u-1, top_k=2</t>
  </si>
  <si>
    <t>HTTP 200; ids=[5,4]</t>
  </si>
  <si>
    <t>TC_PH8_TOPK_04</t>
  </si>
  <si>
    <t>AI/recs-service/tests/bugcheck_ph8_recs.py</t>
  </si>
  <si>
    <t>Redis giả: lịch sử u-1 = [4,3,2,1]</t>
  </si>
  <si>
    <t>X-User-Id=u-1, top_k=-1</t>
  </si>
  <si>
    <t>HTTP 422 (top_k phải &gt;= 1)</t>
  </si>
  <si>
    <t>TC_PH8_HIST_01</t>
  </si>
  <si>
    <t>_resolve_history()</t>
  </si>
  <si>
    <t>Ưu tiên lịch sử user hơn lịch sử phiên</t>
  </si>
  <si>
    <t>Redis giả: user:u-1 = [11,10]; session:s-1 = [99]</t>
  </si>
  <si>
    <t>user_id=u-1, session_id=s-1</t>
  </si>
  <si>
    <t>[11, 10]</t>
  </si>
  <si>
    <t>TC_PH8_HIST_02</t>
  </si>
  <si>
    <t>Khách vừa đăng nhập: lịch sử user rỗng thì dùng lịch sử phiên</t>
  </si>
  <si>
    <t>Redis giả: session:s-1 = [98,99]</t>
  </si>
  <si>
    <t>user_id=u-new, session_id=s-1</t>
  </si>
  <si>
    <t>[98, 99]</t>
  </si>
  <si>
    <t>TC_PH8_HIST_03</t>
  </si>
  <si>
    <t>Không có danh tính thì không đọc key 'user:None'</t>
  </si>
  <si>
    <t>Redis giả có key user:None:history và session:None:history</t>
  </si>
  <si>
    <t>user_id=None, session_id=None</t>
  </si>
  <si>
    <t>TC_PH8_HIST_04</t>
  </si>
  <si>
    <t>_read_history()</t>
  </si>
  <si>
    <t>Bỏ phần tử rác và chỉ đọc tối đa HISTORY_MAX_LEN=50</t>
  </si>
  <si>
    <t>List Redis 61 phần tử (60 số + 'abc' ở vị trí 2)</t>
  </si>
  <si>
    <t>key='k'</t>
  </si>
  <si>
    <t>49 số (50 phần tử đầu trừ 'abc'); phần tử đầu = 59</t>
  </si>
  <si>
    <t>TC_PH8_API_01</t>
  </si>
  <si>
    <t>POST /recommend</t>
  </si>
  <si>
    <t>Validate request gợi ý</t>
  </si>
  <si>
    <t>body {userId:'u-1'} (thiếu sessionId)</t>
  </si>
  <si>
    <t>TC_PH8_API_02</t>
  </si>
  <si>
    <t>Redis lỗi -&gt; 500, không trả dữ liệu bịa</t>
  </si>
  <si>
    <t>get_pooled_redis_client ném ConnectionError</t>
  </si>
  <si>
    <t>body {userId:'u-1', sessionId:'s'}</t>
  </si>
  <si>
    <t>HTTP 500, detail chứa 'redis down'</t>
  </si>
  <si>
    <t>TC_PH8_API_03</t>
  </si>
  <si>
    <t>GET /recommendations/cross-sell</t>
  </si>
  <si>
    <t>Cross-sell rơi về Popularity (chưa có co-occurrence thật)</t>
  </si>
  <si>
    <t>Popularity trả 900, 901, 902</t>
  </si>
  <si>
    <t>item_ids=1,2&amp;top_k=2; rồi không có item_ids</t>
  </si>
  <si>
    <t>HTTP 200 ids=[900, 901]; thiếu item_ids -&gt; 422</t>
  </si>
  <si>
    <t>behavior.py</t>
  </si>
  <si>
    <t>TC_PH8_ING_01</t>
  </si>
  <si>
    <t>AI/forecast-service/tests/test_qa_ph8_behavior_ingest.py</t>
  </si>
  <si>
    <t>BehaviorBatchRequest</t>
  </si>
  <si>
    <t>Toàn bộ 14 actionType trong whitelist FE hợp lệ</t>
  </si>
  <si>
    <t>14 event, mỗi event 1 actionType trong FE_BEHAVIOR_ACTIONS</t>
  </si>
  <si>
    <t>Hợp lệ, 14 event</t>
  </si>
  <si>
    <t>TC_PH8_ING_02</t>
  </si>
  <si>
    <t>BehaviorEvent._known_action()</t>
  </si>
  <si>
    <t>Từ chối actionType ngoài whitelist</t>
  </si>
  <si>
    <t>actionType ∈ {VIEW_PRODUCT, PURCHASE, view_cart, DROP_TABLE}</t>
  </si>
  <si>
    <t>ValidationError cho cả 4 giá trị</t>
  </si>
  <si>
    <t>CheckDB: không (hàm thuần, không I/O)
Rollback: không cần
Tham số hoá: 4 bộ dữ liệu (tất cả PASS)</t>
  </si>
  <si>
    <t>TC_PH8_ING_03</t>
  </si>
  <si>
    <t>BehaviorEvent._sane_weight()</t>
  </si>
  <si>
    <t>Biên weight [0, 86400]</t>
  </si>
  <si>
    <t>weight ∈ {0, 86400, None, -0.01, 86400.01}</t>
  </si>
  <si>
    <t>0/86400/None hợp lệ; -0.01 và 86400.01 bị từ chối</t>
  </si>
  <si>
    <t>CheckDB: không (hàm thuần, không I/O)
Rollback: không cần
Tham số hoá: 5 bộ dữ liệu (tất cả PASS)</t>
  </si>
  <si>
    <t>TC_PH8_ING_04</t>
  </si>
  <si>
    <t>Giới hạn lô tối đa 200 event</t>
  </si>
  <si>
    <t>Lô 200 event; lô 201 event</t>
  </si>
  <si>
    <t>200 hợp lệ; 201 -&gt; ValidationError</t>
  </si>
  <si>
    <t>TC_PH8_ING_05</t>
  </si>
  <si>
    <t>BehaviorEvent</t>
  </si>
  <si>
    <t>timestamp là bắt buộc</t>
  </si>
  <si>
    <t>Event SCROLL_DEPTH không có timestamp</t>
  </si>
  <si>
    <t>ValidationError</t>
  </si>
  <si>
    <t>forecast.py</t>
  </si>
  <si>
    <t>TC_PH8_ING_06</t>
  </si>
  <si>
    <t>POST /public/behavior/events</t>
  </si>
  <si>
    <t>userId chỉ lấy từ X-User-Id của gateway, bỏ qua userId client tự gửi</t>
  </si>
  <si>
    <t>Producer Kafka giả</t>
  </si>
  <si>
    <t>X-User-Id=u-real; body 2 event, event 1 có userId='nguoi-khac'</t>
  </si>
  <si>
    <t>HTTP 200 {received:2, accepted:2}; cả 2 event publish với userId='u-real'</t>
  </si>
  <si>
    <t>CheckDB: không (producer Kafka giả, không gửi lên topic thật)
Rollback: không cần</t>
  </si>
  <si>
    <t>TC_PH8_ING_07</t>
  </si>
  <si>
    <t>Khách chưa đăng nhập vẫn được ghi nhận</t>
  </si>
  <si>
    <t>Không header; IMPRESSION itemId=5, source='for_you', sessionId=s-1</t>
  </si>
  <si>
    <t>HTTP 200; userId=None, giữ sessionId/source/timestamp gốc</t>
  </si>
  <si>
    <t>TC_PH8_ING_08</t>
  </si>
  <si>
    <t>1 event sai làm cả lô bị từ chối</t>
  </si>
  <si>
    <t>Lô [SCROLL_DEPTH hợp lệ, actionType='HACK']</t>
  </si>
  <si>
    <t>HTTP 422; không publish event nào</t>
  </si>
  <si>
    <t>TC_PH8_ING_09</t>
  </si>
  <si>
    <t>Kafka lỗi không làm FE báo lỗi</t>
  </si>
  <si>
    <t>publish_batch ném RuntimeError('kafka down')</t>
  </si>
  <si>
    <t>Lô 2 event hợp lệ</t>
  </si>
  <si>
    <t>HTTP 200 {received:2, accepted:0}</t>
  </si>
  <si>
    <t>behavior_producer.py</t>
  </si>
  <si>
    <t>TC_PH8_ING_10</t>
  </si>
  <si>
    <t>BehaviorEventProducer.publish_batch()</t>
  </si>
  <si>
    <t>Key partition theo phiên để giữ thứ tự, payload đủ trường</t>
  </si>
  <si>
    <t>AIOKafkaProducer giả ghi lại lệnh send</t>
  </si>
  <si>
    <t>3 event: (sessionId=s-9,userId=u-1), (None,u-1), (None,None)</t>
  </si>
  <si>
    <t>Trả 3; topic user-behavior-events; key = b's-9', b'u-1', b'anonymous'; payload có eventId, eventType='UserBehaviorEvent'</t>
  </si>
  <si>
    <t>TC_PH8_ING_11</t>
  </si>
  <si>
    <t>Producer chưa start thì bỏ lô an toàn</t>
  </si>
  <si>
    <t>Producer chưa start()</t>
  </si>
  <si>
    <t>1 event</t>
  </si>
  <si>
    <t>Trả 0, không ném lỗi</t>
  </si>
  <si>
    <t>TC_PH8_ING_12</t>
  </si>
  <si>
    <t>AI/forecast-service/tests/bugcheck_ph8_behavior.py</t>
  </si>
  <si>
    <t>timestamp không phải ISO-8601 phải bị từ chối ngay ở endpoint</t>
  </si>
  <si>
    <t>PAGE_DWELL, weight=12, timestamp='hôm qua lúc 3h'</t>
  </si>
  <si>
    <t>ValidationError (422)</t>
  </si>
  <si>
    <t>TC_PH8_ING_13</t>
  </si>
  <si>
    <t>weight=NaN phải bị từ chối</t>
  </si>
  <si>
    <t>PAGE_DWELL, weight=NaN</t>
  </si>
  <si>
    <t>ValidationError (NaN không thuộc [0, 86400])</t>
  </si>
  <si>
    <t>top_k của /recommendations/personal (và /public/..., /recommend, cross-sell) không có ràng buộc &gt;= 1: top_k=-1 trả HTTP 200 với n-1 item do cắt list kiểu Python ([:-1]) thay vì 422.</t>
  </si>
  <si>
    <t>AI/recs-service/app/api/endpoints/recommend.py:127 và :147 (top_k: int = 10, không Query(ge=1)); app/models/recommend.py (top_k: int = 10)</t>
  </si>
  <si>
    <t>BehaviorEvent.timestamp là str tự do: endpoint trả accepted cho timestamp không phải ISO, rồi consumer datetime.fromisoformat() ném lỗi và LẶNG LẼ bỏ event (chỉ log) -&gt; mất dữ liệu hành vi mà FE tưởng đã ghi.</t>
  </si>
  <si>
    <t>AI/forecast-service/app/models/behavior.py:25; app/kafka/behavior_consumer.py:123 và :162</t>
  </si>
  <si>
    <t>Validator weight dùng `v &lt; 0 or v &gt; 86400` — NaN làm cả hai so sánh False nên weight=NaN lọt qua, làm hỏng mọi thống kê tính trên cột user_events.weight.</t>
  </si>
  <si>
    <t>AI/forecast-service/app/models/behavior.py:49</t>
  </si>
  <si>
    <t>NHÓM: THU THẬP HÀNH VI</t>
  </si>
  <si>
    <t>API_PH8_001</t>
  </si>
  <si>
    <t>/api/v1/public/behavior/events</t>
  </si>
  <si>
    <t>Gửi lô sự kiện hành vi hợp lệ</t>
  </si>
  <si>
    <t>{"events":[{"actionType":"SEARCH","timestamp":"2026-10-17T10:00:00Z","sessionId":"qa-sess","source":"search"},{"actionType":"PAGE_DWELL","timestamp":"2026-10-17T10:00:05Z","itemId":{{pid}},"weight":12.5,"sessionId":"qa-sess"}]}</t>
  </si>
  <si>
    <t>HTTP 200; received=2</t>
  </si>
  <si>
    <t>HTTP 200  (95 ms)
{"received": 2, "accepted": 2}</t>
  </si>
  <si>
    <t>API_PH8_002</t>
  </si>
  <si>
    <t>Từ chối actionType không hợp lệ</t>
  </si>
  <si>
    <t>{
 "events": [
  {
   "actionType": "HACK",
   "timestamp": "2026-10-17T10:00:00Z"
  }
 ]
}</t>
  </si>
  <si>
    <t>HTTP 422  (15 ms)
{"detail": [{"type": "value_error", "loc": ["body", "events", 0, "actionType"], "msg": "Value error, actionType không hợp lệ: HACK", "input": "HACK", "ctx": {"error": {}}}]}</t>
  </si>
  <si>
    <t>API_PH8_003</t>
  </si>
  <si>
    <t>Từ chối weight ngoài khoảng [0, 86400]</t>
  </si>
  <si>
    <t>{
 "events": [
  {
   "actionType": "PAGE_DWELL",
   "timestamp": "2026-10-17T10:00:00Z",
   "weight": 999999
  }
 ]
}</t>
  </si>
  <si>
    <t>HTTP 422  (13 ms)
{"detail": [{"type": "value_error", "loc": ["body", "events", 0, "weight"], "msg": "Value error, weight phải trong [0, 86400]", "input": 999999, "ctx": {"error": {}}}]}</t>
  </si>
  <si>
    <t>API_PH8_004</t>
  </si>
  <si>
    <t>Từ chối lô quá 200 sự kiện</t>
  </si>
  <si>
    <t>{
 "events":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"actionType": "IMPRESSION",
   "timestamp": "2026-10-17T10:00:00Z"
  }
 ]
}</t>
  </si>
  <si>
    <t>HTTP 422  (16 ms)
{"detail":[{"type":"too_long","loc":["body","events"],"msg":"List should have at most 200 items after validation, not 201","input":[{"actionType":"IMPRESSION","timestamp":"2026-10-17T10:00:00Z"},{"act</t>
  </si>
  <si>
    <t>API_PH8_005</t>
  </si>
  <si>
    <t>Từ chối sự kiện thiếu timestamp</t>
  </si>
  <si>
    <t>{
 "events": [
  {
   "actionType": "SEARCH"
  }
 ]
}</t>
  </si>
  <si>
    <t>HTTP 422  (13 ms)
{"detail": [{"type": "missing", "loc": ["body", "events", 0, "timestamp"], "msg": "Field required", "input": {"actionType": "SEARCH"}}]}</t>
  </si>
  <si>
    <t>NHÓM: GỢI Ý</t>
  </si>
  <si>
    <t>API_PH8_006</t>
  </si>
  <si>
    <t>/api/v1/recommendations/personal?top_k=5</t>
  </si>
  <si>
    <t>Gợi ý cá nhân hóa (đăng nhập) kèm header chiến lược</t>
  </si>
  <si>
    <t>HTTP 200; danh sách; header X-Recs-Strategy</t>
  </si>
  <si>
    <t>HTTP 200  (210 ms)
[{"id":"32","name":"Samsung Galaxy A07 5G 4GB 128GB","price":4390000.0,"oldPrice":5090000.0,"image":"https://pub-f64bad62c3d044a58fab476ee6ae01c1.r2.dev/products/dien-thoai-samsung-galaxy-a07-5g/main-</t>
  </si>
  <si>
    <t>API_PH8_007</t>
  </si>
  <si>
    <t>/api/v1/public/recommendations/personal?top_k=5&amp;source=trending</t>
  </si>
  <si>
    <t>Gợi ý công khai cho khách vãng lai</t>
  </si>
  <si>
    <t>Không (public)
X-Session-Id: qa-guest-session</t>
  </si>
  <si>
    <t>HTTP 200; danh sách xu hướng không rỗng</t>
  </si>
  <si>
    <t>HTTP 200  (62 ms)
[{"id":"672","name":"Sạc Anker Zolo 3C1A 140W kèm cáp USB-C B2697","price":1190000.0,"oldPrice":1700000.0,"image":"https://pub-f64bad62c3d044a58fab476ee6ae01c1.r2.dev/products/sac-anker-zolo-b2697-3c1</t>
  </si>
  <si>
    <t>API_PH8_008</t>
  </si>
  <si>
    <t>/api/v1/public/recommendations/personal?source=abc</t>
  </si>
  <si>
    <t>Từ chối source không hợp lệ</t>
  </si>
  <si>
    <t>HTTP 422  (24 ms)
{"detail": [{"type": "literal_error", "loc": ["query", "source"], "msg": "Input should be 'auto', 'for_you', 'recent' or 'trending'", "input": "abc", "ctx": {"expected": "'auto', 'for_you', 'recent' or 'trending'"}}]}</t>
  </si>
  <si>
    <t>API_PH8_009</t>
  </si>
  <si>
    <t>/api/v1/recommendations/cross-sell</t>
  </si>
  <si>
    <t>Gợi ý mua kèm thiếu item_ids trả 422</t>
  </si>
  <si>
    <t>HTTP 422  (32 ms)
{"detail": [{"type": "missing", "loc": ["query", "item_ids"], "msg": "Field required", "input": null}]}</t>
  </si>
  <si>
    <t>API_PH8_010</t>
  </si>
  <si>
    <t>/api/v1/recommendations/cross-sell?item_ids={{pid}}&amp;top_k=5</t>
  </si>
  <si>
    <t>Gợi ý mua kèm không chứa chính sản phẩm trong giỏ</t>
  </si>
  <si>
    <t>HTTP 200; danh sách không chứa sản phẩm đầu vào</t>
  </si>
  <si>
    <t>HTTP 200  (16 ms)
[{"id":"672","name":"Sạc Anker Zolo 3C1A 140W kèm cáp USB-C B2697","price":1190000.0,"oldPrice":1700000.0,"image":"https://pub-f64bad62c3d044a58fab476ee6ae01c1.r2.dev/products/sac-anker-zolo-b2697-3c1</t>
  </si>
  <si>
    <t>API_PH8_011</t>
  </si>
  <si>
    <t>Xem sản phẩm với X-Track-View được chấp nhận</t>
  </si>
  <si>
    <t>Không (public)
X-Track-View: 1
X-Session-Id: qa-track-session</t>
  </si>
  <si>
    <t>HTTP 200 (phát sự kiện VIEW lên Kafka)</t>
  </si>
  <si>
    <t>HTTP 200  (27 ms)
{"code":"SUCCESS","message":"Success","data":{"id":1,"name":"Samsung Galaxy S26 Ultra 5G 12GB 256GB","slug":"dien-thoai-samsung-galaxy-s26-ultra","description":"Đặc điểm nổi bật của Samsung Galaxy S26</t>
  </si>
  <si>
    <t>pytest 9.1 + pytest-cov 7.1 (FastAPI TestClient, monkeypatch; Python 3.10 trong image ai-recs-service / ai-forecast-service), Playwright 1.64</t>
  </si>
  <si>
    <t>npx playwright test ui/PH8.spec.ts</t>
  </si>
  <si>
    <t>test_qa_ph8_strategy.py</t>
  </si>
  <si>
    <t>assert strategy == "sasrec"
assert [(x["id"], x["score"]) for x in items] == [("50", 0.9), ("52", 0.7)]
assert ladder.calls == []  # không chạm tới popularity
assert strategy == "recency"
assert [x["id"] for x in items] == ["3", "2", "1"]</t>
  </si>
  <si>
    <t>assert strategy == "recency"
assert [x["id"] for x in items] == ["3", "2", "1"]
assert strategy == "recency"
assert [x["id"] for x in items] == ["5"]
assert strategy == "popularity"</t>
  </si>
  <si>
    <t>assert strategy == "recency"
assert [x["id"] for x in items] == ["5"]
assert strategy == "popularity"
assert [x["id"] for x in items] == ["900", "901"]
assert strategy == "popularity"</t>
  </si>
  <si>
    <t>assert strategy == "popularity"
assert [x["id"] for x in items] == ["900", "901"]
assert strategy == "popularity"
assert len(items) == 3
assert "rec" not in called</t>
  </si>
  <si>
    <t>assert strategy == "popularity"
assert len(items) == 3
assert "rec" not in called
assert strategy == "sasrec" and [x["id"] for x in items] == ["60"]
assert strategy == "popularity"</t>
  </si>
  <si>
    <t>assert strategy == "sasrec" and [x["id"] for x in items] == ["60"]
assert strategy == "popularity"
assert [x["id"] for x in items] == ["902"]
assert ladder.calls[-1][1] == {"top_k": 3}  # 1 + 2 item đã xem
assert strategy == "popularity" and [x["id"] for x in items] == ["900", "901"]</t>
  </si>
  <si>
    <t>assert strategy == "popularity"
assert [x["id"] for x in items] == ["902"]
assert ladder.calls[-1][1] == {"top_k": 3}  # 1 + 2 item đã xem
assert strategy == "popularity" and [x["id"] for x in items] == ["900", "901"]
assert svc.is_ready() is False</t>
  </si>
  <si>
    <t>assert strategy == "popularity" and [x["id"] for x in items] == ["900", "901"]
assert svc.is_ready() is False
assert "platform_v1" in svc.status["reason"]
assert svc.recommend([1, 2], top_k=5) == []
assert svc.is_ready() is False</t>
  </si>
  <si>
    <t>assert svc.is_ready() is False
assert "platform_v1" in svc.status["reason"]
assert svc.recommend([1, 2], top_k=5) == []
assert svc.is_ready() is False
assert "khong tim thay" in svc.status["reason"]</t>
  </si>
  <si>
    <t>assert svc.is_ready() is False
assert "khong tim thay" in svc.status["reason"]
assert "khong-co.pt" in svc.status["reason"]  # lần 2 không nạp lại
assert spy.calls[0][0] == (30, 100, 3.0)
assert out == [(12, 7.0), (5, 3.0)]</t>
  </si>
  <si>
    <t>assert spy.calls[0][0] == (30, 100, 3.0)
assert out == [(12, 7.0), (5, 3.0)]
assert captured["params"] == {"view": "VIEW_PRODUCT", "cart": "ADD_TO_CART", "w": 3.0, "days": 30, "k": 100}
assert "GROUP BY item_id ORDER BY score DESC" in captured["sql"]
assert catalog_module.get_trending_product_scores(30, 100, 3.0) == []</t>
  </si>
  <si>
    <t>assert out == [(12, 7.0), (5, 3.0)]
assert captured["params"] == {"view": "VIEW_PRODUCT", "cart": "ADD_TO_CART", "w": 3.0, "days": 30, "k": 100}
assert "GROUP BY item_id ORDER BY score DESC" in captured["sql"]
assert catalog_module.get_trending_product_scores(30, 100, 3.0) == []
assert catalog_module.get_products_by_ids([1, 2]) == {}</t>
  </si>
  <si>
    <t>assert catalog_module.get_trending_product_scores(30, 100, 3.0) == []
assert catalog_module.get_products_by_ids([1, 2]) == {}
assert len(spy.calls) == 1
assert len(spy.calls) == 2
assert svc.get_popular_items(5) == []</t>
  </si>
  <si>
    <t>assert len(spy.calls) == 1
assert len(spy.calls) == 2
assert svc.get_popular_items(5) == []
assert svc.get_popular_items(5) == []
assert len(spy.calls) == 2</t>
  </si>
  <si>
    <t>assert svc.get_popular_items(5) == []
assert svc.get_popular_items(5) == []
assert len(spy.calls) == 2
assert svc.get_popular_items(top_k=0) == []
assert [x["id"] for x in svc.get_popular_items(top_k=50)] == ["1", "2", "3"]</t>
  </si>
  <si>
    <t>assert svc.get_popular_items(top_k=0) == []
assert [x["id"] for x in svc.get_popular_items(top_k=50)] == ["1", "2", "3"]
assert [x["id"] for x in items] == ["7", "3", "5", "9"]
assert [x["score"] for x in items] == [4.0, 3.0, 2.0, 1.0]
assert r.status_code == 200</t>
  </si>
  <si>
    <t>assert [x["id"] for x in items] == ["7", "3", "5", "9"]
assert [x["score"] for x in items] == [4.0, 3.0, 2.0, 1.0]
assert r.status_code == 200
assert [x["id"] for x in r.json()] == ["5", "4"]
assert rec._resolve_history("u-1", "s-1") == [11, 10]</t>
  </si>
  <si>
    <t>assert r.status_code == 200
assert [x["id"] for x in r.json()] == ["5", "4"]
assert rec._resolve_history("u-1", "s-1") == [11, 10]
assert rec._resolve_history("u-new", "s-1") == [98, 99]
assert rec._resolve_history(None, None) == []</t>
  </si>
  <si>
    <t>bugcheck_ph8_recs.py</t>
  </si>
  <si>
    <t>assert r.status_code == 422, f"status={r.status_code}, body={r.json()}"</t>
  </si>
  <si>
    <t>assert rec._resolve_history("u-1", "s-1") == [11, 10]
assert rec._resolve_history("u-new", "s-1") == [98, 99]
assert rec._resolve_history(None, None) == []
assert "abc" not in out and len(out) == HISTORY_MAX_LEN - 1  # 50 phần tử đầu, 1 phần tử rác bị bỏ
assert out[0] == 59</t>
  </si>
  <si>
    <t>assert rec._resolve_history("u-new", "s-1") == [98, 99]
assert rec._resolve_history(None, None) == []
assert "abc" not in out and len(out) == HISTORY_MAX_LEN - 1  # 50 phần tử đầu, 1 phần tử rác bị bỏ
assert out[0] == 59
assert r.status_code == 422</t>
  </si>
  <si>
    <t>assert rec._resolve_history(None, None) == []
assert "abc" not in out and len(out) == HISTORY_MAX_LEN - 1  # 50 phần tử đầu, 1 phần tử rác bị bỏ
assert out[0] == 59
assert r.status_code == 422
assert r.status_code == 500</t>
  </si>
  <si>
    <t>assert "abc" not in out and len(out) == HISTORY_MAX_LEN - 1  # 50 phần tử đầu, 1 phần tử rác bị bỏ
assert out[0] == 59
assert r.status_code == 422
assert r.status_code == 500
assert "redis down" in r.json()["detail"]</t>
  </si>
  <si>
    <t>assert r.status_code == 422
assert r.status_code == 500
assert "redis down" in r.json()["detail"]
assert r.status_code == 200 and [x["id"] for x in r.json()] == ["900", "901"]
assert client.get("/api/v1/recommendations/cross-sell").status_code == 422</t>
  </si>
  <si>
    <t>assert r.status_code == 500
assert "redis down" in r.json()["detail"]
assert r.status_code == 200 and [x["id"] for x in r.json()] == ["900", "901"]
assert client.get("/api/v1/recommendations/cross-sell").status_code == 422</t>
  </si>
  <si>
    <t>assert r.status_code == 200 and [x["id"] for x in r.json()] == ["900", "901"]
assert client.get("/api/v1/recommendations/cross-sell").status_code == 422</t>
  </si>
  <si>
    <t>test_qa_ph8_behavior_ingest.py</t>
  </si>
  <si>
    <t>assert len(req.events) == len(FE_BEHAVIOR_ACTIONS) == 14
with pytest.raises(ValidationError):
assert BehaviorEvent(**_ev(weight=weight)).weight == weight
with pytest.raises(ValidationError):
assert MAX_BATCH_SIZE == 200</t>
  </si>
  <si>
    <t>with pytest.raises(ValidationError):
assert BehaviorEvent(**_ev(weight=weight)).weight == weight
with pytest.raises(ValidationError):
assert MAX_BATCH_SIZE == 200
assert len(BehaviorBatchRequest(events=[_ev()] * 200).events) == 200</t>
  </si>
  <si>
    <t>assert BehaviorEvent(**_ev(weight=weight)).weight == weight
with pytest.raises(ValidationError):
assert MAX_BATCH_SIZE == 200
assert len(BehaviorBatchRequest(events=[_ev()] * 200).events) == 200
with pytest.raises(ValidationError):</t>
  </si>
  <si>
    <t>assert MAX_BATCH_SIZE == 200
assert len(BehaviorBatchRequest(events=[_ev()] * 200).events) == 200
with pytest.raises(ValidationError):
with pytest.raises(ValidationError):
assert r.status_code == 200</t>
  </si>
  <si>
    <t>with pytest.raises(ValidationError):
assert r.status_code == 200
assert r.json() == {"received": 2, "accepted": 2}
assert [e["userId"] for e in published] == ["u-real", "u-real"]
assert published[1]["actionType"] == "VIEW_CART"</t>
  </si>
  <si>
    <t>assert r.status_code == 200
assert r.json() == {"received": 2, "accepted": 2}
assert [e["userId"] for e in published] == ["u-real", "u-real"]
assert published[1]["actionType"] == "VIEW_CART"
assert r.status_code == 200</t>
  </si>
  <si>
    <t>assert r.status_code == 200
assert e["userId"] is None and e["sessionId"] == "s-1" and e["source"] == "for_you" and e["timestamp"] == TS
assert r.status_code == 422
assert published == []
assert r.status_code == 200 and r.json() == {"received": 2, "accepted": 0}</t>
  </si>
  <si>
    <t>assert r.status_code == 422
assert published == []
assert r.status_code == 200 and r.json() == {"received": 2, "accepted": 0}
assert n == 3
assert [s[2] for s in p._producer.sent] == [b"s-9", b"u-1", b"anonymous"]</t>
  </si>
  <si>
    <t>assert r.status_code == 200 and r.json() == {"received": 2, "accepted": 0}
assert n == 3
assert [s[2] for s in p._producer.sent] == [b"s-9", b"u-1", b"anonymous"]
assert all(s[0] == TOPIC_USER_BEHAVIOR for s in p._producer.sent)
assert p._producer.sent[0][1]["eventType"] == "UserBehaviorEvent" and p._producer.sent[0][1]["eventId"]</t>
  </si>
  <si>
    <t>assert n == 3
assert [s[2] for s in p._producer.sent] == [b"s-9", b"u-1", b"anonymous"]
assert all(s[0] == TOPIC_USER_BEHAVIOR for s in p._producer.sent)
assert p._producer.sent[0][1]["eventType"] == "UserBehaviorEvent" and p._producer.sent[0][1]["eventId"]
assert asyncio.run(BehaviorEventProducer().publish_batch([{"sessionId": "s"}])) == 0</t>
  </si>
  <si>
    <t>assert asyncio.run(BehaviorEventProducer().publish_batch([{"sessionId": "s"}])) == 0</t>
  </si>
  <si>
    <t>bugcheck_ph8_behavior.py</t>
  </si>
  <si>
    <t>with pytest.raises(ValidationError):
with pytest.raises(ValidationError):</t>
  </si>
  <si>
    <t>with pytest.raises(ValidationError):</t>
  </si>
  <si>
    <t>pm.test('HTTP status ∈ ' + __exp.join('/'), () =&gt; pm.expect(__exp).to.include(pm.response.code));
pm.test('received = 2', () =&gt; pm.expect(j.received).to.eql(2));</t>
  </si>
  <si>
    <t>pm.test('HTTP status ∈ ' + __exp.join('/'), () =&gt; pm.expect(__exp).to.include(pm.response.code));
pm.test('Là danh sách', () =&gt; pm.expect(j).to.be.an('array'));
pm.test('Có header X-Recs-Strategy', () =&gt; pm.expect(pm.response.headers.get('X-Recs-Strategy')).to.be.a('string'));</t>
  </si>
  <si>
    <t>pm.test('HTTP status ∈ ' + __exp.join('/'), () =&gt; pm.expect(__exp).to.include(pm.response.code));
pm.test('Có sản phẩm', () =&gt; pm.expect(j.length).to.be.above(0));</t>
  </si>
  <si>
    <t>pm.test('HTTP status ∈ ' + __exp.join('/'), () =&gt; pm.expect(__exp).to.include(pm.response.code));
pm.test('Không chứa item đầu vào', () =&gt; pm.expect(j.map(p =&gt; p.id)).to.not.include(Number(pm.environment.get('pid'))));</t>
  </si>
  <si>
    <t>ui/PH8.spec.ts</t>
  </si>
  <si>
    <t>KIỂM THỬ HIỆU NĂNG - PHÂN HỆ HÀNH VI NGƯỜI DÙNG &amp; GỢI Ý SẢN PHẨM</t>
  </si>
  <si>
    <t>http://localhost:8003 (recs-service), http://localhost:8004 (behavior ingest)</t>
  </si>
  <si>
    <t>Load Test: GET /api/v1/public/recommendations/personal?source=trending, GET /api/v1/recommendations/personal</t>
  </si>
  <si>
    <t>Load Test: POST /api/v1/public/behavior/events</t>
  </si>
  <si>
    <t>POST /api/v1/recommend</t>
  </si>
  <si>
    <t>Không qua gateway (chỉ cổng trực tiếp).</t>
  </si>
  <si>
    <t>GET /api/v1/public/recommendations/personal?source=trending</t>
  </si>
  <si>
    <t>GET /api/v1/recommendations/personal (SASRec, đăng nhập)</t>
  </si>
  <si>
    <t>POST /api/v1/public/behavior/events (lô 5 sự kiện)</t>
  </si>
  <si>
    <t>11 ca đều đạt.</t>
  </si>
  <si>
    <t>Line coverage tầng service 89.1%, branch 87.8%. 3 ca BugCheck ghi nhận lỗi.</t>
  </si>
  <si>
    <t>1. TC_PH8_TOPK_04: top_k của /recommendations/personal (và /public/..., /recommend, cross-sell) không có ràng buộc &gt;= 1: top_k=-1 trả HTTP 200 với n-1 item do cắt list kiểu Python ([:-1]) thay vì 422.
2. TC_PH8_ING_12: BehaviorEvent.timestamp là str tự do: endpoint trả accepted cho timestamp không phải ISO, rồi consumer datetime.fromisoformat() ném lỗi và LẶNG LẼ bỏ event (chỉ log) -&gt; mất dữ liệu hành vi mà FE tưởng đã ghi.
3. TC_PH8_ING_13: Validator weight dùng `v &lt; 0 or v &gt; 86400` — NaN làm cả hai so sánh False nên weight=NaN lọt qua, làm hỏng mọi thống kê tính trên cột user_events.weight.
4. UI_PH8_FR01_006: Tab XEM GẦN ĐÂY cập nhật sau khi xem sản phẩm — Sau khoảng 30 giây tab chỉ có "Samsung Galaxy S26 Ultra" (đã xem từ trước). Log ai-forecast-service: "Failed to process message from product-viewed-events: Invalid isoformat string: '2026-10-17T16:20:31.447238600'". Timestamp Java có 9 chữ số phần giây, datetime.fromisoformat của Python chỉ nhận tối đa 6, nên phần lớn sự kiện xem sản phẩm và giỏ hàng (cart-updated-events) bị bỏ, không vào Redis/user_events. Chỉ sự kiện có phần nano tròn tới micro giây mới qua được (lúc khám phá, SP #295 vào được). Bằng chứng: Đã xem #672 "Sạc Anker Zolo 3C1A 140W kèm cáp USB-C B2697"; tab XEM GẦN ĐÂY: Samsung Galaxy S26 Ultra 5G 12GB 256GB
5. UI_PH8_FR03_003: Thêm nhanh sản phẩm gợi ý vào giỏ — Bấm "Thêm nhanh vào giỏ" ở thẻ đầu (Sạc Anker Zolo 3C1A 140W): toast "Đã thêm … vào giỏ hàng!" hiện ngay, sau đó API trả 400 OUT_OF_STOCK "Sản phẩm này hiện chỉ còn 0 sản phẩm trong kho." và giỏ vẫn 1 sản phẩm. CartPage gọi showToast thành công mà không chờ kết quả addToCart (addToCart cũng không truyền biến thể); cross-sell (popularity) không lọc sản phẩm hết hàng. Bằng chứng: POST /cart -&gt; 400 {"code":"OUT_OF_STOCK","message":"Sản phẩm này hiện chỉ còn 0 sản phẩm trong kho.","data":null}; toast đã hiện: Đăng nhập thành công! Chào mừng hai Thanh quay trở lại. | Đã thêm Sạc Anker Zolo 3C1A 140W kèm cáp USB-C B2697 vào giỏ hàng! | Sản phẩm này hiện chỉ còn 0 sản phẩm trong kho.; giỏ sau khi thêm: 1 x1
6. UI_PH8_FR03_004: Gợi ý mua kèm thay đổi theo nội dung giỏ — Cả hai giỏ đều nhận cùng danh sách 672, 295, 398, 526, 971 (danh sách phổ biến). Cross-sell hiện chỉ là popularity fallback. Đây là hành vi đã biết (HUONG_DAN mục 13), vẫn ghi nhận vì nhãn "AI Combo Recommended" gây hiểu nhầm. Bằng chứng: Giỏ có SP #1 (điện thoại) → 672,295,398,526,971; giỏ có SP #295 (laptop) → 672,295,398,526,971</t>
  </si>
  <si>
    <t>Ưu điểm:
- Thang chiến lược SASRec → Recency → Popularity rõ ràng; checkpoint phải qua cổng đánh giá mới được nạp, /health báo lý do SASRec bật/tắt.
- Hợp đồng key Redis/topic Kafka tập trung ở shared_common/contracts.py; cổng ingest validate chặt (whitelist actionType/source, weight [0, 86400], lô tối đa 200).
- Ghi chú giải thích "tại sao" kèm số đo; route qua gateway chỉ tin danh tính từ header gateway; có bộ test pytest cho recs-service và consumer.</t>
  </si>
  <si>
    <t>Hạn chế:
- Có docstring đầu module (AI/recs-service/app/services/catalog.py:1-3, AI/forecast-service/app/kafka/behavior_consumer.py:1-6, AI/shared-common/shared_common/contracts.py:1-9) nhưng không có tác giả/bản quyền.
- Hàm chính có docstring (_resolve_history, _recommend_for_history, get_products_by_ids, SasRecService), nhưng get_recommendations, get_cross_sell_combo, _read_history (AI/recs-service/app/api/endpoints/recommend.py:21,99,166) và start/stop/_write_to_redis (AI/forecast-service/app/kafka/behavior_consumer.py:133,148,189) thiếu docstring.
- Ghi chú lỗi thời: AI/recs-service/app/services/sasrec.py:52-53 ghi script train platform_v1 "chưa tồn tại" nhưng evaluation/train_serving.py đã có; config.py:9 trỏ recsys_platform_sasrec.py còn AI/recs-service/app/services/sasrec.py:88,99 trỏ evaluation.train_serving; AI/shared-common/shared_common/pool.py:8-10 ghi recs-service còn import database.py nhưng recs đã dùng pool.
- Consumer chỉ bắt CancelledError ở vòng ngoài (AI/forecast-service/app/kafka/behavior_consumer.py:165-166): lỗi Kafka trong `async for` làm task chết im lặng, không tự khởi động lại; commit trong finally (AI/forecast-service/app/kafka/behavior_consumer.py:163-164) nên event lỗi bị bỏ. Endpoint trả HTTPException(500, detail=str(e)) (AI/recs-service/app/api/endpoints/recommend.py:112,141,162,175) làm lộ thông báo lỗi nội bộ.
- Endpoint ingest luôn trả 200 kể cả khi publish lỗi (AI/forecast-service/app/api/endpoints/forecast.py:313-319, có chủ đích); BE/product-service/src/main/java/com/ecommerce/productservice/event/producer/ProductViewEventProducer.java:45 gọi kafkaTemplate.send() bất đồng bộ không gắn callback, lỗi broker không được log (chỉ bắt lỗi đồng bộ ở dòng 47-50).
- stop() kiểm None trước khi stop (AI/forecast-service/app/kafka/behavior_consumer.py:149-152); không có giải phóng hai lần.</t>
  </si>
  <si>
    <t>Phân hệ Hành vi người dùng &amp; gợi ý sản phẩm đáp ứng các luồng nghiệp vụ chính khi kiểm thử trên môi trường local; các lỗi phát hiện tập trung ở xử lý ngoại lệ (mã lỗi HTTP), phân quyền chi tiết và một số điểm bảo mật/độ bền đã liệt kê ở mục 2. Cần sửa các lỗi mức Cao trước khi triển khai.</t>
  </si>
  <si>
    <t>1 Use Case (Statistic &amp; Forecast) + 4 chức năng con được mô tả: phân khúc khách hàng, chấm điểm/quét churn, dự báo nhu cầu, phát hiện bất thường</t>
  </si>
  <si>
    <t>docs/AI/churn-risk-feature-overview.md; docs/AI/dashboard-ai.md (đã gắn nhãn THIẾT KẾ); CHUONG_I_DAC_TA.md mục 1 (từ khoá #67), mục 2 Bước 2 (phạm vi quản trị viên), mục 3.1 (UC Statistic &amp; Forecast); CHUONG_II_PHA_PHAN_TICH.md mục 2 Bước 3 h (CustomerStatistics); RA_SOAT_BAO_CAO_VS_CODE.md B17</t>
  </si>
  <si>
    <t>Cả 2 là file markdown tự do: không mã hiệu, không phiên bản, không người duyệt. churn-risk-feature-overview.md chỉ có dòng 'Cập nhật toàn bộ 2026-10-06'; dashboard-ai.md có banner '🚧 THIẾT KẾ — chưa cài đặt'.</t>
  </si>
  <si>
    <t>Không theo mẫu SRS nào (IEEE 830 hay mẫu công ty); viết dạng báo cáo kỹ thuật kèm phản biện.</t>
  </si>
  <si>
    <t>Chỉ có tiêu đề H1 ('Báo cáo tính năng Churn Risk AI…', 'Dashboard AI — …'); không có phiên bản, logo, mã dự án hay mã tài liệu.</t>
  </si>
  <si>
    <t>Chỉ có ghi chú ngày cập nhật nằm trong đoạn văn; lịch sử thật để ở file riêng churn-risk-log.md (liên kết trong mục 'Xem thêm').</t>
  </si>
  <si>
    <t>Tài liệu không khai báo số phiên bản.</t>
  </si>
  <si>
    <t>Không có bảng ghi nhận thay đổi.</t>
  </si>
  <si>
    <t>Blockquote đầu churn-risk-feature-overview.md (dòng 3-6) nêu mục đích là giải thích tính năng cho báo cáo/bảo vệ; dashboard-ai.md dòng 18 nêu mục đích dashboard.</t>
  </si>
  <si>
    <t>Mục 3 có sơ đồ và bảng 'AI được dùng chính xác ở đâu'; mục 4 liệt kê service liên quan. Banner dashboard-ai.md chỉ rõ endpoint nào thật, endpoint nào minh họa.</t>
  </si>
  <si>
    <t>Không có bảng thuật ngữ; AUC, ECE, grouped CV, isotonic, expected_loss chỉ được giải thích rải rác. CHUONG_I mục 1 chỉ có mục #67 'Thống kê khách hàng và rủi ro'.</t>
  </si>
  <si>
    <t>Mục 'Xem thêm' liệt kê churn-risk-log.md, rees46-transform-mapping.md, churn-risk-roadmap.md, churn-risk-implementation-plan.md (đều tồn tại trong docs/AI).</t>
  </si>
  <si>
    <t>Chỉ có tên và đường dẫn, thiếu ngày phát hành (chi tiết ở 3 dòng dưới).</t>
  </si>
  <si>
    <t>Có tên file kèm mô tả ngắn.</t>
  </si>
  <si>
    <t>Không ghi ngày phát hành cho tài liệu tham khảo nào.</t>
  </si>
  <si>
    <t>Liên kết tương đối trong repo (docs/AI/...).</t>
  </si>
  <si>
    <t>Hộp '⚠️ Phạm vi số liệu' (AUC 0,7354 là thí nghiệm REES46, khác mặc định code) và mục 6 'Giới hạn đã biết'; dashboard-ai.md ghi rõ các chỉ số là mục tiêu, chưa đo.</t>
  </si>
  <si>
    <t>Không có mục mô tả cấu trúc tài liệu; đánh số nhảy từ '## 0. Tóm tắt' sang '## 3.' (không có mục 1, 2).</t>
  </si>
  <si>
    <t>Mục 0 (bài toán/giải pháp), mục 5 (train → trigger-scan → xem segmentation → model card), điều kiện ≥2 đơn DELIVERED và quét định kỳ.</t>
  </si>
  <si>
    <t>Bảng các bước ở mục 3; bảng 3 module trong dashboard-ai.md; UC 'Statistic &amp; Forecast' trong CHUONG_I mục 3.1.</t>
  </si>
  <si>
    <t>Phân nhóm hợp lý nhưng mô tả trong báo cáo chưa chính xác (xem 2 câu dưới).</t>
  </si>
  <si>
    <t>Tầng 0-3 (dân số → AI → rule thời điểm → ngân sách) ở mục 3; dashboard chia Forecasting/Anomaly/Segmentation.</t>
  </si>
  <si>
    <t>CHUONG_I mục 3.1 (UC Statistic &amp; Forecast) hứa 'dự báo… nhu cầu tiêu thụ hàng hóa' và danh sách khách nguy cơ rời bỏ, nhưng demand-forecasting là dữ liệu giả is_demo_data (forecast.py:208-232) và UI không có danh sách at-risk (RA_SOAT B17). Thuộc tính CustomerStatistics.churnRiskCount (CHUONG_II 2.h) không có trong code.</t>
  </si>
  <si>
    <t>CHUONG_I mục 3.1: 'nhân viên quản lý theo dõi…'; churn overview mục 5 nói admin tạo campaign qua FE.</t>
  </si>
  <si>
    <t>CHUONG_I mục 2 Bước 2 (dòng 93): quản trị viên xem báo cáo rủi ro khách hàng rời bỏ.</t>
  </si>
  <si>
    <t>Sơ đồ ASCII luồng FE → Kafka → behavior_consumer → risk_scheduler → user-risk-events → promotion-service ở mục 3.</t>
  </si>
  <si>
    <t>Không mô tả trình độ hay nhu cầu của admin/nhân viên dùng tab Analytics.</t>
  </si>
  <si>
    <t>Mục 6: chỉ áp dụng cho ≥2 đơn DELIVERED, rule so với NOW() trên dữ liệu đóng băng, lệch phiên bản thư viện.</t>
  </si>
  <si>
    <t>Mục 6: phụ thuộc user-service để resolve userId, Camunda/promotion-service, user phải đăng nhập (Keycloak UUID).</t>
  </si>
  <si>
    <t>Yêu cầu được viết dạng tường thuật, không tách thành từng yêu cầu có mã.</t>
  </si>
  <si>
    <t>Số trong churn overview (AUC 0,7354, ngưỡng 0,38, nhãn v3 60 ngày) khác mặc định code (v2, 120 ngày, labels.py:36); dashboard-ai.md mô tả Streamlit/LSTM không tồn tại; CHUONG_I hứa dự báo nhu cầu thật.</t>
  </si>
  <si>
    <t>Không có cột ưu tiên; roadmap ưu tiên để ở file khác (churn-risk-roadmap.md).</t>
  </si>
  <si>
    <t>Chỉ có tên UC 'Statistic &amp; Forecast', không có mã hiệu.</t>
  </si>
  <si>
    <t>Các dẫn chiếu nội bộ (mục 3.2, 3.5, 3.7) và các file liên kết đều tồn tại.</t>
  </si>
  <si>
    <t>Mục 5 chỉ đưa lệnh curl và giải thích 'published=0 là đúng'; không có ngưỡng chấp nhận (AUC tối thiểu, thời gian scan…); MAPE/F1 trong dashboard-ai.md là 'mục tiêu, chưa đo'.</t>
  </si>
  <si>
    <t>Thiếu đặc tả input/output của /models/train, /risk/trigger-scan, schema sự kiện ChurnRiskDetectedEvent (các trường churnProbability, expectedLoss, riskRank chỉ có trong risk_scheduler.py:136-147), và yêu cầu phân quyền.</t>
  </si>
  <si>
    <t>Banner '🚧 THIẾT KẾ — chưa cài đặt' (dashboard-ai.md); mục 3.5 'Hai điểm chưa có'; mục 6 'chưa làm, ngoài phạm vi đồ án'.</t>
  </si>
  <si>
    <t>Có nhiều số đo (AUC ± std, revenue_recall@K, 25-40 phút → vài giây) nhưng đó là kết quả, không được phát biểu thành yêu cầu kèm ngưỡng chấp nhận.</t>
  </si>
  <si>
    <t>Churn nằm trong phạm vi; riêng Streamlit, LSTM Autoencoder, LangChain trong dashboard-ai.md nằm ngoài phần đã làm và đã được gắn nhãn thiết kế.</t>
  </si>
  <si>
    <t>Phần lớn nội dung là giải pháp/thiết kế (tên file, class, SQL, feature store mục 3.7, cấu trúc project Streamlit trong dashboard-ai.md mục 4).</t>
  </si>
  <si>
    <t>Mục 3.4: model chưa hiệu chỉnh thì lùi về ngưỡng 0,5; mục 3.6: retrain gate; mục 3.7: 2 lỗi production và cách sửa.</t>
  </si>
  <si>
    <t>Churn overview đủ: 11 feature, 2 model, ngưỡng, các tầng lọc, topic Kafka, service liên quan. dashboard-ai.md thì không (chỉ là ý tưởng).</t>
  </si>
  <si>
    <t>Chính mục 6 thừa nhận tầng 2 (NOW()) trên dữ liệu đóng băng không bao giờ publish được; dự báo nhu cầu/bất thường trong dashboard-ai.md không làm được vì không có dữ liệu và model.</t>
  </si>
  <si>
    <t>Mục 3.1-3.5: LogisticRegression + KMeans k=4, hiệu chỉnh isotonic, grouped CV, xếp hạng P×monetary; dashboard-ai.md mục 3 có các bước K-Means.</t>
  </si>
  <si>
    <t>Kiểm tra được bằng demo/phân tích: lệnh curl ở mục 5, endpoint /models/card, bảng metric.</t>
  </si>
  <si>
    <t>Tài liệu không đặc tả thông báo lỗi; các thông báo chỉ có trong code (vd 'Chưa có model nào được train…', risk_scoring.py:94-96).</t>
  </si>
  <si>
    <t>Tương ứng UC 'Statistic &amp; Forecast' (CHUONG_I 3.1) và trigger ChurnRisk của UC Configure Campaign; chưa có ma trận truy vết.</t>
  </si>
  <si>
    <t>Không có yêu cầu phân quyền cho endpoint ML; mục 5 hướng dẫn curl thẳng vào :8004 không xác thực. Thực tế code: mọi user đã đăng nhập đều gọi được /models/train qua gateway.</t>
  </si>
  <si>
    <t>Không nêu loại bảo mật nào (xác thực, phân quyền, bảo vệ dữ liệu hành vi cá nhân).</t>
  </si>
  <si>
    <t>Không có; chỉ nhắc registry giữ các version model (mục 3.6).</t>
  </si>
  <si>
    <t>Không có yêu cầu usability; chỉ nhắc banner 'dữ liệu minh họa' của FE và tên tab 'Coupon Code' gây nhầm (mục 4).</t>
  </si>
  <si>
    <t>Mục 3.6 yêu cầu không refit liên tục để phân khúc ổn định; retrain gate chặn model mới kém hơn. Không có chỉ tiêu uptime.</t>
  </si>
  <si>
    <t>Mục 3.7: SQL tổng hợp 25-40+ phút là không chấp nhận được, chuyển sang feature store tính trong vài giây; chu kỳ quét RISK_SCAN_INTERVAL_HOURS. Chưa có ngưỡng latency cụ thể.</t>
  </si>
  <si>
    <t>Có quy mô dữ liệu: 10.501 user, panel 31.458 dòng, 3.570.193 lượt thêm giỏ, doanh thu rủi ro 283,95 tỷ. Không có lưu lượng event/giây.</t>
  </si>
  <si>
    <t>Có model card (/models/card), run_log, ngưỡng override qua env, nhật ký churn-risk-log.md.</t>
  </si>
  <si>
    <t>Mục 4: Python/FastAPI, Kafka, Camunda 7; mục 6: ràng buộc phiên bản scikit-learn/numpy.</t>
  </si>
  <si>
    <t>Sơ đồ mục 3 nêu các topic và service giao tiếp.</t>
  </si>
  <si>
    <t>Không đặc tả màn hình; chỉ nhắc AnalyticsAITab.jsx (banner dashboard-ai.md) và Campaign Builder. Mục 4 của dashboard-ai.md mô tả Streamlit không tồn tại.</t>
  </si>
  <si>
    <t>Chi tiết ở 2 dòng dưới.</t>
  </si>
  <si>
    <t>promotion-service/Camunda qua topic user-risk-events, user-service (mục 4, 6); bộ dữ liệu ngoài REES46.</t>
  </si>
  <si>
    <t>Có nêu product-viewed-events, cart-updated-events → behavior_consumer → user_events → feature store. Còn thiếu schema payload ChurnRiskDetectedEvent.</t>
  </si>
  <si>
    <t>Không đặc tả giao thức/định dạng (JSON, key Kafka = userId, eventUniqueId dedupe) — những thứ này chỉ có trong risk_producer.py:33-53.</t>
  </si>
  <si>
    <t>Mục 5 chỉ là hướng dẫn chạy cho dev/admin, không phải yêu cầu tài liệu người dùng.</t>
  </si>
  <si>
    <t>Dùng thành phần bên thứ ba mã nguồn mở (scikit-learn, aiokafka, APScheduler, Camunda 7) và bộ dữ liệu REES46; không có thành phần trả phí.</t>
  </si>
  <si>
    <t>Không có danh sách thư viện/phiên bản; REES46 được mô tả ở file riêng rees46-transform-mapping.md.</t>
  </si>
  <si>
    <t>Module xử lý dữ liệu hành vi cá nhân để lập hồ sơ rủi ro và dùng bộ dữ liệu bên ngoài, nên có khía cạnh pháp lý/bản quyền.</t>
  </si>
  <si>
    <t>Không nhắc license REES46 hay yêu cầu bảo vệ dữ liệu cá nhân.</t>
  </si>
  <si>
    <t>Không viện dẫn tiêu chuẩn nào.</t>
  </si>
  <si>
    <t>Quan tâm khác</t>
  </si>
  <si>
    <t>Tài liệu SRS có khớp với code hiện tại (develop) không?</t>
  </si>
  <si>
    <t>Churn overview khớp code (tầng 0-3 = risk_scheduler.py:76-104; ngưỡng từ metadata = risk_scoring.py:61-65). dashboard-ai.md (Streamlit/LSTM) và CHUONG_I mục 3.1 (dự báo nhu cầu thật) không khớp.</t>
  </si>
  <si>
    <t>Báo cáo có kịch bản use case chi tiết cho module này không?</t>
  </si>
  <si>
    <t>CHUONG_II mục 1 chỉ có kịch bản 1.1-1.7; không có kịch bản cho Statistic &amp; Forecast/churn.</t>
  </si>
  <si>
    <t>Điểm mạnh: churn-risk-feature-overview.md mô tả trung thực và khớp code (luồng tầng 0-3, mô hình, ngưỡng, giới hạn), có số đo thật, nói rõ phạm vi số liệu, và dashboard-ai.md đã được gắn nhãn thiết kế. Điểm yếu: không theo mẫu SRS và không có kiểm soát tài liệu; không có yêu cầu có mã hiệu, độ ưu tiên hay tiêu chí nghiệm thu; thiếu yêu cầu bảo mật (endpoint ML không phân quyền); báo cáo CHUONG_I hứa dự báo nhu cầu và danh sách khách nguy cơ nhưng thực tế không có; không có kịch bản UC trong CHUONG_II; churn overview đánh số nhảy mục (0 → 3).</t>
  </si>
  <si>
    <t>1. Viết lại theo mẫu SRS: trang tiêu đề, phiên bản, bảng lịch sử thay đổi, mục thuật ngữ (AUC, calibration, expected_loss…).
2. Tách thành yêu cầu có mã (vd FR-CHURN-01 chấm điểm, FR-CHURN-02 quét định kỳ, FR-CHURN-03 publish sự kiện), kèm độ ưu tiên và tiêu chí nghiệm thu đo được.
3. Thêm yêu cầu bảo mật: chỉ ADMIN được gọi /models/**, /risk/**, /rfm/**; bổ sung yêu cầu bảo vệ dữ liệu hành vi cá nhân.
4. Đặc tả API (request/response/lỗi) và schema ChurnRiskDetectedEvent.
5. Sửa CHUONG_I mục 3.1/từ khoá #67 cho khớp thực tế (dự báo nhu cầu là dữ liệu minh họa) và bổ sung kịch bản UC Statistic &amp; Forecast vào CHUONG_II.
6. Sửa đánh số mục trong churn-risk-feature-overview.md và thêm mục mô tả tổ chức tài liệu.</t>
  </si>
  <si>
    <t>forecast-service (AI/forecast-service/app/) + phần shared-common nó dùng (AI/shared-common/shared_common/registry.py, pool.py, features/feature_store.py, features/behavior.py)</t>
  </si>
  <si>
    <t>24 file, khoảng 3.000 LOC: 17 file app chính (main, config, state, 2 endpoint, 3 kafka, 6 service, 3 model) + train.py + 4 file shared-common + Dockerfile/requirements; có đối chiếu route/security của api-gateway. Không xem xét hơn 50 script thí nghiệm trong app/training/experiments/</t>
  </si>
  <si>
    <t>Chia lớp rõ (api/endpoints, services, kafka, training), docstring kỹ ở risk_scoring.py, risk_scheduler.py. Điểm trừ: forecast.py dài 319 dòng, trộn endpoint ML-ops, analytics giả lập và ingest hành vi, và có `import numpy as np` nằm giữa file (forecast.py:180).</t>
  </si>
  <si>
    <t>Phần lớn theo PEP8 (snake_case, type hint, f-string). Vẫn lệch chuẩn: import giữa file (forecast.py:180); Query param camelCase `productId` (forecast.py:26); log tiếng Việt không dấu xen tiếng Việt có dấu (behavior_consumer.py:235, :252).</t>
  </si>
  <si>
    <t>Tên rõ nghĩa: eligible_ids, expected_loss, skipped_by_budget (risk_scheduler.py:92-151). Field Pydantic để camelCase là cố ý cho khớp JSON của FE (models/behavior.py:16-29).</t>
  </si>
  <si>
    <t>Thụt lề 4 space nhất quán. Còn vài dòng trống có khoảng trắng thừa ở cuối (services/anomaly.py:21, services/demand.py:16, services/pricing.py:16).</t>
  </si>
  <si>
    <t>Python không dùng ngoặc khối. Literal dict/list nhất quán; riêng phần demo viết `{ 'id': ... }` có khoảng trắng trong ngoặc, khác phần còn lại (forecast.py:238-240).</t>
  </si>
  <si>
    <t>Không file nào có header bản quyền/tác giả. Chỉ một số file có docstring module (behavior_consumer.py:1-6, state.py:1-5, risk_scheduler.py:1-5); main.py, forecast.py, anomaly.py, demand.py không có.</t>
  </si>
  <si>
    <t>Các ngưỡng cấu hình đều có ghi chú lý do (core/config.py:12-34). Hằng số huấn luyện có chú thích (train.py:263-266, CONTAMINATION_*). MAX_BATCH_SIZE có giải thích (models/behavior.py:10-12).</t>
  </si>
  <si>
    <t>Đường phục vụ còn nhiều số ma thuật: pricing.py:18-46 (0.45, 0.15, 2000000.0, 0.70) hardcode; anomaly.py:28 contamination=0.05; demand.py:28-36 (15.0, 5.0, 3.0). Ngược lại, config.py và train.py đã đặt tên hằng số.</t>
  </si>
  <si>
    <t>risk_scoring, risk_scheduler, behavior_* có docstring kỹ. Còn thiếu ở get_demand_forecast, detect_metric_anomaly, trigger_rfm_clustering (forecast.py:25, :49, :63), get_price_sensitivity (pricing.py:10), BehaviorEventConsumer.start/stop và class RiskEventProducer.</t>
  </si>
  <si>
    <t>Docstring module train.py:1-25 giải thích grouped CV; retrain gate có ghi chú (train.py:333-346); thứ tự lọc → xếp hạng → cắt ngân sách (risk_scheduler.py:55-59); effective_threshold (risk_scoring.py:28-41).</t>
  </si>
  <si>
    <t>Không có code bị comment bỏ. Chỗ giữ mock có giải thích (forecast.py:182-189); lý do viết lại rfm.py được ghi trong rfm.py:10-21.</t>
  </si>
  <si>
    <t>demand.py:11-13 ghi 'Uses Prophet / LightGBM' nhưng thực ra là mock sin + nhiễu; forecast.py:42 trả model_used='LightGBM'; pricing.py:20 ghi 'representing XGBoost classifier outputs' nhưng chỉ là rule cứng; main.py:15 nói 'Cả 2 chạy nền' trong khi khởi động 4 thành phần.</t>
  </si>
  <si>
    <t>Comment phần churn rõ và khớp code. Nhưng các ghi chú sai ở demand.py:13, pricing.py:20 và mô tả app (main.py:30 'Demand Forecasting, Anomaly Detection, dynamic pricing') khiến người đọc tưởng có model thật.</t>
  </si>
  <si>
    <t>Ví dụ: vì sao đi vòng qua Kafka (behavior_producer.py:4-8), vì sao chạy trong threadpool (risk_scheduler.py:46-53), vì sao dùng .get() khi gán nhãn cụm (risk_scoring.py:128-130).</t>
  </si>
  <si>
    <t>Phần lớn đúng nghĩa (run_risk_scan, effective_threshold, _write_to_redis). Ngoại lệ: RfmSegmentationService.run_rfm_clustering không còn phân cụm, chỉ predict; tên giữ lại để tương thích (rfm.py:10-11, :23).</t>
  </si>
  <si>
    <t>risk_scheduler.py:134-149: nếu send_and_wait lỗi giữa vòng lặp thì các user còn lại bị bỏ và không trả được số đã publish. publish_batch đếm theo lượt `send` chứ không theo xác nhận giao (behavior_producer.py:57-60). publish_churn_risk gặp _producer=None sẽ AttributeError (risk_producer.py:49).</t>
  </si>
  <si>
    <t>Mọi endpoint đều có try/except → HTTP 500; consumer bắt lỗi từng message (behavior_consumer.py:158-162). Nhưng offset vẫn được commit trong finally kể cả khi lỗi (behavior_consumer.py:163-164), tức message lỗi bị mất vĩnh viễn, không có retry/DLQ.</t>
  </si>
  <si>
    <t>Caller nhận 500 hoặc status=SKIPPED kèm lý do (risk_scheduler.py:67-68, forecast.py:253-254). Điểm trừ: detail=str(e) lộ chi tiết nội bộ (forecast.py:46, :60, :83...); ingest cố ý luôn trả 200 với accepted=0 (forecast.py:313-317).</t>
  </si>
  <si>
    <t>Python GC; không thấy tham chiếu toàn cục giữ DataFrame. Mỗi lần predict đều load lại model joblib từ đĩa (risk_scoring.py:117-118) và đọc nguyên bảng feature (feature_store.py:61-69), tốn bộ nhớ đỉnh nhưng không rò rỉ.</t>
  </si>
  <si>
    <t>Connection DB đều dùng `with engine.begin()/connect()` (behavior_consumer.py:231, :266; feature_store.py:54-56); file trong registry dùng `with open`. Thiếu sót nhỏ: lifespan không có try/finally quanh các bước start (main.py:17-25); stop() cancel task mà không await (behavior_consumer.py:148-152).</t>
  </si>
  <si>
    <t>Mỗi producer/consumer/scheduler chỉ được stop/shutdown một lần trong lifespan (main.py:22-25).</t>
  </si>
  <si>
    <t>Biến toàn cục _redis_pool và dict _engines được khởi tạo lazy mà không có lock (shared_common/pool.py:23-42, :65-79), trong khi được gọi đồng thời từ threadpool (endpoint sync, run_in_threadpool) và event loop.</t>
  </si>
  <si>
    <t>POST /models/train không có lock: 2 lần train đồng thời cùng ghi registry. latest.json ghi đè trực tiếp, không atomic (registry.py:74-77) trong lúc predict có thể đang đọc. KMeans và classifier cập nhật latest ở 2 lệnh tách rời (train.py:761, :773) nên có thể load lệch cặp. feature_store.refresh có thể chạy song song từ scheduler và predict() khi bảng rỗng (risk_scoring.py:108-113).</t>
  </si>
  <si>
    <t>Code không dùng lock tường minh nào (threading.Lock/asyncio.Lock).</t>
  </si>
  <si>
    <t>Không có lock nên không deadlock ở tầng ứng dụng, nhưng có tranh chấp: 2 lần refresh cùng `DELETE FROM user_feature_vectors` rồi insert lại trong transaction (feature_store.py:54-56) có thể dính lock DB hoặc trùng PK. Ghi Redis/MySQL đồng bộ ngay trong coroutine consumer (behavior_consumer.py:186-187) chặn event loop, tranh tài nguyên với endpoint async ingest.</t>
  </si>
  <si>
    <t>Các vòng for đều duyệt tập hữu hạn; vòng `async for` của consumer thoát khi CancelledError (behavior_consumer.py:155-166).</t>
  </si>
  <si>
    <t>Chỉ consumer loop chạy vô hạn, và đó là có chủ đích. Tuy nhiên tham số `days` không có chặn trên (forecast.py:27), nên vòng demand.py:25 có thể chạy rất lâu nếu truyền số lớn.</t>
  </si>
  <si>
    <t>Phần serving không có vòng lồng; chấm điểm được vector hoá bằng pandas/sklearn (risk_scoring.py:120-133).</t>
  </si>
  <si>
    <t>predict() copy nguyên ma trận feature (risk_scoring.py:127). Mỗi lần scan load bundle classifier 2 lần: trong predict (risk_scoring.py:118) và lại trong effective_threshold (risk_scoring.py:43).</t>
  </si>
  <si>
    <t>N+1 query: has_recent_abandoned_cart chạy 1 SQL cho mỗi candidate (risk_scheduler.py:92-98, features/behavior.py:149-173). Consumer commit offset và mở transaction DB cho từng message (behavior_consumer.py:164, :266); Redis tốn 3 round-trip không pipeline (behavior_consumer.py:207-209).</t>
  </si>
  <si>
    <t>Ngoài N+1 và commit từng message: không cache model theo version; I/O đồng bộ trong event loop; requirements.txt kéo lightgbm, prophet, celery (dòng 5, 6, 9) dù code không dùng, làm phình image.</t>
  </si>
  <si>
    <t>Ingest có validate tốt (models/behavior.py:31-55). Nhưng `days` không có ge/le (forecast.py:27), AnomalyRequest.historical_data không giới hạn độ dài, PricingRequest.customerTier/segmentationLabel là chuỗi tự do (models/pricing.py:7-8).</t>
  </si>
  <si>
    <t>anomaly.py:14-20 kiểm len&lt;5 trước khi lấy data[-1]; segmentation kiểm population rỗng (forecast.py:260); predict_proba[:,1] được bảo đảm có 2 lớp nhờ kiểm tra lúc train (train.py:690).</t>
  </si>
  <si>
    <t>Không thấy nhánh nào có thể NameError; settings và singleton được khởi tạo khi import (config.py:36, state.py:11-14).</t>
  </si>
  <si>
    <t>train_and_evaluate dài khoảng 160 dòng (train.py:639-797); train.py tổng 797 dòng. forecast.py nên tách thành router ml-ops, analytics và behavior.</t>
  </si>
  <si>
    <t>Các endpoint quản trị ML (/models/train, /risk/trigger-scan, /rfm/trigger) có được giới hạn cho ADMIN không?</t>
  </si>
  <si>
    <t>Gateway route /api/v1/models/**, /api/v1/risk/**, /api/v1/rfm/** sang forecast-service (api-gateway application.yml:167) nhưng chỉ yêu cầu authenticated (SecurityConfig.java:49); forecast-service không kiểm role. Hệ quả: tài khoản CUSTOMER bất kỳ có thể train lại model hoặc kích hoạt quét phát voucher.</t>
  </si>
  <si>
    <t>Consumer Kafka có đảm bảo không mất message khi xử lý lỗi (at-least-once) không?</t>
  </si>
  <si>
    <t>commit() nằm trong finally nên chạy cả khi xử lý lỗi (behavior_consumer.py:163-164); không có retry/DLQ, lỗi DB tạm thời sẽ làm mất event.</t>
  </si>
  <si>
    <t>Các endpoint còn trả dữ liệu mô phỏng có được gắn cờ minh bạch (is_demo_data) không?</t>
  </si>
  <si>
    <t>Ba endpoint admin có cờ (forecast.py:225-242). Nhưng GET /forecast trả số ngẫu nhiên với model_used='LightGBM' (forecast.py:24-43, demand.py:22-38) và /pricing/predict là rule cứng (pricing.py:20-48); cả hai đều không có cờ.</t>
  </si>
  <si>
    <t>Có kiểm thử tự động cho lõi chấm điểm/quét rủi ro không?</t>
  </si>
  <si>
    <t>tests/ chỉ có 3 file về consumer/ingest (test_behavior_consumer_history.py, test_behavior_purchase.py, test_behavior_source.py); chưa có test cho risk_scoring, risk_scheduler, _retrain_gate, registry.</t>
  </si>
  <si>
    <t>* Điểm mạnh:
- Tách rõ huấn luyện và phục vụ: chỉ /models/train fit model; predict chỉ load artifact qua registry (risk_scoring.py:93-118), có retrain gate chặn model kém (train.py:333-378).
- Feature store tính trước, giúp chấm điểm không phải chạy SQL tổng hợp 25-40 phút; risk-scan chạy trong threadpool, max_instances=1 (risk_scheduler.py:30-36, :115).
- Ngưỡng churn đọc từ metadata model và có đường lùi khi model chưa hiệu chỉnh (risk_scoring.py:28-71).
- Endpoint public ingest được validate kỹ bằng Pydantic (whitelist action/source, giới hạn batch, weight).
- Comment tập trung giải thích 'tại sao', dễ bảo trì; consumer tự kiểm tra cột `source` để tương thích lúc deploy.</t>
  </si>
  <si>
    <t>1. Giới hạn /api/v1/models/**, /risk/**, /rfm/** cho ADMIN ở gateway (pathMatchers hasRole) hoặc kiểm X-User-Roles trong forecast-service.
2. Chỉ commit offset sau khi xử lý thành công, thêm retry/DLQ; đưa ghi Redis/MySQL ra run_in_threadpool hoặc dùng driver async; gộp lpush/ltrim/expire vào pipeline.
3. Thay vòng has_recent_abandoned_cart từng user bằng 1 truy vấn cho cả danh sách candidate.
4. Thêm lock cấp process cho train/refresh; ghi latest.json kiểu atomic (file tạm + os.replace) và dùng một con trỏ chung cho cặp KMeans + classifier.
5. Cache model đã load theo version, tránh load 2-3 lần mỗi scan.
6. Không trả str(e) trong HTTP 500; thêm ràng buộc ge/le cho days và max_length cho historical_data.
7. Gắn is_demo_data cho /forecast, /anomaly, /pricing/predict; sửa comment sai (demand.py:13, pricing.py:20, main.py:30); bỏ lightgbm/prophet/celery khỏi requirements.
8. Viết unit test cho risk_scoring, risk_scheduler, _retrain_gate; tách train_and_evaluate và forecast.py thành các phần nhỏ hơn.</t>
  </si>
  <si>
    <t>Phân hệ: PH9 – Phân tích AI &amp; dự đoán khách rời bỏ</t>
  </si>
  <si>
    <t>Bảng điều khiển (Dashboard)</t>
  </si>
  <si>
    <t>KPI doanh số/đơn hàng, biểu đồ, điều hướng nhanh</t>
  </si>
  <si>
    <t>AI Analytics &amp; churn</t>
  </si>
  <si>
    <t>Dự báo nhu cầu, phát hiện bất thường (dữ liệu minh họa), phân cụm khách hàng (dữ liệu thật), mô hình churn</t>
  </si>
  <si>
    <t>Phân quyền truy cập phân tích</t>
  </si>
  <si>
    <t>STAFF/ADMIN được xem; khách hàng và khách vãng lai bị chặn ở giao diện và API</t>
  </si>
  <si>
    <t>1. TỔNG QUAN KẾT QUẢ
- Tổng cộng 18 test case được thực hiện, trong đó 12 Pass (66,7%) và 6 Fail (33,3%), không có Pending.
- Phân loại theo nhóm: UI/UX 2, Function 9, Negative 7.
Dashboard tính KPI đúng: doanh số 27553.9M đ khớp tổng finalAmount 921 đơn; 3 chờ xử lý và 76 đã hủy khớp API. Phân quyền giao diện đúng. Lỗi nghiêm trọng nhất: tab AI Analytics không đọc được dữ liệu từ forecast-service vì lỗi CORS, nên cả phân cụm khách hàng (dữ liệu thật của mô hình churn đã train) cũng hiển thị số minh họa dự phòng.</t>
  </si>
  <si>
    <t>2. PHÂN TÍCH KẾT QUẢ
Nhóm UI/UX (2 test case): 100% Pass.
Nhóm Function (9 test case): 6 Pass, 3 Fail. Dự báo nhu cầu, phát hiện bất thường và phân cụm khách hàng đều chỉ hiện dữ liệu dự phòng kèm banner "Không gọi được máy chủ AI…" (UI_PH9_FR02_002, UI_PH9_FR02_003, UI_PH9_FR02_004). Giao diện ghi VIP 45%/At Risk 5% doanh thu trong khi API trả 46.9%/22.8%. Dashboard, điều hướng nhanh, thẻ mô hình churn và quyền STAFF đều đạt.
Nhóm Negative (7 test case): 4 Pass, 3 Fail.
- Khuyến nghị tồn kho ghi Samsung S26 Ultra còn 12 chiếc (thực tế 189) và gợi ý "Tạo Đơn Nhập Kho Khẩn Cấp" (UI_PH9_FR02_006).
- Nút "Kích Hoạt Chiến Dịch Ngay" báo đã gửi email cho 220 khách nhưng không làm gì (UI_PH9_FR02_007).
- Khách hàng đọc được GET /models/card (HTTP 200) (UI_PH9_FR03_005).
Điểm tích cực: khách hàng/khách vãng lai bị chặn khỏi /admin; API /admin/analytics trả 403 cho khách hàng; khi máy chủ AI lỗi có banner cảnh báo rõ.</t>
  </si>
  <si>
    <t>3. PHÂN TÍCH NGUYÊN NHÂN GỐC
- forecast-service (AI/forecast-service/app/main.py) bật CORSMiddleware (allow_origins=["*"], allow_credentials=True) trong khi api-gateway đã thêm header CORS. Mỗi phản hồi có 2 header Access-Control-Allow-Origin, trình duyệt chặn ("contains multiple values"). search/recs/chatbot đã cố ý bỏ middleware này, riêng forecast-service còn sót. Phản hồi của POST /public/behavior/events cũng bị chặn đọc, nhưng dữ liệu vẫn được ghi ở server.
- AnalyticsAITab gán cứng tồn kho/nhu cầu cho 3 sản phẩm thật đầu danh sách; nút chiến dịch AI chỉ gọi alert().
- Gateway chỉ yêu cầu authenticated cho /api/v1/models/**, forecast-service không kiểm tra vai trò (F4).</t>
  </si>
  <si>
    <t>4. MỨC ĐỘ NGHIÊM TRỌNG
- Cao (High): AI Analytics không bao giờ hiển thị dữ liệu thật trong trình duyệt; admin ra quyết định dựa trên số minh họa (phân khúc khách, khuyến nghị nhập kho khẩn cấp sai). Khách hàng truy cập được API mô hình AI, và cùng nhóm API là các thao tác ghi (train, trigger-scan phát voucher).
- Trung bình (Medium): nút kích hoạt chiến dịch AI thông báo đã gửi email trong khi không có hành động nào.</t>
  </si>
  <si>
    <t>FR_01 – Bảng điều khiển (Dashboard)</t>
  </si>
  <si>
    <t>UI_PH9_FR01_001</t>
  </si>
  <si>
    <t>Kiểm tra giao diện Bảng điều khiển</t>
  </si>
  <si>
    <t>admin; tab Dashboard</t>
  </si>
  <si>
    <t>1. Đăng nhập admin, mở Dashboard.</t>
  </si>
  <si>
    <t>Đủ 3 thẻ KPI, 3 biểu đồ (Xu hướng Doanh thu &amp; Đơn hàng, Phân bố trạng thái, Doanh thu theo danh mục), panel "Đơn hàng mới (30 phút qua)", "Giao dịch gần đây", "Thêm sản phẩm nhanh".</t>
  </si>
  <si>
    <t>UI_PH9_FR01_002</t>
  </si>
  <si>
    <t>KPI doanh số khớp dữ liệu đơn hàng</t>
  </si>
  <si>
    <t>GET /orders (admin): tổng finalAmount các đơn CONFIRMED/SHIPPED/DELIVERED</t>
  </si>
  <si>
    <t>1. Tính tổng từ API.
2. Đọc thẻ "Doanh số đơn hàng (VNPAY &amp; COD)".</t>
  </si>
  <si>
    <t>Thẻ hiển thị tổng finalAmount / 1.000.000, làm tròn 1 chữ số, kèm "M đ".</t>
  </si>
  <si>
    <t>Bằng chứng: Tổng finalAmount đơn CONFIRMED/SHIPPED/DELIVERED = 27.553.866.400đ (921 đơn) → kỳ vọng "27553.9M đ"; hiển thị "27553.9M đ"</t>
  </si>
  <si>
    <t>UI_PH9_FR01_003</t>
  </si>
  <si>
    <t>KPI tổng đơn, chờ xử lý và đã hủy</t>
  </si>
  <si>
    <t>GET /orders (admin)</t>
  </si>
  <si>
    <t>1. Đếm đơn theo trạng thái từ API.
2. Đọc thẻ "Tổng đơn đặt hàng" và "Chờ xử lý &amp; Hủy".</t>
  </si>
  <si>
    <t>Tổng đơn = số đơn API; "n Chờ" = số đơn PENDING/AWAITING_PAYMENT/CONFIRMED/SHIPPED; "n Hủy" = số đơn CANCELLED.</t>
  </si>
  <si>
    <t>Bằng chứng: API: 921 đơn, chờ xử lý 3, hủy 76; thẻ "Tổng đơn đặt hàng" = 921; thẻ "Chờ xử lý &amp; Hủy": CHỜ XỬ LÝ &amp; HỦY 3 Chờ 76 Hủy more_vert Tỷ lệ hủy: ~8.3% ▲ 156.5%</t>
  </si>
  <si>
    <t>UI_PH9_FR01_004</t>
  </si>
  <si>
    <t>Nút "Chi tiết" chuyển sang Quản lý đơn hàng</t>
  </si>
  <si>
    <t>admin; Dashboard</t>
  </si>
  <si>
    <t>1. Bấm nút "Chi tiết".</t>
  </si>
  <si>
    <t>Hiện "Quản Lý Đơn Hàng", localStorage admin_active_tab = orders.</t>
  </si>
  <si>
    <t>UI_PH9_FR01_005</t>
  </si>
  <si>
    <t>Thêm sản phẩm nhanh theo danh mục</t>
  </si>
  <si>
    <t>Ô đầu tiên trong "Thêm sản phẩm nhanh"</t>
  </si>
  <si>
    <t>1. Bấm "+ Thêm" ở danh mục đầu tiên.</t>
  </si>
  <si>
    <t>Mở "Thêm Sản Phẩm Mới" với danh mục được chọn sẵn đúng tên ô vừa bấm.</t>
  </si>
  <si>
    <t>Bằng chứng: Ô bấm: "Điện thoại, Tablet"; giá trị các select trong form: Điện thoại, Tablet | Chọn thương hiệu</t>
  </si>
  <si>
    <t>FR_02 – AI Analytics &amp; churn</t>
  </si>
  <si>
    <t>UI_PH9_FR02_001</t>
  </si>
  <si>
    <t>Kiểm tra giao diện Trung tâm phân tích AI</t>
  </si>
  <si>
    <t>admin; tab AI Analytics</t>
  </si>
  <si>
    <t>1. Mở tab AI Analytics.</t>
  </si>
  <si>
    <t>Tiêu đề "Trung Tâm Phân Tích &amp; Dự Báo Trí Tuệ Nhân Tạo", 3 tab con (Dự Báo Nhu Cầu, Phát Hiện Bất Thường, Phân Cụm KH), mục biểu đồ dự báo và Khuyến nghị tồn kho.</t>
  </si>
  <si>
    <t>UI_PH9_FR02_002</t>
  </si>
  <si>
    <t>Dự báo nhu cầu lấy từ máy chủ AI và gắn nhãn dữ liệu minh họa</t>
  </si>
  <si>
    <t>GET /admin/analytics/demand-forecasting (is_demo_data=true)</t>
  </si>
  <si>
    <t>1. Mở tab AI Analytics, tab con "Dự Báo Nhu Cầu".
2. Đối chiếu banner với note của API.</t>
  </si>
  <si>
    <t>Giao diện hiển thị dữ liệu từ API kèm nhãn của API "Dữ liệu minh họa (sinh ngẫu nhiên)…".</t>
  </si>
  <si>
    <t>Trình duyệt chặn phản hồi: "blocked by CORS policy: The 'Access-Control-Allow-Origin' header contains multiple values". forecast-service (app/main.py) tự thêm CORSMiddleware (allow_origins=["*"], allow_credentials=True) trong khi gateway cũng thêm header CORS, nên mỗi phản hồi có 2 header Access-Control-Allow-Origin. FE rơi vào dữ liệu dự phòng hardcode với banner "Không gọi được máy chủ AI — hiển thị dữ liệu minh họa dự phòng." (gọi API trực tiếp vẫn 200). Các service AI khác đã cố ý bỏ CORSMiddleware. Bằng chứng: API (gọi trực tiếp) is_demo_data=true, note="Dữ liệu minh họa (sinh ngẫu nhiên) — demand forecasting theo…". Banner trên giao diện: "Không gọi được máy chủ AI — hiển thị dữ liệu minh họa dự phòng."; lỗi trình duyệt khi gọi API phân tích: console: Access to fetch at 'http://localhost:8080/api/v1/admin/analytics/demand-forecasting' from origin 'http://localhost:5173' has been blocked by CORS policy: The 'Access-Control-Allow-Origin' header contains multiple values 'http://lo || requestfailed /admin/analytics/demand-forecasting net::ERR_FAILED || console: Access to fetch at 'http://localhost:8080/api/v1/admin/analytics/anomalies' from origin 'http://localhost:5173' has been blocked by CORS policy: The 'Access-Control-Allow-Origin' header contains multiple values 'http://localhost:5</t>
  </si>
  <si>
    <t>UI_PH9_FR02_003</t>
  </si>
  <si>
    <t>Phát hiện bất thường có danh sách và nhãn minh họa</t>
  </si>
  <si>
    <t>GET /admin/analytics/anomalies (3 cảnh báo, is_demo_data=true)</t>
  </si>
  <si>
    <t>1. Mở tab con "Phát Hiện Bất Thường".
2. Đối chiếu danh sách và banner với API.</t>
  </si>
  <si>
    <t>Hiện danh sách cảnh báo từ API (TX-…) kèm nhãn "Dữ liệu minh họa (hardcode)…" của API.</t>
  </si>
  <si>
    <t>Cùng nguyên nhân CORS với UI_PH9_FR02_002: giao diện chỉ hiện danh sách dự phòng và banner "Không gọi được máy chủ AI…", không hiện note của API. Bằng chứng: API: 3 cảnh báo, note="Dữ liệu minh họa (hardcode) — phát hiện giao dịch bất thường…". Banner trên giao diện: "Không gọi được máy chủ AI — hiển thị dữ liệu minh họa dự phòng."; lỗi trình duyệt khi gọi API phân tích: console: Access to fetch at 'http://localhost:8080/api/v1/admin/analytics/demand-forecasting' from origin 'http://localhost:5173' has been blocked by CORS policy: The 'Access-Control-Allow-Origin' header contains multiple values 'http://lo || requestfailed /admin/analytics/demand-forecasting net::ERR_FAILED || console: Access to fetch at 'http://localhost:8080/api/v1/admin/analytics/anomalies' from origin 'http://localhost:5173' has been blocked by CORS policy: The 'Access-Control-Allow-Origin' header contains multiple values 'http://localhost:5</t>
  </si>
  <si>
    <t>UI_PH9_FR02_004</t>
  </si>
  <si>
    <t>Phân cụm khách hàng hiển thị dữ liệu thật</t>
  </si>
  <si>
    <t>API: VIP Champions 55, At Risk 44, Loyal Regulars 32, Lapsed 27 khách (is_demo_data=false)</t>
  </si>
  <si>
    <t>1. Mở tab con "Phân Cụm KH".
2. Đối chiếu 4 phân khúc và tỷ lệ doanh thu với API.</t>
  </si>
  <si>
    <t>Hiện 4 phân khúc với tỷ lệ doanh thu đúng như API, không có banner dự phòng.</t>
  </si>
  <si>
    <t>Giao diện hiện VIP Champions 45%, Loyal Regulars 35%, Lapsed 15%, At Risk 5% Doanh thu (bộ số dự phòng trong aiApi.ts, tổng 1.965 khách) thay vì 46.9%/16.2%/14.2%/22.8% của API; nguyên nhân CORS như UI_PH9_FR02_002. Admin thấy số giả trong khi mô hình đã train trên dữ liệu thật. Bằng chứng: API: VIP Champions 55 KH/46.9%DT, At Risk 44 KH/22.8%DT, Loyal Regulars 32 KH/16.2%DT, Lapsed 27 KH/14.2%DT; giao diện: VIP Champions 45% Doanh thu, Loyal Regulars 35% Doanh thu, Lapsed 15% Doanh thu, At Risk 5% Doanh thu. Banner trên giao diện: "Không gọi được máy chủ AI — hiển thị dữ liệu minh họa dự phòng."; lỗi trình duyệt khi gọi API phân tích: console: Access to fetch at 'http://localhost:8080/api/v1/admin/analytics/demand-forecasting' from origin 'http://localhost:5173' has been blocked by CORS policy: The 'Access-Control-Allow-Origin' header contains multiple values 'http://lo || requestfailed /admin/analytics/demand-forecasting net::ERR_FAILED || console: Access to fetch at 'http://localhost:8080/api/v1/admin/analytics/anomalies' from origin 'http://localhost:5173' has been blocked by CORS policy: The 'Access-Control-Allow-Origin' header contains multiple values 'http://localhost:5</t>
  </si>
  <si>
    <t>UI_PH9_FR02_005</t>
  </si>
  <si>
    <t>Máy chủ AI lỗi, hiển thị dữ liệu dự phòng có cảnh báo</t>
  </si>
  <si>
    <t>Giả lập segmentation trả 500 (page.route)</t>
  </si>
  <si>
    <t>1. Chặn API segmentation trả 500.
2. Mở tab con "Phân Cụm KH".</t>
  </si>
  <si>
    <t>Hiện banner "Không gọi được máy chủ AI — hiển thị dữ liệu minh họa dự phòng."</t>
  </si>
  <si>
    <t>UI_PH9_FR02_006</t>
  </si>
  <si>
    <t>Khuyến nghị tồn kho hiển thị số tồn thực tế</t>
  </si>
  <si>
    <t>SP đầu danh sách #1 (tồn kho thực 189, 3 biến thể)</t>
  </si>
  <si>
    <t>1. Mở mục "Khuyến Nghị Tối Ưu Hóa Tồn Kho".
2. Đối chiếu cột Tồn kho hiện tại với inventory-service.</t>
  </si>
  <si>
    <t>Cột "Tồn kho hiện tại" khớp tồn kho thực (hoặc được ghi rõ là số minh họa).</t>
  </si>
  <si>
    <t>Dòng "Samsung Galaxy S26 Ultra 5G 12GB 256GB" ghi tồn 12 chiếc, nhu cầu 45 chiếc, "Cực kỳ thiếu hụt (Rủi ro Out-of-Stock)" kèm nút "Tạo Đơn Nhập Kho Khẩn Cấp", trong khi tồn kho thực là 189. AnalyticsAITab gán cứng currentStock 12/5/42 cho 3 sản phẩm đầu danh sách. Bằng chứng: SP đầu danh sách #1 "Samsung Galaxy S26 Ultra 5G 12GB 256GB": tồn kho thực 189 (3 biến thể); giao diện ghi "Samsung Galaxy S26 Ultra 5G 12GB 256GB 12 chiếc 45 chiếc Cực kỳ thiếu hụt (Rủi ro Out-of-Stock) Tạo Đơn Nhập Kho Khẩn Cấp"</t>
  </si>
  <si>
    <t>UI_PH9_FR02_007</t>
  </si>
  <si>
    <t>Nút "Kích Hoạt Chiến Dịch Ngay" của AI Analytics</t>
  </si>
  <si>
    <t>admin; tab con "Phân Cụm KH"</t>
  </si>
  <si>
    <t>1. Bấm "Kích Hoạt Chiến Dịch Ngay".
2. Kiểm tra request, danh sách chiến dịch, SMTP sink.</t>
  </si>
  <si>
    <t>Tạo chiến dịch/phát voucher thật cho nhóm khách nguy cơ, hoặc không thông báo đã gửi email khi chưa làm gì.</t>
  </si>
  <si>
    <t>Alert "Chiến dịch AI Targeted Campaign đã được khởi tạo! 220 Khách hàng đã được gửi email thông báo." nhưng không có request ghi nào, số chiến dịch giữ 0, SMTP sink không có email nào. Tương tự các nút khóa/gỡ cờ đã ghi ở HUONG_DAN mục 13. Bằng chứng: Alert: "Chiến dịch AI Targeted Campaign đã được khởi tạo! 220 Khách hàng đã được gửi email thông báo."; request ghi tới promotion/notification: 0; số chiến dịch 0→0; email mới trong SMTP sink: 0</t>
  </si>
  <si>
    <t>UI_PH9_FR02_008</t>
  </si>
  <si>
    <t>Mô hình churn đã huấn luyện và phân khúc rủi ro hiển thị</t>
  </si>
  <si>
    <t>GET /models/card (admin); tab "Phân Cụm KH"</t>
  </si>
  <si>
    <t>1. Đọc thẻ mô hình qua API.
2. Mở tab con "Phân Cụm KH".</t>
  </si>
  <si>
    <t>Thẻ mô hình có nhãn churn_label_v2…; giao diện có phân khúc At Risk và Lapsed.</t>
  </si>
  <si>
    <t>Thẻ mô hình xác nhận classifier train lúc 14:21 UTC ngày 17/10/2026 với nhãn churn_label_v2_orders_120d_min2. Lưu ý: tên phân khúc trên giao diện lúc này đến từ dữ liệu dự phòng (xem UI_PH9_FR02_004). Bằng chứng: GET /models/card -&gt; 200; trích: {"generated_from":"shared_common/registry.py metadata + run_log.jsonl — không tính gì mới","db_name":"ecommerce_order_db","classifier":{"version":"20261017T142120147611","trained_at":"2026-10-17T14:21:20.183155+00:00","feature_version":"churn_v1","label_definition":{"label_version":"churn_label_v2_o; At Risk=44</t>
  </si>
  <si>
    <t>FR_03 – Phân quyền truy cập phân tích</t>
  </si>
  <si>
    <t>UI_PH9_FR03_001</t>
  </si>
  <si>
    <t>Nhân viên xem Dashboard và AI Analytics</t>
  </si>
  <si>
    <t>1. Đăng nhập staff, mở Dashboard.
2. Bấm "AI Analytics".
3. Gọi API segmentation bằng token staff.</t>
  </si>
  <si>
    <t>STAFF mở được cả 2 tab; API segmentation với token staff trả 200.</t>
  </si>
  <si>
    <t>Bằng chứng: staff mở được tab AI Analytics; GET /admin/analytics/segmentation bằng token staff -&gt; 200</t>
  </si>
  <si>
    <t>UI_PH9_FR03_002</t>
  </si>
  <si>
    <t>customer; URL /admin</t>
  </si>
  <si>
    <t>1. Đăng nhập customer, mở /admin.</t>
  </si>
  <si>
    <t>Bị chuyển về "/", không thấy nội dung phân tích.</t>
  </si>
  <si>
    <t>UI_PH9_FR03_003</t>
  </si>
  <si>
    <t>Khách chưa đăng nhập mở trang quản trị</t>
  </si>
  <si>
    <t>Không có phiên đăng nhập; URL /admin</t>
  </si>
  <si>
    <t>1. Mở /admin khi chưa đăng nhập.</t>
  </si>
  <si>
    <t>UI_PH9_FR03_004</t>
  </si>
  <si>
    <t>Khách hàng gọi API phân tích quản trị</t>
  </si>
  <si>
    <t>GET /api/v1/admin/analytics/segmentation bằng token CUSTOMER</t>
  </si>
  <si>
    <t>1. Gọi API bằng token customer.</t>
  </si>
  <si>
    <t>HTTP 403.</t>
  </si>
  <si>
    <t>Bằng chứng: customer GET /admin/analytics/segmentation -&gt; 403</t>
  </si>
  <si>
    <t>UI_PH9_FR03_005</t>
  </si>
  <si>
    <t>Khách hàng gọi API thẻ mô hình churn</t>
  </si>
  <si>
    <t>GET /api/v1/models/card bằng token CUSTOMER</t>
  </si>
  <si>
    <t>HTTP 403 (chỉ ADMIN/STAFF được truy cập API mô hình).</t>
  </si>
  <si>
    <t>Trả 200 kèm toàn bộ metadata mô hình churn (phiên bản, ngày train, định nghĩa nhãn…). Gateway chỉ yêu cầu authenticated cho /api/v1/models/** và forecast-service không kiểm tra vai trò (F4). Các API ghi cùng nhóm như /models/train, /risk/trigger-scan không được thử để tránh thay đổi mô hình hoặc phát voucher. Bằng chứng: customer GET /models/card -&gt; 200; {"status":"SUCCESS","result":{"generated_from":"shared_common/registry.py metadata + run_log.jsonl — không tính gì mới","db_name":"ecommerce_order_db","classifi</t>
  </si>
  <si>
    <t>Project: TECHSTORE_2026 | Phân hệ: PH9 – Phân tích AI &amp; dự đoán khách rời bỏ | Framework: pytest 9.1 + pytest-cov 7.1 (monkeypatch, FastAPI TestClient, SQLite in-memory; Python 3.10 trong image ai-forecast-service)</t>
  </si>
  <si>
    <t>pytest 9.1 + pytest-cov 7.1 (monkeypatch, FastAPI TestClient, SQLite in-memory; Python 3.10 trong image ai-forecast-service)</t>
  </si>
  <si>
    <t>MariaDB thay bằng SQLite in-memory (feature/nhãn) hoặc mock (risk-scan, phân khúc); registry ghi thư mục tạm</t>
  </si>
  <si>
    <t>AI/forecast-service/tests/</t>
  </si>
  <si>
    <t>docker run --rm --network none -v A:/Graduation-Project/AI/forecast-service:/workspace/forecast-service -w /workspace/forecast-service ai-forecast-service sh -c "pip install pytest pytest-cov httpx (wheel offline) &amp;&amp; python -m pytest -p no:cacheprovider tests/ --junitxml=... --cov=app --cov=shared_common --cov-branch --cov-report=json"  (BugCheck: python -m pytest tests/bugcheck_ph9_pricing.py)</t>
  </si>
  <si>
    <t>shared_common/features/fast_compute.py, assembler.py</t>
  </si>
  <si>
    <t>rfm_features(), behavior_features(), _cart_abandon_count(), compute_live_feature_matrix(), build_feature_matrix()</t>
  </si>
  <si>
    <t>11 feature churn: RFM chỉ đơn DELIVERED tới as_of, tỉ lệ huỷ/dùng mã, hành vi 7/30 ngày, bỏ giỏ (24h), default khi outer join.</t>
  </si>
  <si>
    <t>app/training/labels.py</t>
  </si>
  <si>
    <t>compute_churn_labels(), MIN_DELIVERED_ORDERS_FOR_CHURN</t>
  </si>
  <si>
    <t>Nhãn churn theo cửa sổ (as_of, as_of+window], nguồn activity/orders.</t>
  </si>
  <si>
    <t>app/services/risk_scheduler.py</t>
  </si>
  <si>
    <t>_compute_selection(), run_risk_scan()</t>
  </si>
  <si>
    <t>Dân số &gt;= 2 đơn DELIVERED -&gt; At Risk &amp; P &gt;= ngưỡng -&gt; có bỏ giỏ gần đây -&gt; xếp theo tổn thất kỳ vọng -&gt; cắt ngân sách -&gt; publish.</t>
  </si>
  <si>
    <t>app/services/risk_scoring.py</t>
  </si>
  <si>
    <t>effective_threshold(), RiskScoringService.predict()</t>
  </si>
  <si>
    <t>Ngưỡng legacy/override/metadata/mặc định; không trả kết quả giả khi chưa train.</t>
  </si>
  <si>
    <t>app/training/train.py</t>
  </si>
  <si>
    <t>_assign_cluster_labels(), _retrain_gate(), _assert_panel_not_contaminated(), _label_definition()</t>
  </si>
  <si>
    <t>Gán nhãn phân khúc theo churn đo được, cổng retrain theo AUC±std, chặn panel nhiễm.</t>
  </si>
  <si>
    <t>app/api/endpoints/forecast.py</t>
  </si>
  <si>
    <t>get_admin_segmentation(), get_admin_demand_forecasting(), get_admin_anomalies()</t>
  </si>
  <si>
    <t>Output phân khúc admin (%, spendRatio, màu), cờ is_demo_data cho dữ liệu minh hoạ.</t>
  </si>
  <si>
    <t>shared_common/registry.py, app/training/model_card.py</t>
  </si>
  <si>
    <t>save_model(), load_model(), load_metadata(), has_model(), build_model_card()</t>
  </si>
  <si>
    <t>Lưu version + con trỏ latest + run_log; model card đọc metadata.</t>
  </si>
  <si>
    <t>app/services/pricing.py, app/models/pricing.py</t>
  </si>
  <si>
    <t>calculate_price_sensitivity(), PricingRequest</t>
  </si>
  <si>
    <t>Điểm nhạy giá và ngưỡng hành động; validate request.</t>
  </si>
  <si>
    <t>Quyết định phát voucher nằm ở service</t>
  </si>
  <si>
    <t>Endpoint /risk/trigger-scan chỉ gọi RiskScheduler; thứ tự lọc -&gt; xếp hạng -&gt; ngân sách và ngưỡng hiệu dụng là logic thuần trên DataFrame, kiểm chính xác được bằng dữ liệu dựng tay.</t>
  </si>
  <si>
    <t>Feature/nhãn kiểm được bằng DB nhỏ</t>
  </si>
  <si>
    <t>fast_compute/labels đọc SQL đơn giản nên chạy được trên SQLite in-memory với vài dòng dựng tay, cho phép kiểm biên ngày/giờ (24h bỏ giỏ, đúng as_of, đúng as_of+window) mà không cần MariaDB.</t>
  </si>
  <si>
    <t>app/training/train.py::train_and_evaluate(), ablation.py, calibration.py, label_diagnostics.py, rule_benchmark.py</t>
  </si>
  <si>
    <t>Pipeline huấn luyện/thực nghiệm chạy trên dữ liệu thật hàng triệu dòng (phút/giờ); kiểm bằng chạy thực nghiệm và metric ghi trong registry, không phải unit test.</t>
  </si>
  <si>
    <t>app/training/experiments/*</t>
  </si>
  <si>
    <t>Script thực nghiệm nghiên cứu một lần, không chạy trong production.</t>
  </si>
  <si>
    <t>shared_common/features/behavior.py, rfm.py (đường SQL MariaDB)</t>
  </si>
  <si>
    <t>SQL dùng DATEDIFF/INTERVAL/COLLATE đặc thù MariaDB, không chạy được trên SQLite; công thức đã được kiểm qua bản pandas fast_compute (đã xác minh khớp 100% theo docstring) và qua assembler với nguồn mock.</t>
  </si>
  <si>
    <t>app/services/demand.py, anomaly.py, rfm.py; endpoint /forecast, /anomaly</t>
  </si>
  <si>
    <t>Mô-đun minh hoạ (dữ liệu sinh ngẫu nhiên/hardcode, đã gắn cờ is_demo_data) — ngoài phạm vi.</t>
  </si>
  <si>
    <t>app/kafka/risk_producer.py</t>
  </si>
  <si>
    <t>Wrapper AIOKafkaProducer; được thay bằng producer giả trong TC_PH9_RISK_06..08.</t>
  </si>
  <si>
    <t>AI/forecast-service (+ shared-common)</t>
  </si>
  <si>
    <t>55/59</t>
  </si>
  <si>
    <t>40/62</t>
  </si>
  <si>
    <t>app/services/pricing.py</t>
  </si>
  <si>
    <t>27/27</t>
  </si>
  <si>
    <t>18/18</t>
  </si>
  <si>
    <t>app/training/model_card.py</t>
  </si>
  <si>
    <t>39/41</t>
  </si>
  <si>
    <t>87/280</t>
  </si>
  <si>
    <t>92/155</t>
  </si>
  <si>
    <t>app/api/endpoints/pricing.py</t>
  </si>
  <si>
    <t>11/14</t>
  </si>
  <si>
    <t>app/models/pricing.py</t>
  </si>
  <si>
    <t>shared_common/features/fast_compute.py</t>
  </si>
  <si>
    <t>87/92</t>
  </si>
  <si>
    <t>shared_common/features/assembler.py</t>
  </si>
  <si>
    <t>14/14</t>
  </si>
  <si>
    <t>shared_common/registry.py</t>
  </si>
  <si>
    <t>57/57</t>
  </si>
  <si>
    <t>Tính gộp trên các module trong scope (cột Class = file module Python). Nguồn: pytest-cov --cov-branch JSON của lần chạy thật toàn bộ AI/forecast-service/tests/ (gồm 18 test có sẵn, 18 testcase PH8 ingest và 42 testcase PH9). train.py (797 dòng) chỉ kiểm các hàm trợ giúp _assign_cluster_labels/_retrain_gate/_assert_panel_not_contaminated/_label_definition nên độ phủ thấp; train_and_evaluate() không chạy trong unit test (cần DB thật). File bugcheck_*.py chạy riêng, không đo coverage.</t>
  </si>
  <si>
    <t>Test có sẵn trong repo (đã chạy lại, không tính vào bảng ca bên dưới): forecast-service có sẵn 3 file test_behavior_* (18 test) chạy cùng lệnh: 18/18 PASS; không sửa, không tính vào danh sách case PH9.</t>
  </si>
  <si>
    <t>fast_compute.py</t>
  </si>
  <si>
    <t>TC_PH9_FEAT_01</t>
  </si>
  <si>
    <t>AI/forecast-service/tests/test_qa_ph9_features.py</t>
  </si>
  <si>
    <t>rfm_features()</t>
  </si>
  <si>
    <t>Công thức RFM chỉ tính đơn DELIVERED tới as_of; tỉ lệ huỷ/dùng mã tính trên mọi đơn</t>
  </si>
  <si>
    <t>as_of=01/10/2026 12:00; user A: DELIVERED 21/09 (100), DELIVERED 28/09 23:00 (300, mã SALE10), CANCELLED 29/09, DELIVERED 05/10 (sau as_of)</t>
  </si>
  <si>
    <t>recency=3 (theo ngày), frequency=2, monetary=400, AOV=200, cancel_rate=1/3, discount_dependency=1/3</t>
  </si>
  <si>
    <t>TC_PH9_FEAT_02</t>
  </si>
  <si>
    <t>User chưa nhận đơn nào nhận giá trị mặc định, không chia cho 0</t>
  </si>
  <si>
    <t>user B chỉ có 1 đơn CANCELLED có mã giảm giá</t>
  </si>
  <si>
    <t>recency=9999, frequency=0, monetary=0, AOV=0, cancel_rate=1.0, discount_dependency=1.0</t>
  </si>
  <si>
    <t>TC_PH9_FEAT_03</t>
  </si>
  <si>
    <t>behavior_features()</t>
  </si>
  <si>
    <t>Feature hành vi 7/30 ngày và đếm bỏ giỏ</t>
  </si>
  <si>
    <t>user A: VIEW 30/09 (cat 1), VIEW 20/09 (cat 2), ADD_TO_CART 28/09 20:00 (có đơn 23:00), ADD_TO_CART 25/09 (không có đơn 24h)</t>
  </si>
  <si>
    <t>recent_view_count=1, days_since_last_activity=1, cart_abandon_count=1, view_to_cart=1.0, category_diversity=2</t>
  </si>
  <si>
    <t>TC_PH9_FEAT_04</t>
  </si>
  <si>
    <t>_cart_abandon_count()</t>
  </si>
  <si>
    <t>Biên cửa sổ 24h của 'bỏ giỏ'</t>
  </si>
  <si>
    <t>Thêm giỏ 01/09 10:00 + đơn 02/09 10:00 (đúng +24h); thêm giỏ 05/09 10:00 + đơn 06/09 10:00:01</t>
  </si>
  <si>
    <t>[False (đã mua), True (bỏ giỏ)]</t>
  </si>
  <si>
    <t>TC_PH9_FEAT_05</t>
  </si>
  <si>
    <t>compute_live_feature_matrix()</t>
  </si>
  <si>
    <t>Dựng ma trận feature phục vụ thật từ DB, outer-join 2 nguồn</t>
  </si>
  <si>
    <t>SQLite in-memory: bảng orders (5 dòng), user_events (6 dòng)</t>
  </si>
  <si>
    <t>as_of=01/10/2026 12:00</t>
  </si>
  <si>
    <t>Đúng 11 cột FEATURE_COLUMNS, không NaN, index {A,B,C}; C (chỉ có hành vi): recency=9999, days_since=16; B (chưa có hành vi): days_since=9999; A.monetary=400</t>
  </si>
  <si>
    <t>CheckDB: có — SQLite in-memory dựng riêng cho test (không chạm MariaDB thật)
Rollback: không cần (DB tạm huỷ sau test)</t>
  </si>
  <si>
    <t>assembler.py</t>
  </si>
  <si>
    <t>TC_PH9_FEAT_06</t>
  </si>
  <si>
    <t>build_feature_matrix()</t>
  </si>
  <si>
    <t>Đường SQL gốc: outer join và default đúng ngữ nghĩa</t>
  </si>
  <si>
    <t>fetch_order_features trả user A; fetch_behavior_features trả user Z</t>
  </si>
  <si>
    <t>engine giả</t>
  </si>
  <si>
    <t>A: days_since=9999, recent_view=0; Z: recency=9999, monetary=0; không NaN</t>
  </si>
  <si>
    <t>labels.py</t>
  </si>
  <si>
    <t>TC_PH9_LABEL_01</t>
  </si>
  <si>
    <t>compute_churn_labels()</t>
  </si>
  <si>
    <t>Biên cửa sổ nhãn churn (as_of, as_of+window]</t>
  </si>
  <si>
    <t>SQLite: A có đơn 05/10; B đơn 10/09; D đơn đúng as_of; E đơn đúng as_of+30 ngày</t>
  </si>
  <si>
    <t>user_ids=[A,B,D,E], as_of=01/10/2026 12:00, window=30, source='orders'</t>
  </si>
  <si>
    <t>{A:0, B:1, D:1, E:0}</t>
  </si>
  <si>
    <t>TC_PH9_LABEL_02</t>
  </si>
  <si>
    <t>Nguồn nhãn không hợp lệ bị từ chối</t>
  </si>
  <si>
    <t>SQLite</t>
  </si>
  <si>
    <t>source='views'</t>
  </si>
  <si>
    <t>ValueError</t>
  </si>
  <si>
    <t>labels.py / train.py</t>
  </si>
  <si>
    <t>TC_PH9_LABEL_03</t>
  </si>
  <si>
    <t>_label_definition()</t>
  </si>
  <si>
    <t>Định nghĩa nhãn v2 ghi kèm model khớp cấu hình</t>
  </si>
  <si>
    <t>MIN_DELIVERED_ORDERS_FOR_CHURN=2; source='orders', window_days=120, min_delivered_orders=2, label_version=LABEL_VERSION</t>
  </si>
  <si>
    <t>train.py</t>
  </si>
  <si>
    <t>TC_PH9_SEG_01</t>
  </si>
  <si>
    <t>_assign_cluster_labels()</t>
  </si>
  <si>
    <t>Gán 'At Risk' theo tỉ lệ churn đo được, 3 cụm còn lại theo monetary</t>
  </si>
  <si>
    <t>4 cụm: churn 0/1.0/0.5/0, monetary 500/900/100/300</t>
  </si>
  <si>
    <t>{1:'At Risk', 0:'VIP Champions', 3:'Loyal Regulars', 2:'Lapsed'}; churn At Risk=1.0, Lapsed=0.5</t>
  </si>
  <si>
    <t>TC_PH9_SEG_02</t>
  </si>
  <si>
    <t>k=5 lớn hơn số nhãn mô tả không làm mất cụm</t>
  </si>
  <si>
    <t>5 cụm, cụm 0 churn cao nhất</t>
  </si>
  <si>
    <t>5 nhãn; cụm 0 = 'At Risk'; cụm giá trị thấp nhất = 'Value Tier 4'</t>
  </si>
  <si>
    <t>TC_PH9_SEG_03</t>
  </si>
  <si>
    <t>_assert_panel_not_contaminated()</t>
  </si>
  <si>
    <t>Chặn train khi panel nhiễm dữ liệu lệch mốc thời gian</t>
  </si>
  <si>
    <t>Panel xấu: churn 100%, recency 2000 ngày; panel tốt: churn 50%, 1/4 user cũ</t>
  </si>
  <si>
    <t>Panel xấu -&gt; RuntimeError; panel tốt -&gt; không lỗi</t>
  </si>
  <si>
    <t>risk_scheduler.py</t>
  </si>
  <si>
    <t>TC_PH9_RISK_01</t>
  </si>
  <si>
    <t>AI/forecast-service/tests/test_qa_ph9_risk.py</t>
  </si>
  <si>
    <t>RiskScheduler._compute_selection()</t>
  </si>
  <si>
    <t>Phễu lọc risk-scan: dân số -&gt; At Risk &amp; ngưỡng -&gt; bỏ giỏ</t>
  </si>
  <si>
    <t>predict() mock 7 user (u1..u7); ngưỡng 0.30; ngân sách 2</t>
  </si>
  <si>
    <t>u3 freq=1; u4 Loyal; u5 p=0.30; u6 p=0.29; u7 không bỏ giỏ</t>
  </si>
  <si>
    <t>scored=7, in_population=6, at_risk_candidates=4, eligible=3</t>
  </si>
  <si>
    <t>TC_PH9_RISK_02</t>
  </si>
  <si>
    <t>Biên ngưỡng xác suất và lọc phân khúc</t>
  </si>
  <si>
    <t>Như RISK_01</t>
  </si>
  <si>
    <t>u5 p=0.30 (=ngưỡng), u6 p=0.29, u4 p=0.90 nhưng Loyal Regulars, u3 ngoài dân số</t>
  </si>
  <si>
    <t>Chỉ u5 được kiểm tra rule bỏ giỏ; u6, u4, u3 bị loại trước</t>
  </si>
  <si>
    <t>TC_PH9_RISK_03</t>
  </si>
  <si>
    <t>Lọc đủ điều kiện trước, xếp theo tổn thất kỳ vọng rồi cắt ngân sách</t>
  </si>
  <si>
    <t>Ngân sách 2</t>
  </si>
  <si>
    <t>Đủ điều kiện: u2 (EL 6tr), u1 (EL 900k), u5 (EL 600k); u7 EL 4tr nhưng không bỏ giỏ</t>
  </si>
  <si>
    <t>selected=[u2, u1]; ranked_count=3; budget=2</t>
  </si>
  <si>
    <t>TC_PH9_RISK_04</t>
  </si>
  <si>
    <t>Ngân sách 0 = không giới hạn</t>
  </si>
  <si>
    <t>RISK_MAX_VOUCHERS_PER_SCAN=0</t>
  </si>
  <si>
    <t>selected=[u2, u1, u5]</t>
  </si>
  <si>
    <t>TC_PH9_RISK_05</t>
  </si>
  <si>
    <t>Rule thời điểm dùng cửa sổ bỏ giỏ cấu hình</t>
  </si>
  <si>
    <t>RISK_ABANDON_GRACE_HOURS=48</t>
  </si>
  <si>
    <t>has_recent_abandoned_cart luôn được gọi với within_hours=48</t>
  </si>
  <si>
    <t>TC_PH9_RISK_06</t>
  </si>
  <si>
    <t>RiskScheduler.run_risk_scan()</t>
  </si>
  <si>
    <t>Chưa train model thì bỏ qua scan</t>
  </si>
  <si>
    <t>predict() ném ModelNotTrainedError</t>
  </si>
  <si>
    <t>run_risk_scan()</t>
  </si>
  <si>
    <t>status='SKIPPED' kèm lý do; không publish</t>
  </si>
  <si>
    <t>TC_PH9_RISK_07</t>
  </si>
  <si>
    <t>Không có user để chấm</t>
  </si>
  <si>
    <t>predict() trả DataFrame rỗng</t>
  </si>
  <si>
    <t>{status:SUCCESS, scored_users:0, ..., published:0}</t>
  </si>
  <si>
    <t>TC_PH9_RISK_08</t>
  </si>
  <si>
    <t>Publish đúng người được chọn kèm thứ hạng và giá trị khách hàng</t>
  </si>
  <si>
    <t>Producer rủi ro giả; ngân sách 2</t>
  </si>
  <si>
    <t>published=2, skipped_by_budget=1, threshold_used=0.30; sự kiện [u2, u1] segment At Risk; u2: riskRank=1, expectedLoss=6.000.000, monetary=10.000.000, churnProbability=0.60</t>
  </si>
  <si>
    <t>risk_scoring.py</t>
  </si>
  <si>
    <t>TC_PH9_THR_01</t>
  </si>
  <si>
    <t>effective_threshold()</t>
  </si>
  <si>
    <t>Model chưa hiệu chỉnh lùi về ngưỡng legacy</t>
  </si>
  <si>
    <t>load_model trả bundle không có cờ calibrated; override=0.1</t>
  </si>
  <si>
    <t>(0.5, False) — override bị bỏ qua</t>
  </si>
  <si>
    <t>TC_PH9_THR_02</t>
  </si>
  <si>
    <t>Thứ tự ưu tiên ngưỡng: override env &gt; metadata model</t>
  </si>
  <si>
    <t>Bundle calibrated=True; metadata suggested_threshold=0.26</t>
  </si>
  <si>
    <t>override=0.4; rồi override=None</t>
  </si>
  <si>
    <t>(0.4, True); rồi (0.26, True)</t>
  </si>
  <si>
    <t>TC_PH9_THR_03</t>
  </si>
  <si>
    <t>Ngưỡng dự phòng khi thiếu metadata / chưa có model</t>
  </si>
  <si>
    <t>Metadata thiếu threshold_tuning; sau đó load_model ném FileNotFoundError</t>
  </si>
  <si>
    <t>effective_threshold() 2 lần</t>
  </si>
  <si>
    <t>(0.25, True); rồi (0.25, False)</t>
  </si>
  <si>
    <t>TC_PH9_THR_04</t>
  </si>
  <si>
    <t>RiskScoringService.predict()</t>
  </si>
  <si>
    <t>Không trả kết quả giả khi chưa train</t>
  </si>
  <si>
    <t>has_model trả False</t>
  </si>
  <si>
    <t>predict()</t>
  </si>
  <si>
    <t>ModelNotTrainedError</t>
  </si>
  <si>
    <t>TC_PH9_SEG_04</t>
  </si>
  <si>
    <t>get_admin_segmentation()</t>
  </si>
  <si>
    <t>Phân bố phân khúc admin tính đúng dân số, %, tỉ trọng chi tiêu</t>
  </si>
  <si>
    <t>predict() mock 5 user (1 user chỉ 1 đơn); last_computed_at=17/10/2026 08:00</t>
  </si>
  <si>
    <t>a,b At Risk (100, 100); c VIP (600); d VIP freq=1 (9999); e Lapsed (200)</t>
  </si>
  <si>
    <t>Tổng 4 user; At Risk đứng đầu, count=2, 50%; VIP spendRatio=60%, màu #10b981; computed_at='2026-10-17T08:00:00'; is_demo_data=False</t>
  </si>
  <si>
    <t>TC_PH9_SEG_05</t>
  </si>
  <si>
    <t>Chưa train thì không bịa số</t>
  </si>
  <si>
    <t>data=[], is_demo_data=False, note nhắc train</t>
  </si>
  <si>
    <t>TC_PH9_SEG_06</t>
  </si>
  <si>
    <t>get_admin_demand_forecasting(), get_admin_anomalies()</t>
  </si>
  <si>
    <t>Dữ liệu minh hoạ luôn được gắn cờ</t>
  </si>
  <si>
    <t>Gọi 2 endpoint</t>
  </si>
  <si>
    <t>is_demo_data=True + note; demand có 10 mốc ngày</t>
  </si>
  <si>
    <t>registry.py</t>
  </si>
  <si>
    <t>TC_PH9_REG_01</t>
  </si>
  <si>
    <t>AI/forecast-service/tests/test_qa_ph9_registry_pricing.py</t>
  </si>
  <si>
    <t>save_model(), load_model(), load_metadata(), has_model()</t>
  </si>
  <si>
    <t>Lưu/nạp model và metadata theo con trỏ latest</t>
  </si>
  <si>
    <t>MODELS_DIR=tmp_path</t>
  </si>
  <si>
    <t>save churn_classifier {w:1} (auc 0.8) rồi {w:2} (auc 0.85)</t>
  </si>
  <si>
    <t>2 version khác nhau; load latest={w:2}; load v1={w:1}; metadata version=v2, auc_mean=0.85; has_model(classifier)=True, has_model(kmeans)=False</t>
  </si>
  <si>
    <t>TC_PH9_REG_02</t>
  </si>
  <si>
    <t>save_model(update_latest=False)</t>
  </si>
  <si>
    <t>Bản bị retrain-gate từ chối không thay model production nhưng vẫn lưu vết</t>
  </si>
  <si>
    <t>save 'old'; save 'new' với update_latest=False</t>
  </si>
  <si>
    <t>load latest='old'; load v2='new'; run_log.jsonl có đủ [v1, v2]</t>
  </si>
  <si>
    <t>TC_PH9_REG_03</t>
  </si>
  <si>
    <t>load_model(), load_metadata()</t>
  </si>
  <si>
    <t>Nạp model chưa có báo lỗi rõ ràng</t>
  </si>
  <si>
    <t>MODELS_DIR=tmp_path rỗng</t>
  </si>
  <si>
    <t>load churn_kmeans; load_metadata churn_kmeans; load version không tồn tại</t>
  </si>
  <si>
    <t>FileNotFoundError cả 3 trường hợp</t>
  </si>
  <si>
    <t>model_card.py</t>
  </si>
  <si>
    <t>TC_PH9_CARD_01</t>
  </si>
  <si>
    <t>build_model_card()</t>
  </si>
  <si>
    <t>Model card khi chưa train</t>
  </si>
  <si>
    <t>classifier/segmentation status bắt đầu 'CHƯA TRAIN'; known_limitations &gt;= 5 mục</t>
  </si>
  <si>
    <t>TC_PH9_CARD_02</t>
  </si>
  <si>
    <t>Model card đọc đúng metadata, lịch sử train và top-5 feature</t>
  </si>
  <si>
    <t>2 lần lưu classifier (lần 2 kèm 8 feature_importance), 1 lần lưu kmeans</t>
  </si>
  <si>
    <t>metrics: auc_mean 0.84, suggested_threshold 0.26, calibrated True; kmeans n_clusters 4</t>
  </si>
  <si>
    <t>version = bản mới nhất; threshold_suggested=0.26; total_training_runs=2 (không tính kmeans); top5 có 5 phần tử; segmentation.n_clusters=4</t>
  </si>
  <si>
    <t>TC_PH9_CARD_03</t>
  </si>
  <si>
    <t>_retrain_gate()</t>
  </si>
  <si>
    <t>Cổng retrain: AUC mới &gt;= AUC cũ - std cũ</t>
  </si>
  <si>
    <t>Model cũ AUC 0.84 ± 0.02, label v2</t>
  </si>
  <si>
    <t>AUC mới 0.82; 0.8199; đổi nhãn v3 (AUC 0.5); chưa có model cũ (AUC 0.1)</t>
  </si>
  <si>
    <t>passed: True / False / True / True</t>
  </si>
  <si>
    <t>pricing.py</t>
  </si>
  <si>
    <t>TC_PH9_PRICE_01</t>
  </si>
  <si>
    <t>calculate_price_sensitivity()</t>
  </si>
  <si>
    <t>Quy tắc điểm nhạy giá và ngưỡng hành động 0.70/0.40</t>
  </si>
  <si>
    <t>(REGULAR, At Risk, 3tr); (vip, VIP Champions, 5tr); (GOLD, Loyal Regulars, 100k); (SILVER, New, 1tr)</t>
  </si>
  <si>
    <t>0.90 HIGH; 0.40 LOW (biên, tier không phân biệt hoa thường); 0.30 NO_DISCOUNT; 0.60 LOW</t>
  </si>
  <si>
    <t>pricing.py (endpoint)</t>
  </si>
  <si>
    <t>TC_PH9_PRICE_02</t>
  </si>
  <si>
    <t>POST /pricing/predict</t>
  </si>
  <si>
    <t>Endpoint định giá với request hợp lệ</t>
  </si>
  <si>
    <t>userId=7, productId=3, GOLD, At Risk, cartTotal=2.500.000</t>
  </si>
  <si>
    <t>HTTP 200; GIVE_HIGH_DISCOUNT; aiPriceScore ∈ [0,1]</t>
  </si>
  <si>
    <t>models/pricing.py</t>
  </si>
  <si>
    <t>TC_PH9_PRICE_03</t>
  </si>
  <si>
    <t>Request thiếu field / sai kiểu bị từ chối</t>
  </si>
  <si>
    <t>Thiếu cartTotal; userId='abc'; thiếu customerTier; thiếu segmentationLabel</t>
  </si>
  <si>
    <t>HTTP 422 cả 4 trường hợp</t>
  </si>
  <si>
    <t>TC_PH9_PRICE_04</t>
  </si>
  <si>
    <t>AI/forecast-service/tests/bugcheck_ph9_pricing.py</t>
  </si>
  <si>
    <t>cartTotal âm phải bị từ chối</t>
  </si>
  <si>
    <t>GOLD, New, cartTotal=-5.000.000</t>
  </si>
  <si>
    <t>TC_PH9_PRICE_05</t>
  </si>
  <si>
    <t>customerTier ngoài VIP/GOLD/SILVER/REGULAR phải bị từ chối</t>
  </si>
  <si>
    <t>customerTier='PLATINUM_HACK'</t>
  </si>
  <si>
    <t>PricingRequest.cartTotal không có ràng buộc (&gt;= 0): cartTotal=-5.000.000 vẫn trả 200 và được chấm như 'giỏ nhỏ' (-0.10 điểm nhạy giá).</t>
  </si>
  <si>
    <t>AI/forecast-service/app/models/pricing.py:9; app/services/pricing.py:33-36</t>
  </si>
  <si>
    <t>PricingRequest.customerTier là str tự do dù hợp đồng ghi VIP/GOLD/SILVER/REGULAR: giá trị lạ ('PLATINUM_HACK') được nhận và âm thầm xử lý như REGULAR thay vì 422.</t>
  </si>
  <si>
    <t>AI/forecast-service/app/models/pricing.py:7; app/services/pricing.py:21-25</t>
  </si>
  <si>
    <t>NHÓM: DASHBOARD AI</t>
  </si>
  <si>
    <t>API_PH9_001</t>
  </si>
  <si>
    <t>/api/v1/admin/analytics/segmentation</t>
  </si>
  <si>
    <t>Phân khúc khách hàng (admin)</t>
  </si>
  <si>
    <t>HTTP 200; is_demo_data=false</t>
  </si>
  <si>
    <t>HTTP 200  (92 ms)
{"is_demo_data": false, "data": "[4 phần tử]"}</t>
  </si>
  <si>
    <t>API_PH9_002</t>
  </si>
  <si>
    <t>Customer không xem được phân tích</t>
  </si>
  <si>
    <t>API_PH9_003</t>
  </si>
  <si>
    <t>/api/v1/admin/analytics/demand-forecasting</t>
  </si>
  <si>
    <t>Dự báo nhu cầu được gắn nhãn dữ liệu minh họa</t>
  </si>
  <si>
    <t>HTTP 200; is_demo_data=true</t>
  </si>
  <si>
    <t>HTTP 200  (11 ms)
{"is_demo_data": true}</t>
  </si>
  <si>
    <t>API_PH9_004</t>
  </si>
  <si>
    <t>/api/v1/admin/analytics/anomalies</t>
  </si>
  <si>
    <t>Nhật ký bất thường được gắn nhãn dữ liệu minh họa</t>
  </si>
  <si>
    <t>HTTP 200  (13 ms)
{"data":[{"id":"TX-78391","timestamp":"2026-07-10 14:23:11","amount":154000000,"user":"nguyenvan_a@gmail.com","riskScore":92,"reason":"Giá trị đơn hàng cao đột biến &amp; Đặt liên tiếp 3 đơn trong 5 phút"</t>
  </si>
  <si>
    <t>API_PH9_005</t>
  </si>
  <si>
    <t>/api/v1/models/train</t>
  </si>
  <si>
    <t>Customer không được huấn luyện model</t>
  </si>
  <si>
    <t>HTTP 403 (chỉ ADMIN/STAFF)</t>
  </si>
  <si>
    <t>HTTP 200  (6694 ms)
{"status":"SUCCESS","metrics":{"classifier":{"eval_protocol":"grouped_cv__user_disjoint__train_on_earlier_cutoffs","n_splits":5,"threshold":0.5,"per_fold":[{"precision":0.3,"recall":0.6,"f1":0.4,"auc"
Không đạt: HTTP status ∈ 403</t>
  </si>
  <si>
    <t>Bug: HTTP status ∈ 403: expected [ 403 ] to include 200</t>
  </si>
  <si>
    <t>API_PH9_006</t>
  </si>
  <si>
    <t>/api/v1/risk/trigger-scan</t>
  </si>
  <si>
    <t>Customer không được chạy quét rủi ro (phát voucher)</t>
  </si>
  <si>
    <t>HTTP 200  (3722 ms)
{"status": "SUCCESS"}
Không đạt: HTTP status ∈ 403</t>
  </si>
  <si>
    <t>NHÓM: MODEL CHURN</t>
  </si>
  <si>
    <t>API_PH9_007</t>
  </si>
  <si>
    <t>/api/v1/models/card</t>
  </si>
  <si>
    <t>Thẻ mô tả model</t>
  </si>
  <si>
    <t>HTTP 200  (23 ms)
{"status":"SUCCESS","result":{"generated_from":"shared_common/registry.py metadata + run_log.jsonl — không tính gì mới","db_name":"ecommerce_order_db","classifier":{"version":"20261017T142120147611","</t>
  </si>
  <si>
    <t>API_PH9_008</t>
  </si>
  <si>
    <t>/api/v1/rfm/trigger</t>
  </si>
  <si>
    <t>Phân cụm RFM</t>
  </si>
  <si>
    <t>HTTP 200  (50 ms)
{"status": "SUCCESS"}</t>
  </si>
  <si>
    <t>NHÓM: ĐỊNH GIÁ</t>
  </si>
  <si>
    <t>API_PH9_009</t>
  </si>
  <si>
    <t>/api/v1/pricing/predict</t>
  </si>
  <si>
    <t>Dự đoán giá: từ chối thiếu trường bắt buộc</t>
  </si>
  <si>
    <t>{
 "userId": 1
}</t>
  </si>
  <si>
    <t>HTTP 422  (11 ms)
{"detail": [{"type": "missing", "loc": ["body", "productId"], "msg": "Field required", "input": {"userId": 1}}, {"type": "missing", "loc": ["body", "customerTier"], "msg": "Field required", "input": {"userId": 1}}, {"type": "missing", "loc": ["body", "segmentationLabel"], "msg": "Field required", "input": {"userId": 1}}, {"type": "missing", "loc": ["body", "cartTotal"], "msg": "Field required", "i</t>
  </si>
  <si>
    <t>NHÓM: DASHBOARD</t>
  </si>
  <si>
    <t>API_PH9_010</t>
  </si>
  <si>
    <t>/api/v1/admin/users/stats</t>
  </si>
  <si>
    <t>Thống kê người dùng (admin)</t>
  </si>
  <si>
    <t>HTTP 200; totalUsers &gt; 0</t>
  </si>
  <si>
    <t>HTTP 200  (26 ms)
{"code": "SUCCESS", "message": "Thành công"}</t>
  </si>
  <si>
    <t>API_PH9_011</t>
  </si>
  <si>
    <t>/api/v1/admin/campaigns/dashboard</t>
  </si>
  <si>
    <t>Dashboard khuyến mãi (admin)</t>
  </si>
  <si>
    <t>HTTP 200  (34 ms)
{"code": "SUCCESS", "message": "Thành công", "data.totalIssued": 0}</t>
  </si>
  <si>
    <t>pytest 9.1 + pytest-cov 7.1 (monkeypatch, FastAPI TestClient, SQLite in-memory; Python 3.10 trong image ai-forecast-service), Playwright 1.64</t>
  </si>
  <si>
    <t>npx playwright test ui/PH9.spec.ts</t>
  </si>
  <si>
    <t>test_qa_ph9_features.py</t>
  </si>
  <si>
    <t>assert a["recency"] == 3          # 01/10 - 28/10 theo NGÀY (bỏ giờ, giống DATEDIFF)
assert a["frequency"] == 2 and a["monetary"] == 400.0 and a["avg_order_value"] == 200.0
assert a["cancel_rate"] == pytest.approx(1 / 3) and a["discount_dependency"] == pytest.approx(1 / 3)
assert (b["recency"], b["frequency"], b["monetary"], b["avg_order_value"]) == (9999, 0, 0.0, 0.0)
assert b["cancel_rate"] == 1.0 and b["discount_dependency"] == 1.0</t>
  </si>
  <si>
    <t>assert (b["recency"], b["frequency"], b["monetary"], b["avg_order_value"]) == (9999, 0, 0.0, 0.0)
assert b["cancel_rate"] == 1.0 and b["discount_dependency"] == 1.0
assert a["recent_view_count"] == 1
assert a["days_since_last_activity"] == 1
assert a["cart_abandon_count"] == 1          # chỉ lần thêm giỏ 25/09</t>
  </si>
  <si>
    <t>assert a["recent_view_count"] == 1
assert a["days_since_last_activity"] == 1
assert a["cart_abandon_count"] == 1          # chỉ lần thêm giỏ 25/09
assert a["view_to_cart_conversion_rate"] == 1.0  # 2 thêm giỏ / 2 lượt xem trong 30 ngày
assert a["category_diversity_viewed"] == 2</t>
  </si>
  <si>
    <t>assert out.tolist() == [False, True]
assert list(X.columns) == assembler.FEATURE_COLUMNS and len(X.columns) == 11
assert not X.isna().any().any()
assert set(X.index) == {"A", "B", "C"}
assert c["recency"] == 9999 and c["frequency"] == 0 and c["days_since_last_activity"] == 16</t>
  </si>
  <si>
    <t>assert list(X.columns) == assembler.FEATURE_COLUMNS and len(X.columns) == 11
assert not X.isna().any().any()
assert set(X.index) == {"A", "B", "C"}
assert c["recency"] == 9999 and c["frequency"] == 0 and c["days_since_last_activity"] == 16
assert X.loc["B"]["days_since_last_activity"] == 9999  # chưa từng có hành vi</t>
  </si>
  <si>
    <t>assert X.loc["A", "days_since_last_activity"] == 9999 and X.loc["A", "recent_view_count"] == 0
assert X.loc["Z", "recency"] == 9999 and X.loc["Z", "monetary"] == 0.0
assert not X.isna().any().any()
assert labels == {"A": 0, "B": 1, "D": 1, "E": 0}
with pytest.raises(ValueError):</t>
  </si>
  <si>
    <t>assert labels == {"A": 0, "B": 1, "D": 1, "E": 0}
with pytest.raises(ValueError):
assert labels_module.MIN_DELIVERED_ORDERS_FOR_CHURN == 2
assert d["source"] == "orders" and d["window_days"] == 120 and d["min_delivered_orders"] == 2
assert d["label_version"] == labels_module.LABEL_VERSION</t>
  </si>
  <si>
    <t>with pytest.raises(ValueError):
assert labels_module.MIN_DELIVERED_ORDERS_FOR_CHURN == 2
assert d["source"] == "orders" and d["window_days"] == 120 and d["min_delivered_orders"] == 2
assert d["label_version"] == labels_module.LABEL_VERSION
assert labels == {1: "At Risk", 0: "VIP Champions", 3: "Loyal Regulars", 2: "Lapsed"}</t>
  </si>
  <si>
    <t>assert labels_module.MIN_DELIVERED_ORDERS_FOR_CHURN == 2
assert d["source"] == "orders" and d["window_days"] == 120 and d["min_delivered_orders"] == 2
assert d["label_version"] == labels_module.LABEL_VERSION
assert labels == {1: "At Risk", 0: "VIP Champions", 3: "Loyal Regulars", 2: "Lapsed"}
assert rates["At Risk"] == 1.0 and rates["Lapsed"] == 0.5</t>
  </si>
  <si>
    <t>assert labels == {1: "At Risk", 0: "VIP Champions", 3: "Loyal Regulars", 2: "Lapsed"}
assert rates["At Risk"] == 1.0 and rates["Lapsed"] == 0.5
assert len(labels) == 5 and labels[0] == "At Risk" and labels[4] == "Value Tier 4"
with pytest.raises(RuntimeError):</t>
  </si>
  <si>
    <t>assert len(labels) == 5 and labels[0] == "At Risk" and labels[4] == "Value Tier 4"
with pytest.raises(RuntimeError):</t>
  </si>
  <si>
    <t>with pytest.raises(RuntimeError):</t>
  </si>
  <si>
    <t>test_qa_ph9_risk.py</t>
  </si>
  <si>
    <t>assert out["status"] == "SUCCESS"
assert (out["scored_users"], out["in_population"], out["at_risk_candidates"], out["eligible"]) == (7, 6, 4, 3)
assert "u5" in checked_users and "u6" not in checked_users and "u4" not in checked_users and "u3" not in checked_users
assert list(out["selected"].index) == ["u2", "u1"]
assert out["ranked_count"] == 3 and out["budget"] == 2</t>
  </si>
  <si>
    <t>assert "u5" in checked_users and "u6" not in checked_users and "u4" not in checked_users and "u3" not in checked_users
assert list(out["selected"].index) == ["u2", "u1"]
assert out["ranked_count"] == 3 and out["budget"] == 2
assert list(out["selected"].index) == ["u2", "u1", "u5"]
assert scan and all(h == 48 for _, h in scan)</t>
  </si>
  <si>
    <t>assert list(out["selected"].index) == ["u2", "u1"]
assert out["ranked_count"] == 3 and out["budget"] == 2
assert list(out["selected"].index) == ["u2", "u1", "u5"]
assert scan and all(h == 48 for _, h in scan)
assert out["status"] == "SKIPPED" and "train" in out["reason"]</t>
  </si>
  <si>
    <t>assert list(out["selected"].index) == ["u2", "u1", "u5"]
assert scan and all(h == 48 for _, h in scan)
assert out["status"] == "SKIPPED" and "train" in out["reason"]
assert prod.events == []
assert out == {"status": "SUCCESS", "scored_users": 0, "in_population": 0, "at_risk_candidates": 0,</t>
  </si>
  <si>
    <t>assert scan and all(h == 48 for _, h in scan)
assert out["status"] == "SKIPPED" and "train" in out["reason"]
assert prod.events == []
assert out == {"status": "SUCCESS", "scored_users": 0, "in_population": 0, "at_risk_candidates": 0,
assert out["published"] == 2 and out["skipped_by_budget"] == 1 and out["threshold_used"] == 0.30</t>
  </si>
  <si>
    <t>assert out["status"] == "SKIPPED" and "train" in out["reason"]
assert prod.events == []
assert out == {"status": "SUCCESS", "scored_users": 0, "in_population": 0, "at_risk_candidates": 0,
assert out["published"] == 2 and out["skipped_by_budget"] == 1 and out["threshold_used"] == 0.30
assert [(u, s) for u, s, _ in prod.events] == [("u2", "At Risk"), ("u1", "At Risk")]</t>
  </si>
  <si>
    <t>assert out == {"status": "SUCCESS", "scored_users": 0, "in_population": 0, "at_risk_candidates": 0,
assert out["published"] == 2 and out["skipped_by_budget"] == 1 and out["threshold_used"] == 0.30
assert [(u, s) for u, s, _ in prod.events] == [("u2", "At Risk"), ("u1", "At Risk")]
assert first["riskRank"] == 1 and first["expectedLoss"] == pytest.approx(6_000_000)
assert first["monetary"] == 10_000_000 and first["churnProbability"] == pytest.approx(0.60)</t>
  </si>
  <si>
    <t>assert out["published"] == 2 and out["skipped_by_budget"] == 1 and out["threshold_used"] == 0.30
assert [(u, s) for u, s, _ in prod.events] == [("u2", "At Risk"), ("u1", "At Risk")]
assert first["riskRank"] == 1 and first["expectedLoss"] == pytest.approx(6_000_000)
assert first["monetary"] == 10_000_000 and first["churnProbability"] == pytest.approx(0.60)
assert rsc.effective_threshold() == (forecast_settings.RISK_CHURN_PROBABILITY_THRESHOLD_LEGACY, False)</t>
  </si>
  <si>
    <t>assert rsc.effective_threshold() == (forecast_settings.RISK_CHURN_PROBABILITY_THRESHOLD_LEGACY, False)
assert rsc.effective_threshold() == (0.4, True)
assert rsc.effective_threshold() == (0.26, True)
assert rsc.effective_threshold() == (forecast_settings.RISK_CHURN_PROBABILITY_THRESHOLD, True)
assert rsc.effective_threshold() == (forecast_settings.RISK_CHURN_PROBABILITY_THRESHOLD, False)</t>
  </si>
  <si>
    <t>assert rsc.effective_threshold() == (0.4, True)
assert rsc.effective_threshold() == (0.26, True)
assert rsc.effective_threshold() == (forecast_settings.RISK_CHURN_PROBABILITY_THRESHOLD, True)
assert rsc.effective_threshold() == (forecast_settings.RISK_CHURN_PROBABILITY_THRESHOLD, False)
with pytest.raises(ModelNotTrainedError):</t>
  </si>
  <si>
    <t>assert rsc.effective_threshold() == (forecast_settings.RISK_CHURN_PROBABILITY_THRESHOLD, True)
assert rsc.effective_threshold() == (forecast_settings.RISK_CHURN_PROBABILITY_THRESHOLD, False)
with pytest.raises(ModelNotTrainedError):
assert out["is_demo_data"] is False and out["computed_at"] == "2026-10-17T08:00:00"
assert out["data"][0]["segment"] == "At Risk"</t>
  </si>
  <si>
    <t>with pytest.raises(ModelNotTrainedError):
assert out["is_demo_data"] is False and out["computed_at"] == "2026-10-17T08:00:00"
assert out["data"][0]["segment"] == "At Risk"
assert rows["At Risk"]["count"] == 2 and rows["At Risk"]["percentage"] == 50.0
assert rows["VIP Champions"]["spendRatio"] == 60.0 and rows["VIP Champions"]["color"] == "#10b981"</t>
  </si>
  <si>
    <t>assert out["is_demo_data"] is False and out["computed_at"] == "2026-10-17T08:00:00"
assert out["data"][0]["segment"] == "At Risk"
assert rows["At Risk"]["count"] == 2 and rows["At Risk"]["percentage"] == 50.0
assert rows["VIP Champions"]["spendRatio"] == 60.0 and rows["VIP Champions"]["color"] == "#10b981"
assert sum(r["count"] for r in out["data"]) == 4  # user 'd' (1 đơn) bị loại</t>
  </si>
  <si>
    <t>assert out["data"] == [] and out["is_demo_data"] is False and "train" in out["note"]
assert d["is_demo_data"] is True and d["note"] and len(d["data"]["dates"]) == 10
assert a["is_demo_data"] is True and a["note"]</t>
  </si>
  <si>
    <t>assert d["is_demo_data"] is True and d["note"] and len(d["data"]["dates"]) == 10
assert a["is_demo_data"] is True and a["note"]</t>
  </si>
  <si>
    <t>test_qa_ph9_registry_pricing.py</t>
  </si>
  <si>
    <t>assert v1 != v2  # độ phân giải micro-giây: 2 lần train liên tiếp không ghi đè nhau
assert registry.load_model("churn_classifier") == {"w": 2}
assert registry.load_model("churn_classifier", v1) == {"w": 1}
assert meta["version"] == v2 and meta["feature_version"] == "churn_v1" and meta["metrics"]["auc_mean"] == 0.85
assert registry.has_model("churn_classifier") and not registry.has_model("churn_kmeans")</t>
  </si>
  <si>
    <t>assert registry.load_model("churn_classifier") == "old"
assert registry.load_model("churn_classifier", v2) == "new"
assert [json.loads(x)["version"] for x in lines] == [v1, v2]
with pytest.raises(FileNotFoundError):
with pytest.raises(FileNotFoundError):</t>
  </si>
  <si>
    <t>with pytest.raises(FileNotFoundError):
with pytest.raises(FileNotFoundError):
with pytest.raises(FileNotFoundError):
assert card["classifier"]["status"].startswith("CHƯA TRAIN")
assert card["segmentation"]["status"].startswith("CHƯA TRAIN")</t>
  </si>
  <si>
    <t>assert card["classifier"]["status"].startswith("CHƯA TRAIN")
assert card["segmentation"]["status"].startswith("CHƯA TRAIN")
assert len(card["known_limitations"]) &gt;= 5
assert c["version"] == v and c["threshold_suggested"] == 0.26 and c["calibrated"] is True
assert c["grouped_cv"]["auc_mean"] == 0.84 and c["total_training_runs"] == 2</t>
  </si>
  <si>
    <t>assert c["version"] == v and c["threshold_suggested"] == 0.26 and c["calibrated"] is True
assert c["grouped_cv"]["auc_mean"] == 0.84 and c["total_training_runs"] == 2
assert len(c["feature_importance_top5"]) == 5
assert card["segmentation"]["n_clusters"] == 4
assert train_module._retrain_gate(dict(label, auc_mean=0.82))["passed"] is True     # đúng biên 0.82</t>
  </si>
  <si>
    <t>assert train_module._retrain_gate(dict(label, auc_mean=0.82))["passed"] is True     # đúng biên 0.82
assert train_module._retrain_gate(dict(label, auc_mean=0.8199))["passed"] is False
assert train_module._retrain_gate({"label_definition": {"label_version": "v3"}, "auc_mean": 0.5})["passed"] is True
assert train_module._retrain_gate(dict(label, auc_mean=0.1))["passed"] is True
assert out == {"aiPriceScore": score, "recommendedAction": action}</t>
  </si>
  <si>
    <t>assert out == {"aiPriceScore": score, "recommendedAction": action}
assert r.status_code == 200
assert body["recommendedAction"] == "GIVE_HIGH_DISCOUNT" and 0.0 &lt;= body["aiPriceScore"] &lt;= 1.0
assert TestClient(app).post("/api/v1/pricing/predict", json=body).status_code == 422</t>
  </si>
  <si>
    <t>assert r.status_code == 200
assert body["recommendedAction"] == "GIVE_HIGH_DISCOUNT" and 0.0 &lt;= body["aiPriceScore"] &lt;= 1.0
assert TestClient(app).post("/api/v1/pricing/predict", json=body).status_code == 422</t>
  </si>
  <si>
    <t>assert TestClient(app).post("/api/v1/pricing/predict", json=body).status_code == 422</t>
  </si>
  <si>
    <t>bugcheck_ph9_pricing.py</t>
  </si>
  <si>
    <t>assert r.status_code == 422, f"status={r.status_code}, body={r.json()}"
assert r.status_code == 422, f"status={r.status_code}, body={r.json()}"</t>
  </si>
  <si>
    <t>pm.test('HTTP status ∈ ' + __exp.join('/'), () =&gt; pm.expect(__exp).to.include(pm.response.code));
pm.test('is_demo_data = false', () =&gt; pm.expect(j.is_demo_data).to.eql(false));</t>
  </si>
  <si>
    <t>pm.test('HTTP status ∈ ' + __exp.join('/'), () =&gt; pm.expect(__exp).to.include(pm.response.code));
pm.test('is_demo_data = true', () =&gt; pm.expect(j.is_demo_data).to.eql(true));</t>
  </si>
  <si>
    <t>pm.test('HTTP status ∈ ' + __exp.join('/'), () =&gt; pm.expect(__exp).to.include(pm.response.code));
pm.test('totalUsers &gt; 0', () =&gt; pm.expect(j.data.totalUsers).to.be.above(0));</t>
  </si>
  <si>
    <t>ui/PH9.spec.ts</t>
  </si>
  <si>
    <t>KIỂM THỬ HIỆU NĂNG - PHÂN HỆ PHÂN TÍCH AI &amp; DỰ ĐOÁN KHÁCH RỜI BỎ</t>
  </si>
  <si>
    <t>http://localhost:8004 (forecast-service)</t>
  </si>
  <si>
    <t>Load Test (AI): GET /api/v1/admin/analytics/segmentation, GET /api/v1/models/card</t>
  </si>
  <si>
    <t>POST /api/v1/models/train</t>
  </si>
  <si>
    <t>Huấn luyện model, CPU nặng, chạy thủ công.</t>
  </si>
  <si>
    <t>POST /api/v1/risk/trigger-scan</t>
  </si>
  <si>
    <t>Phát voucher thật.</t>
  </si>
  <si>
    <t>GET /api/v1/admin/analytics/segmentation (phân khúc)</t>
  </si>
  <si>
    <t>GET /api/v1/models/card (thẻ model)</t>
  </si>
  <si>
    <t>p95 &lt; 1000 ms</t>
  </si>
  <si>
    <t>6 ca giao diện không đạt.</t>
  </si>
  <si>
    <t>11 ca, 2 ca không đạt — chủ yếu sai mã lỗi HTTP / phân quyền / bảo mật (xem sheet API).</t>
  </si>
  <si>
    <t>Line coverage tầng service 64.8%, branch 52.8%. 2 ca BugCheck ghi nhận lỗi.</t>
  </si>
  <si>
    <t>1. API_PH9_005: Customer không được huấn luyện model — mong đợi HTTP 403 (chỉ ADMIN/STAFF); thực tế HTTP 200.
2. API_PH9_006: Customer không được chạy quét rủi ro (phát voucher) — mong đợi HTTP 403; thực tế HTTP 200.
3. TC_PH9_PRICE_04: PricingRequest.cartTotal không có ràng buộc (&gt;= 0): cartTotal=-5.000.000 vẫn trả 200 và được chấm như 'giỏ nhỏ' (-0.10 điểm nhạy giá).
4. TC_PH9_PRICE_05: PricingRequest.customerTier là str tự do dù hợp đồng ghi VIP/GOLD/SILVER/REGULAR: giá trị lạ ('PLATINUM_HACK') được nhận và âm thầm xử lý như REGULAR thay vì 422.
5. UI_PH9_FR02_002: Dự báo nhu cầu lấy từ máy chủ AI và gắn nhãn dữ liệu minh họa — Trình duyệt chặn phản hồi: "blocked by CORS policy: The 'Access-Control-Allow-Origin' header contains multiple values". forecast-service (app/main.py) tự thêm CORSMiddleware (allow_origins=["*"], allow_credentials=True) trong khi gateway cũng thêm header CORS, nên mỗi phản hồi có 2 header Access-Control-Allow-Origin. FE rơi vào dữ liệu dự phòng hardcode với banner "Không gọi được máy chủ AI — hiển thị dữ liệu minh họa dự phòng." (gọi API trực tiếp vẫn 200). Các service AI khác đã cố ý bỏ CORSMiddleware. Bằng chứng: API (gọi trực tiếp) is_demo_data=true, note="Dữ liệu minh họa (sinh ngẫu nhiên) — demand forecasting theo…". Banner trên giao diện: "Không gọi được máy chủ AI — hiển thị dữ liệu minh họa dự phòng."; lỗi trình duyệt khi gọi API phân tích: console: Access to fetch at 'http://localhost:8080/api/v1/admin/analytics/demand-forecasting' from origin 'http://localhost:5173' has been blocked by CORS policy: The 'Access-Control-Allow-Origin' header contains multiple values 'http://lo || requestfailed /admin/analytics/demand-forecasting net::ERR_FAILED || console: Access to fetch at 'http://localhost:8080/api/v1/admin/analytics/anomalies' from origin 'http://localhost:5173' has been blocked by CORS policy: The 'Access-Control-Allow-Origin' header contains multiple values 'http://localhost:5
6. UI_PH9_FR02_003: Phát hiện bất thường có danh sách và nhãn minh họa — Cùng nguyên nhân CORS với UI_PH9_FR02_002: giao diện chỉ hiện danh sách dự phòng và banner "Không gọi được máy chủ AI…", không hiện note của API. Bằng chứng: API: 3 cảnh báo, note="Dữ liệu minh họa (hardcode) — phát hiện giao dịch bất thường…". Banner trên giao diện: "Không gọi được máy chủ AI — hiển thị dữ liệu minh họa dự phòng."; lỗi trình duyệt khi gọi API phân tích: console: Access to fetch at 'http://localhost:8080/api/v1/admin/analytics/demand-forecasting' from origin 'http://localhost:5173' has been blocked by CORS policy: The 'Access-Control-Allow-Origin' header contains multiple values 'http://lo || requestfailed /admin/analytics/demand-forecasting net::ERR_FAILED || console: Access to fetch at 'http://localhost:8080/api/v1/admin/analytics/anomalies' from origin 'http://localhost:5173' has been blocked by CORS policy: The 'Access-Control-Allow-Origin' header contains multiple values 'http://localhost:5
7. UI_PH9_FR02_004: Phân cụm khách hàng hiển thị dữ liệu thật — Giao diện hiện VIP Champions 45%, Loyal Regulars 35%, Lapsed 15%, At Risk 5% Doanh thu (bộ số dự phòng trong aiApi.ts, tổng 1.965 khách) thay vì 46.9%/16.2%/14.2%/22.8% của API; nguyên nhân CORS như UI_PH9_FR02_002. Admin thấy số giả trong khi mô hình đã train trên dữ liệu thật. Bằng chứng: API: VIP Champions 55 KH/46.9%DT, At Risk 44 KH/22.8%DT, Loyal Regulars 32 KH/16.2%DT, Lapsed 27 KH/14.2%DT; giao diện: VIP Champions 45% Doanh thu, Loyal Regulars 35% Doanh thu, Lapsed 15% Doanh thu, At Risk 5% Doanh thu. Banner trên giao diện: "Không gọi được máy chủ AI — hiển thị dữ liệu minh họa dự phòng."; lỗi trình duyệt khi gọi API phân tích: console: Access to fetch at 'http://localhost:8080/api/v1/admin/analytics/demand-forecasting' from origin 'http://localhost:5173' has been blocked by CORS policy: The 'Access-Control-Allow-Origin' header contains multiple values 'http://lo || requestfailed /admin/analytics/demand-forecasting net::ERR_FAILED || console: Access to fetch at 'http://localhost:8080/api/v1/admin/analytics/anomalies' from origin 'http://localhost:5173' has been blocked by CORS policy: The 'Access-Control-Allow-Origin' header contains multiple values 'http://localhost:5
8. UI_PH9_FR02_006: Khuyến nghị tồn kho hiển thị số tồn thực tế — Dòng "Samsung Galaxy S26 Ultra 5G 12GB 256GB" ghi tồn 12 chiếc, nhu cầu 45 chiếc, "Cực kỳ thiếu hụt (Rủi ro Out-of-Stock)" kèm nút "Tạo Đơn Nhập Kho Khẩn Cấp", trong khi tồn kho thực là 189. AnalyticsAITab gán cứng currentStock 12/5/42 cho 3 sản phẩm đầu danh sách. Bằng chứng: SP đầu danh sách #1 "Samsung Galaxy S26 Ultra 5G 12GB 256GB": tồn kho thực 189 (3 biến thể); giao diện ghi "Samsung Galaxy S26 Ultra 5G 12GB 256GB 12 chiếc 45 chiếc Cực kỳ thiếu hụt (Rủi ro Out-of-Stock) Tạo Đơn Nhập Kho Khẩn Cấp"
9. UI_PH9_FR02_007: Nút "Kích Hoạt Chiến Dịch Ngay" của AI Analytics — Alert "Chiến dịch AI Targeted Campaign đã được khởi tạo! 220 Khách hàng đã được gửi email thông báo." nhưng không có request ghi nào, số chiến dịch giữ 0, SMTP sink không có email nào. Tương tự các nút khóa/gỡ cờ đã ghi ở HUONG_DAN mục 13. Bằng chứng: Alert: "Chiến dịch AI Targeted Campaign đã được khởi tạo! 220 Khách hàng đã được gửi email thông báo."; request ghi tới promotion/notification: 0; số chiến dịch 0→0; email mới trong SMTP sink: 0
10. UI_PH9_FR03_005: Khách hàng gọi API thẻ mô hình churn — Trả 200 kèm toàn bộ metadata mô hình churn (phiên bản, ngày train, định nghĩa nhãn…). Gateway chỉ yêu cầu authenticated cho /api/v1/models/** và forecast-service không kiểm tra vai trò (F4). Các API ghi cùng nhóm như /models/train, /risk/trigger-scan không được thử để tránh thay đổi mô hình hoặc phát voucher. Bằng chứng: customer GET /models/card -&gt; 200; {"status":"SUCCESS","result":{"generated_from":"shared_common/registry.py metadata + run_log.jsonl — không tính gì mới","db_name":"ecommerce_order_db","classifi</t>
  </si>
  <si>
    <t>Ưu điểm:
- Tách rõ huấn luyện và phục vụ: chỉ /models/train fit model; predict chỉ load artifact qua registry (risk_scoring.py:93-118), có retrain gate chặn model kém (train.py:333-378).
- Feature store tính trước, giúp chấm điểm không phải chạy SQL tổng hợp 25-40 phút; risk-scan chạy trong threadpool, max_instances=1 (risk_scheduler.py:30-36, :115).
- Ngưỡng churn đọc từ metadata model và có đường lùi khi model chưa hiệu chỉnh (risk_scoring.py:28-71).
- Endpoint public ingest được validate kỹ bằng Pydantic (whitelist action/source, giới hạn batch, weight).
- Comment tập trung giải thích 'tại sao', dễ bảo trì; consumer tự kiểm tra cột `source` để tương thích lúc deploy.</t>
  </si>
  <si>
    <t>Hạn chế:
- Không file nào có header bản quyền/tác giả. Chỉ một số file có docstring module (behavior_consumer.py:1-6, state.py:1-5, risk_scheduler.py:1-5); main.py, forecast.py, anomaly.py, demand.py không có.
- Đường phục vụ còn nhiều số ma thuật: pricing.py:18-46 (0.45, 0.15, 2000000.0, 0.70) hardcode; anomaly.py:28 contamination=0.05; demand.py:28-36 (15.0, 5.0, 3.0). Ngược lại, config.py và train.py đã đặt tên hằng số.
- risk_scoring, risk_scheduler, behavior_* có docstring kỹ. Còn thiếu ở get_demand_forecast, detect_metric_anomaly, trigger_rfm_clustering (forecast.py:25, :49, :63), get_price_sensitivity (pricing.py:10), BehaviorEventConsumer.start/stop và class RiskEventProducer.
- demand.py:11-13 ghi 'Uses Prophet / LightGBM' nhưng thực ra là mock sin + nhiễu; forecast.py:42 trả model_used='LightGBM'; pricing.py:20 ghi 'representing XGBoost classifier outputs' nhưng chỉ là rule cứng; main.py:15 nói 'Cả 2 chạy nền' trong khi khởi động 4 thành phần.
- Comment phần churn rõ và khớp code. Nhưng các ghi chú sai ở demand.py:13, pricing.py:20 và mô tả app (main.py:30 'Demand Forecasting, Anomaly Detection, dynamic pricing') khiến người đọc tưởng có model thật.
- risk_scheduler.py:134-149: nếu send_and_wait lỗi giữa vòng lặp thì các user còn lại bị bỏ và không trả được số đã publish. publish_batch đếm theo lượt `send` chứ không theo xác nhận giao (behavior_producer.py:57-60). publish_churn_risk gặp _producer=None sẽ AttributeError (risk_producer.py:49).</t>
  </si>
  <si>
    <t>Phân hệ Phân tích AI &amp; dự đoán khách rời bỏ đáp ứng các luồng nghiệp vụ chính khi kiểm thử trên môi trường local; các lỗi phát hiện tập trung ở xử lý ngoại lệ (mã lỗi HTTP), phân quyền chi tiết và một số điểm bảo mật/độ bền đã liệt kê ở mục 2. Cần sửa các lỗi mức Cao trước khi triển khai.</t>
  </si>
  <si>
    <t>5 Use Case (CHUONG_I 3.8: AI Chatbot Counseling, Enter Counseling Query, Retrieve Knowledge Base, Generate AI Response, Direct Support Chat) + 1 kịch bản chi tiết (CHUONG_II 1.7)</t>
  </si>
  <si>
    <t>docs/AI/chatbot-ai.md; docs/services/10_CHAT_SERVICE.md; CHUONG_I_DAC_TA.md mục 1 (từ khoá #61), mục 2 Bước 3 (luồng trợ lý ảo) &amp; Bước 4 (Phiên hỗ trợ trực tuyến), mục 3.1 (AI Chatbot Counseling, Direct Support Chat), mục 3.8 (biểu đồ UC trợ lý AI); CHUONG_II_PHA_PHAN_TICH.md mục 1.7 (kịch bản AI Chatbot Counseling &amp; Support Escalation), mục 2 Bước 3 f (ChatRoom, ChatMessage); RA_SOAT_BAO_CAO_VS_CODE.md A9, B14, B15, C11-C13, E39-E43</t>
  </si>
  <si>
    <t>File markdown: 10_CHAT_SERVICE.md chỉ có dòng 'Port | DB | Version: 1.0.0' và ghi chú 'Rà soát 2026-10-11'; chatbot-ai.md chỉ có 'Cập nhật lần gần nhất: 2026-10-11'. Không có mã tài liệu, không có người duyệt.</t>
  </si>
  <si>
    <t>Không theo mẫu SRS; 10_CHAT_SERVICE.md là 'TÀI LIỆU THIẾT KẾ', chatbot-ai.md là mô tả hệ thống.</t>
  </si>
  <si>
    <t>10_CHAT_SERVICE.md có tên và Version 1.0.0 nhưng thiếu công ty/logo, mã dự án, mã tài liệu, ngày ban hành; chatbot-ai.md chỉ có tiêu đề H1.</t>
  </si>
  <si>
    <t>chatbot-ai.md mục 0 có bảng 'Thiết kế ban đầu vs Thực tế', nhưng đó không phải bảng lịch sử phiên bản; 10_CHAT_SERVICE.md chỉ có ghi chú ⚠️ nằm trong văn bản.</t>
  </si>
  <si>
    <t>10_CHAT_SERVICE.md vẫn để Version 1.0.0 dù đã sửa ngày 2026-10-11 (lẽ ra phải tăng phiên bản); chatbot-ai.md không có số phiên bản.</t>
  </si>
  <si>
    <t>chatbot-ai.md dòng 3: tài liệu mô tả đúng hệ thống đang chạy; 10_CHAT_SERVICE.md mục 1.1 mô tả nghiệp vụ.</t>
  </si>
  <si>
    <t>10_CHAT_SERVICE.md mục 1.1 (4 nhóm chức năng); chatbot-ai.md mục 1 (kiến trúc, luồng 7 bước) và mục 8 tách rõ chuyển nhân viên thuộc chat-service.</t>
  </si>
  <si>
    <t>Không có bảng thuật ngữ; RAG, NLU, intent, STOMP, Least Connections không được định nghĩa. CHUONG_I mục 1 chỉ có từ khoá #61.</t>
  </si>
  <si>
    <t>chatbot-ai.md liên kết REVIEW_REPORT.md và các file code; 10_CHAT_SERVICE.md không có mục tài liệu tham khảo.</t>
  </si>
  <si>
    <t>Chỉ có tên và đường dẫn, không có ngày phát hành (chi tiết ở 3 dòng dưới).</t>
  </si>
  <si>
    <t>Có tên file (REVIEW_REPORT.md, chatbot.py, config.py…).</t>
  </si>
  <si>
    <t>Không ghi ngày phát hành.</t>
  </si>
  <si>
    <t>Liên kết tương đối trong repo (../../AI/chatbot-service/...).</t>
  </si>
  <si>
    <t>chatbot-ai.md có 'Hạn chế đã biết' (mục 3, 4) và 'Rủi ro timeout' (mục 6); 10_CHAT_SERVICE.md có cảnh báo luồng offline chưa hoạt động.</t>
  </si>
  <si>
    <t>Không có mục mô tả cấu trúc tài liệu.</t>
  </si>
  <si>
    <t>CHUONG_II 1.7 có tiền/hậu điều kiện và kịch bản; 10_CHAT_SERVICE.md mục 1.2 có vòng đời phòng; chatbot-ai.md mục 1 có luồng xử lý.</t>
  </si>
  <si>
    <t>10_CHAT_SERVICE.md mục 1.1 và 4.1; chatbot-ai.md bảng 8 intent (mục 2) và 4 tool (mục 5); CHUONG_I 3.8 có 5 UC.</t>
  </si>
  <si>
    <t>Room Management / Messaging / Auto Distribution / Offline; NLU / RAG sản phẩm / RAG chính sách / tool / guardrail.</t>
  </si>
  <si>
    <t>CHUONG_I dòng 118, 3.8 dòng 305 và CHUONG_II 1.7 bước 7 ghi Gemini + stream SSE, trong khi code dùng DeepSeek và trả JSON một lần (llm_client.py:38-45, RA_SOAT A9). Bước 9 ghi sentiment 0.92 bật nút chuyển, còn code chỉ log và điểm cố định 0.85 (chatbot.py:141-143, classifier.py:21). Hàng đợi ưu tiên, vị trí chờ, đánh giá phiên không có (RA_SOAT C12-C13).</t>
  </si>
  <si>
    <t>CHUONG_II 1.7 nêu actor Customer và Sales staff; 10_CHAT_SERVICE.md 4.1 tách endpoint khách/nhân viên. Khách vãng lai chat được nhưng không có trong UC (RA_SOAT B14).</t>
  </si>
  <si>
    <t>10_CHAT_SERVICE.md 4.1: ROLE_STAFF/ROLE_ADMIN cho /admin/chat; khách vãng lai nhận diện qua X-Guest-Id.</t>
  </si>
  <si>
    <t>Sơ đồ kiến trúc ASCII (chatbot-ai.md mục 1), 2 sequence diagram mermaid (10_CHAT_SERVICE.md 2.1-2.2), biểu đồ UC (CHUONG_I 3.8).</t>
  </si>
  <si>
    <t>Không mô tả đặc điểm khách hàng hay nhân viên hỗ trợ.</t>
  </si>
  <si>
    <t>Chỉ dùng DeepSeek, timeout 60s, plain text, không lọc theo giá, phải build lại index rồi restart (chatbot-ai.md 3, 4, 6); trình duyệt không gửi được header ở WS handshake (10_CHAT_SERVICE.md 2.1).</t>
  </si>
  <si>
    <t>Phụ thuộc DeepSeek API key/credit và product/order/user/promotion-service; chat-service phụ thuộc Mongo, Redis, Kafka, MinIO; chưa có consumer cho notification-events.</t>
  </si>
  <si>
    <t>Không có danh sách yêu cầu có mã; chỉ có mô tả và danh sách endpoint.</t>
  </si>
  <si>
    <t>10_CHAT_SERVICE.md mục 1.2 'Đặc điểm lưu trữ' nói tin nhắn AI lưu chung chatMessages với senderRole=AI để nhân viên đọc lại, nhưng code lưu hội thoại bot ở Redis chat:{session}:history (memory.py:23), tách khỏi Mongo. Báo cáo (Gemini/SSE, AI trong chat-service) mâu thuẫn với chatbot-ai.md.</t>
  </si>
  <si>
    <t>Không có.</t>
  </si>
  <si>
    <t>Chỉ có tên UC tiếng Anh, không có mã hiệu.</t>
  </si>
  <si>
    <t>Liên kết trong chatbot-ai.md đúng, nhưng CHUONG_I 3.8 dẫn tới file:///d:/Downloads/Graduation-Project/... (đường dẫn máy cá nhân, không mở được).</t>
  </si>
  <si>
    <t>Không có tiêu chí nghiệm thu; '1.5 giây' ở CHUONG_II 1.7 bước 7 là lời kể kịch bản; script RAGAS 'chưa chạy thường xuyên' (chatbot-ai.md mục 0).</t>
  </si>
  <si>
    <t>Thiếu: giới hạn độ dài tin nhắn, quy tắc định danh khách vãng lai, quyền gửi/subscribe theo phòng, lỗi trả về khi gửi WS vào phòng đã đóng.</t>
  </si>
  <si>
    <t>chatbot-ai.md mục 0 đánh dấu phần chưa làm (streaming, PhoBERT, summarization); mục 8 ghi escalate chỉ là stub; 10_CHAT_SERVICE.md ghi ⚠️ luồng email offline chưa hoạt động.</t>
  </si>
  <si>
    <t>Có ngưỡng 0.82/0.80 và timeout 60s, nhưng không có chỉ tiêu chất lượng (độ chính xác intent, latency mục tiêu, tỉ lệ trả lời đúng).</t>
  </si>
  <si>
    <t>Trong phạm vi; riêng phiếu đổi hàng và đánh giá phiên trong CHUONG_II 1.7 bước 19-20 vượt phần đã làm.</t>
  </si>
  <si>
    <t>10_CHAT_SERVICE.md mục V 'Chi tiết triển khai code mẫu chuẩn' là mã Java; chatbot-ai.md mô tả cài đặt (file, hàm, ngưỡng).</t>
  </si>
  <si>
    <t>LLM lỗi thì dùng heuristic/mock (chatbot-ai.md 2, 6); điểm &lt; 0.80 thì từ chối và đưa hotline (mục 4); CHUONG_II 1.7 có ngoại lệ 6.1, 13.1; không có nhân viên thì chuyển WAITING (10_CHAT_SERVICE.md 2.2).</t>
  </si>
  <si>
    <t>Đủ: collection Mongo, key Redis, REST endpoint, kênh STOMP (10_CHAT_SERVICE.md III-IV); intent, tool, ngưỡng (chatbot-ai.md).</t>
  </si>
  <si>
    <t>Streaming 1.5s, vị trí hàng đợi, đánh giá phiên (CHUONG_II 1.7), email offline (không có consumer) và lưu tin AI vào chatMessages đều chưa thực hiện được với kiến trúc hiện tại.</t>
  </si>
  <si>
    <t>Least Connections (10_CHAT_SERVICE.md 5.3), dò tìm sản phẩm 5 bước (chatbot-ai.md 3), phân loại độ tin cậy (mục 4), NLU 1 lần gọi (mục 2).</t>
  </si>
  <si>
    <t>Endpoint, ngưỡng, intent đều kiểm tra được; có bộ câu hỏi data/test-qa-dataset.md.</t>
  </si>
  <si>
    <t>Thông báo trong CHUONG_II ngoại lệ 6.1 ('Bạn có muốn kết nối với chuyên viên…') khác code POLICY_REJECT_MSG (chatbot.py:20-23, chỉ đưa hotline); thông báo 13.1 về vị trí hàng đợi không tồn tại.</t>
  </si>
  <si>
    <t>4 tool tra cứu đơn/điểm/voucher/bảo hành (tools.py) không có UC nào tương ứng (RA_SOAT B15); khách vãng lai cũng không có trong UC.</t>
  </si>
  <si>
    <t>Xác thực JWT ở STOMP CONNECT (10_CHAT_SERVICE.md 2.1), quyền STAFF/ADMIN cho admin API (4.1), tool chỉ đọc và không tin user_id trong body (chatbot-ai.md 5). Nhưng chưa có yêu cầu kiểm tra quyền theo phòng và chống giả mạo guest.</t>
  </si>
  <si>
    <t>Xác thực OAuth2/JWT Keycloak, phân quyền theo role (RBAC), guardrail off-topic, chỉ cho tool đọc.</t>
  </si>
  <si>
    <t>Không có yêu cầu sao lưu/lưu giữ; TTL 24h của lịch sử bot (chatbot-ai.md 7) là thiết kế, không phải yêu cầu sao lưu.</t>
  </si>
  <si>
    <t>CHUONG_II 1.7 mô tả UI (nút gợi ý, nút kết nối nhân viên) nhưng không có yêu cầu usability đo được.</t>
  </si>
  <si>
    <t>Chỉ nêu rủi ro timeout và warm-up; không có yêu cầu ổn định/uptime.</t>
  </si>
  <si>
    <t>Timeout 30s mỗi lần gọi LLM, 60s ở gateway (chatbot-ai.md 6), warm-up 30-45s (mục 4); CHUONG_II ghi 1.5s, không thống nhất với 60s.</t>
  </si>
  <si>
    <t>Không có số phiên chat đồng thời, tin nhắn/ngày hay số nhân viên.</t>
  </si>
  <si>
    <t>Quy trình build lại index + restart (chatbot-ai.md 4), script RAGAS, REVIEW_REPORT.md.</t>
  </si>
  <si>
    <t>FastAPI, DeepSeek, FAISS + multilingual-e5-base, Redis; MongoDB, STOMP/SockJS, MinIO, Kafka (10_CHAT_SERVICE.md header, II-III).</t>
  </si>
  <si>
    <t>REST endpoint và kênh STOMP (10_CHAT_SERVICE.md IV), API chatbot (chatbot-ai.md 1).</t>
  </si>
  <si>
    <t>CHUONG_II 1.7 mô tả khung chat, nút 'Kết nối trực tiếp với Nhân viên hỗ trợ', bảng chờ SupportChatTab; chatbot-ai.md nêu AIChatbotWidget.jsx.</t>
  </si>
  <si>
    <t>DeepSeek API (chatbot-ai.md 6), Keycloak JWK (10_CHAT_SERVICE.md 2.1), MinIO.</t>
  </si>
  <si>
    <t>chatbot → product/order/user/promotion-service (bảng mục 5); FE → PUT /public/chat/rooms/{id}/handover (chatbot-ai.md 8); chat-service → Kafka notification-events.</t>
  </si>
  <si>
    <t>WebSocket STOMP + SockJS fallback, endpoint /api/v1/public/chat/ws, REST JSON (10_CHAT_SERVICE.md 2.1, 4.2).</t>
  </si>
  <si>
    <t>DeepSeek (API trả phí theo credit), model mã nguồn mở multilingual-e5-base, MinIO.</t>
  </si>
  <si>
    <t>DeepSeek chỉ có tên model và endpoint; không có quota, chi phí, SLA hay điều khoản; chỉ nhắc 'hết credit' (chatbot-ai.md 2, 6).</t>
  </si>
  <si>
    <t>Nội dung chat (có thể kèm thông tin đơn hàng/cá nhân) được gửi sang LLM bên thứ ba ở nước ngoài, lịch sử chat được lưu lại, nên có khía cạnh pháp lý về dữ liệu cá nhân.</t>
  </si>
  <si>
    <t>Không nhắc đồng ý của người dùng, chính sách lưu giữ hay chuyển dữ liệu ra nước ngoài.</t>
  </si>
  <si>
    <t>chatbot-ai.md khớp code (ngưỡng 0.82/0.80 = config.py:39-40; cửa sổ 20 tin = memory.py:29, :54). Nhưng 10_CHAT_SERVICE.md mục 1.2 (tin AI trong chatMessages) và báo cáo CHUONG_I/II (Gemini, SSE, AI trong chat-service, RA_SOAT E39-E42) sai.</t>
  </si>
  <si>
    <t>Yêu cầu kiểm soát truy cập theo phòng chat (chỉ chủ phòng/nhân viên được đọc, gửi, subscribe) có được đặc tả không?</t>
  </si>
  <si>
    <t>10_CHAT_SERVICE.md 4.2 chỉ liệt kê kênh, không quy định ai được subscribe /topic/rooms.updates hay /topic/room/{id}; code cũng không kiểm tra (ChatWebSocketController.java:26-58).</t>
  </si>
  <si>
    <t>Điểm mạnh: chatbot-ai.md mô tả trung thực hệ thống đang chạy, có bảng đối chiếu thiết kế cũ với thực tế và nêu rõ hạn chế/rủi ro; 10_CHAT_SERVICE.md có đủ cấu trúc dữ liệu, endpoint, kênh STOMP, sequence diagram và đã đánh dấu luồng offline chưa hoạt động. Điểm yếu: không theo mẫu SRS và không có kiểm soát tài liệu; không có yêu cầu có mã, độ ưu tiên, tiêu chí nghiệm thu; báo cáo CHUONG_I/II lệch nhiều so với code (Gemini/SSE, sentiment 0.92 kích hoạt chuyển, hàng đợi ưu tiên, đánh giá phiên); 10_CHAT_SERVICE.md mục 1.2 sai về nơi lưu tin AI; chưa đặc tả quyền truy cập theo phòng và định danh khách vãng lai — đúng là chỗ code đang có lỗ hổng.</t>
  </si>
  <si>
    <t>1. Chuyển sang mẫu SRS có trang tiêu đề, phiên bản, bảng lịch sử thay đổi, thuật ngữ (RAG, NLU, STOMP…); tăng version 10_CHAT_SERVICE.md sau mỗi lần sửa.
2. Viết yêu cầu có mã cho từng chức năng (FR-CHATBOT-xx, FR-CHAT-xx) kèm tiêu chí nghiệm thu (vd độ chính xác intent trên test-qa-dataset, latency P95).
3. Bổ sung yêu cầu bảo mật: chỉ chủ phòng/nhân viên được đọc, gửi, subscribe; định danh khách vãng lai không giả mạo được; giới hạn độ dài tin nhắn; quy định dữ liệu gửi sang DeepSeek.
4. Sửa CHUONG_I (dòng 118, 3.8) và CHUONG_II 1.7 cho khớp code: DeepSeek, JSON không stream, chỉ intent complaint mới chuyển nhân viên, không có hàng đợi ưu tiên/đánh giá phiên; thêm UC cho 4 tool tra cứu và actor khách vãng lai.
5. Sửa 10_CHAT_SERVICE.md mục 1.2: lịch sử AI lưu ở Redis của chatbot-service, nhân viên không đọc được; sửa liên kết puml file:/// trong CHUONG_I 3.8.
6. Bổ sung quy mô (số phiên đồng thời, tin/ngày) và yêu cầu lưu giữ/sao lưu lịch sử chat.</t>
  </si>
  <si>
    <t>chatbot-service (AI/chatbot-service/app/) + chat-service (BE/chat-service/src/main/java/com/ecommerce/chatservice/)</t>
  </si>
  <si>
    <t>35 file, khoảng 2.700 LOC: chatbot-service 15 file (main, config, endpoint chatbot.py, model, llm_client, memory, prompt, tools, nlu x2, rag x2, requirements, Dockerfile, shared_common/database.py); chat-service 20 file (3 config, 3 controller, DTO, 2 entity, event listener, 2 repository, 3 interface + 3 impl service, 2 application yml); có đối chiếu route/security của api-gateway và tên các test</t>
  </si>
  <si>
    <t>chatbot-service chia module rõ (nlu, rag, tools, memory, prompt); chat-service theo lớp controller/service/repository. Điểm trừ: decodeHeaderValue bị lặp ở 2 controller (CustomerChatController.java:129-139, StaffChatController.java:63-73); ResponseStatusException viết FQCN lặp 4 lần (CustomerChatController.java:48, :63, :84, :104).</t>
  </si>
  <si>
    <t>Java theo quy ước Spring/Lombok, Python theo PEP8. Lệch chuẩn: trạng thái phòng là chuỗi ma thuật thay vì enum ('AI_CHAT', 'CLOSED' ở ChatRoomServiceImpl.java:39, :90); dùng @app.on_event đã deprecated (main.py:16); Pydantic v2 nhưng vẫn viết `class Config` kiểu v1 (models/chatbot.py:10-11).</t>
  </si>
  <si>
    <t>Tên rõ nghĩa: clientUserId, onlineStaffIds, retrieved_context_str, citation_titles. Ngoại lệ nhỏ: biến `r` (memory.py:22, :42).</t>
  </si>
  <si>
    <t>Thụt lề 4 space nhất quán; còn dòng trống có khoảng trắng thừa (ChatRoomServiceImpl.java:54, :63; CustomerChatController.java:46, :49; memory.py:24).</t>
  </si>
  <si>
    <t>Java dùng K&amp;R nhất quán; literal Python nhất quán.</t>
  </si>
  <si>
    <t>Không file nào có header bản quyền/tác giả; chỉ heuristics.py:1-6 có docstring module.</t>
  </si>
  <si>
    <t>config.py:21-48 giải thích từng URL và ngưỡng (vd ngưỡng 0.82/0.80 hiệu chỉnh cho e5-base, dòng 35-38); field entity có chú thích giá trị (ChatRoom.java:23, :33; ChatMessage.java:28-30).</t>
  </si>
  <si>
    <t>Còn nhiều số ma thuật: memory.py:54-56 (19, 86400), llm_client.py:42 timeout=30, tools.py:87 timeout=5, product_rag.py:186/211 timeout=3, tools.py:192 `points * 1000` (tỉ giá điểm hardcode), SENTIMENT_SCORES cố định 0.85 so với ngưỡng 0.80 (classifier.py:21, chatbot.py:141).</t>
  </si>
  <si>
    <t>Python có docstring kỹ (product_rag.py, policy_rag.py, classifier.py). Java gần như không có Javadoc: interface ChatRoomService.java, ChatMessageService.java, toàn bộ method trong ChatRoomServiceImpl/ChatMessageServiceImpl; controller chỉ có comment 1 dòng.</t>
  </si>
  <si>
    <t>5 bước tìm sản phẩm dự phòng (product_rag.py:218-257), tách câu so sánh (product_rag.py:47-65), gọi spec song song (product_rag.py:171-177), least-connections (ChatRoomServiceImpl.java:55).</t>
  </si>
  <si>
    <t>Không có code bị comment bỏ; có giải thích phần đã gỡ: CORS (main.py:26-32), chuẩn hoá iphone/redmi (product_rag.py:81-88).</t>
  </si>
  <si>
    <t>product_rag.py:172-175 và policy_rag.py:40 vẫn ghi gateway timeout 30s, trong khi ai-chatbot-cb đã là 60s (api-gateway application.yml:236). policy_rag.py:16 ghi 'data/policies/*.md' nhưng index build từ FE/src/assets/policies_source (config.py:33). /health in INTENT/SENTIMENT_MODEL_NAME PhoBERT (main.py:41-42, config.py:18-19) dù không nạp model nào.</t>
  </si>
  <si>
    <t>Ngoài các comment lỗi thời ở trên: ChatMessageServiceImpl.java:75 ghi 'Push offline email notification' nhưng không có consumer nào nghe notification-events; chatbot.py:143 và :215 ghi 'In production…' cho các stub không làm gì.</t>
  </si>
  <si>
    <t>Python giải thích lý do tốt: vì sao dùng def sync (chatbot.py:107-112), vì sao lấy lịch sử trước NLU (chatbot.py:121-124). Comment Java thì chủ yếu mô tả 'làm gì' (ChatMessageServiceImpl.java:55 '// Save new message').</t>
  </si>
  <si>
    <t>get_order_status, autoAssignStaffIfPossible, handoverRoom đều đúng nghĩa. Ngoại lệ: sinh câu trả lời LLM cho mọi intent lại gọi product_rag_service.generate_reply (chatbot.py:193), đặt trong lớp RAG sản phẩm là không đúng chỗ.</t>
  </si>
  <si>
    <t>tools.py:191-192: nếu `data` là null thì `points * 1000` ném TypeError; lỗi này không bị bắt (chỉ bắt RequestException) nên endpoint trả 500. Kết quả kafkaTemplate.send bị bỏ qua (ChatMessageServiceImpl.java:101). Khi có 2 phòng chưa đóng, findByCustomerIdAndStatusNot ném IncorrectResultSizeDataAccessException (ChatRoomServiceImpl.java:32).</t>
  </si>
  <si>
    <t>Endpoint chatbot bắt mọi lỗi → 500 (chatbot.py:202-204); tool bắt RequestException và trả câu thân thiện; LLM lỗi thì rơi về heuristic/mock (classifier.py:121-126, product_rag.py:296-304); chat-service dùng ResponseStatusException. Không có @ControllerAdvice.</t>
  </si>
  <si>
    <t>@MessageMapping không có @MessageExceptionHandler (ChatWebSocketController.java:26-58), nên lỗi 'phòng đã đóng/không tồn tại' không báo về người gửi. /chatbot/escalate luôn trả SUCCESS mà không làm gì (chatbot.py:211-216). detail=str(e) lộ chi tiết nội bộ (chatbot.py:204).</t>
  </si>
  <si>
    <t>GC Java/Python; ThreadPoolExecutor đặt trong with (product_rag.py:195-196); lịch sử Redis có TTL 24h (memory.py:56); ảnh MinIO tự xoá sau N ngày (MinioStorageServiceImpl.java:119-136).</t>
  </si>
  <si>
    <t>InputStream upload dùng try-with-resources (MinioStorageServiceImpl.java:67-76). Nhưng trạng thái online của nhân viên trong Redis (chat:online_staff, WebSocketEventListener.java:38) không có TTL: service crash hoặc mất kết nối không phát SessionDisconnectEvent thì entry còn mãi, và phòng vẫn được tự gán cho nhân viên đã offline.</t>
  </si>
  <si>
    <t>Không thấy đóng 2 lần; SREM khi disconnect là idempotent (WebSocketEventListener.java:55-58).</t>
  </si>
  <si>
    <t>Các khởi tạo lazy kiểu check-then-set không lock trong threadpool FastAPI: PolicyRagService._ensure_loaded (policy_rag.py:46-68), MemoryManagerService.redis (memory.py:12-15), _cached_base_prompt (prompt.py:24-41). Riêng _ensure_loaded đã được giảm nhẹ nhờ warm_up lúc startup.</t>
  </si>
  <si>
    <t>Document ChatRoom bị đọc-sửa-ghi nguyên object, không có @Version: saveMessage (ChatMessageServiceImpl.java:43-73) chạy song song với closeRoom (ChatRoomServiceImpl.java:114-116) có thể ghi đè status CLOSED. getOrCreateRoom kiểu find-then-insert không có unique index (ChatRoomServiceImpl.java:32-44, ChatRoom.java:22) nên có thể tạo trùng phòng. @Transactional (ChatMessageServiceImpl.java:41) không có tác dụng vì không cấu hình MongoTransactionManager.</t>
  </si>
  <si>
    <t>Không dùng lock tường minh nào.</t>
  </si>
  <si>
    <t>Không có lock nên không deadlock, nhưng có tranh chấp: 2 nhân viên cùng assignStaff một phòng thì người ghi sau thắng, không kiểm tra phòng đã có người (ChatRoomServiceImpl.java:86-99). Nhân viên mở 2 tab, đóng 1 tab là bị SREM khỏi online set dù vẫn đang kết nối (WebSocketEventListener.java:55-58).</t>
  </si>
  <si>
    <t>Các bước dự phòng tìm kiếm có giới hạn (product_rag.py:244-257); vòng chọn nhân viên duyệt tập hữu hạn (ChatRoomServiceImpl.java:56-62).</t>
  </si>
  <si>
    <t>Không có vòng while/đệ quy không giới hạn.</t>
  </si>
  <si>
    <t>Chỉ có 1 vòng lồng, giới hạn 2×3 phần tử (product_rag.py:149-153).</t>
  </si>
  <si>
    <t>Lịch sử chat lấy 1 lần rồi dùng lại cho NLU và LLM (chatbot.py:125, :129, :193); mapToResponse chỉ tạo DTO.</t>
  </si>
  <si>
    <t>Mỗi tin nhắn có thể gọi tuần tự 2 lần DeepSeek (timeout 30s mỗi lần, llm_client.py:42), tối đa 5 lần search (3s mỗi lần) và gọi spec; trường hợp xấu nhất vượt 60s của gateway. Không dùng requests.Session nên mỗi lần gọi lại bắt tay TLS. Model e5-base nằm thường trực trong RAM. ragas/datasets nằm trong requirements production (requirements.txt:11-12).</t>
  </si>
  <si>
    <t>N+1: countByStaffIdAndStatus cho từng nhân viên online (ChatRoomServiceImpl.java:56-58); bắn 1 event Kafka cho mỗi tin của khách khi phòng WAITING (ChatMessageServiceImpl.java:76-77); page size không giới hạn (StaffChatController.java:34, CustomerChatController.java:78); không cache kết quả search.</t>
  </si>
  <si>
    <t>ChatMessageRequest có @NotBlank nhưng @Payload thiếu @Valid (ChatWebSocketController.java:27) nên không được kiểm tra; không giới hạn độ dài content và type tự do. ChatRequest.message không có max_length (models/chatbot.py:7), dễ bị lạm dụng token LLM. Tham số status và size là chuỗi/số tự do.</t>
  </si>
  <si>
    <t>policy_rag.py:88 kiểm idx trong khoảng; choices[0] nằm trong try (llm_client.py:45); lấy [-2:] luôn an toàn (classifier.py:113).</t>
  </si>
  <si>
    <t>Không thấy biến dùng trước khai báo; các biến local trong handle_chat_message được khởi tạo trước nhánh RAG (chatbot.py:156-159).</t>
  </si>
  <si>
    <t>handle_chat_message dài khoảng 105 dòng (chatbot.py:100-204), gộp NLU, định tuyến, RAG, prompt và lưu lịch sử; _search_one khoảng 60 dòng (product_rag.py:199-258). Nên tách router theo intent.</t>
  </si>
  <si>
    <t>Thao tác trên phòng chat (gửi tin WebSocket, subscribe topic, upload ảnh, handover) có kiểm tra quyền sở hữu phòng không?</t>
  </si>
  <si>
    <t>handleMessage ghi tin vào roomId bất kỳ mà không so senderId với customerId/staffId (ChatWebSocketController.java:26-58). Interceptor chỉ xử lý CONNECT, không chặn SUBSCRIBE (WebSocketConfig.java:58), nên ai cũng nghe được /topic/room/{id} và /topic/rooms.updates, kênh phát MỌI tin nhắn (ChatWebSocketController.java:57). upload-image và handover không kiểm danh tính (CustomerChatController.java:112-125).</t>
  </si>
  <si>
    <t>Định danh khách vãng lai có chống giả mạo được không?</t>
  </si>
  <si>
    <t>X-Guest-Id/Guest-Id do client tự gửi được dùng thẳng làm danh tính (CustomerChatController.java:40, WebSocketConfig.java:94-105). Kẻ tấn công đặt X-Guest-Id bằng Keycloak UUID của khách khác là qua được isOwner (ChatMessageServiceImpl.java:130) và đọc được lịch sử phòng.</t>
  </si>
  <si>
    <t>Endpoint lịch sử hội thoại chatbot có xác thực không?</t>
  </si>
  <si>
    <t>GET /chat/sessions/{session_id}/history (chatbot.py:206-209) trả lịch sử của sessionId bất kỳ mà không xác thực. Qua gateway thì không gọi được (/api/v1/chat/** route sang chat-service, application.yml:110), nhưng gọi thẳng :8002 thì được.</t>
  </si>
  <si>
    <t>Có kiểm thử tự động đủ cho các luồng chính không?</t>
  </si>
  <si>
    <t>chatbot-service không có unit test (chỉ có data/test-qa-dataset.md và scripts/run_ragas_eval.py). chat-service có 2 lớp test service (ChatMessageServiceTest, ChatRoomServiceTest), không có test controller/WebSocket/security.</t>
  </si>
  <si>
    <t>Cấu hình nhạy cảm có được tách khỏi mã nguồn không?</t>
  </si>
  <si>
    <t>application.yml:39 để giá trị mặc định MinIO secret-key `12345678a@` trong repo; bucket chat được set policy public-read (MinioStorageServiceImpl.java:100-117).</t>
  </si>
  <si>
    <t>* Điểm mạnh:
- Chatbot định tuyến bằng code theo intent, chỉ có tool đọc và không có tool ghi/huỷ; tool forward JWT để service đích tự kiểm tra (tools.py:65-75).
- Có đường lùi khi LLM lỗi (heuristic NLU, trả lời mock từ context), ngưỡng tin cậy policy RAG được hiệu chỉnh thực nghiệm, warm-up model lúc startup.
- product_rag xử lý tiếng Việt thực tế (bỏ dấu, stopword, tách câu so sánh), gọi spec song song để giữ ngân sách thời gian.
- chat-service xác thực JWT ở STOMP CONNECT, admin API có @PreAuthorize ADMIN/STAFF, upload ảnh kiểm content-type và có lifecycle tự xoá.
- Comment Python giải thích 'tại sao' rất kỹ; có unit test cho service của chat-service.</t>
  </si>
  <si>
    <t>1. Kiểm tra quyền sở hữu phòng ở mọi thao tác: handleMessage, upload-image, handover phải xác minh sender là customerId hoặc staff; thêm interceptor SUBSCRIBE chỉ cho phép chủ phòng/nhân viên nghe /topic/room/{id}, và chỉ STAFF được nghe /topic/rooms.updates.
2. Không tin X-Guest-Id do client gửi: cấp guest token có chữ ký (hoặc lưu guestId sinh phía server vào cookie HttpOnly) và chặn guestId trùng định dạng Keycloak UUID.
3. Thêm @Valid cho @Payload, giới hạn độ dài content/message, whitelist type, chặn trên cho page size.
4. Chống race: unique index một phòng mở cho mỗi customer, @Version optimistic lock cho ChatRoom, dùng update có điều kiện khi assign (chỉ khi staffId null); bỏ @Transactional vô hiệu hoặc cấu hình MongoTransactionManager.
5. Presence nhân viên: đếm theo session (Hash userId → số session) và đặt TTL/heartbeat thay cho Set không hết hạn.
6. Thêm @MessageExceptionHandler gửi lỗi về /user/queue/errors; không trả str(e) ở chatbot; xử lý data null ở tools.py.
7. Dùng requests.Session có pool, giảm timeout LLM để tổng thời gian &lt; 60s; bỏ ragas/datasets khỏi requirements runtime.
8. Thêm xác thực (hoặc bỏ) endpoint /chat/sessions/{id}/history; cập nhật comment lỗi thời (30s, data/policies, PhoBERT); viết test cho chatbot NLU/routing và cho WebSocket/security của chat-service.</t>
  </si>
  <si>
    <t>Phân hệ: PH10 – Chatbot AI &amp; chat với nhân viên</t>
  </si>
  <si>
    <t>Chatbot AI (widget)</t>
  </si>
  <si>
    <t>Giao diện widget, hỏi chính sách, gợi ý sản phẩm, tra đơn/điểm, ngoài chủ đề, lịch sử, lỗi máy chủ, làm mới, responsive</t>
  </si>
  <si>
    <t>Chuyển nhân viên &amp; chat trực tiếp</t>
  </si>
  <si>
    <t>Handover khi có/không có nhân viên online, nhắn tin realtime 2 chiều, gửi ảnh, đóng phiên, bảo mật phòng chat</t>
  </si>
  <si>
    <t>1. TỔNG QUAN KẾT QUẢ
- Tổng cộng 22 test case được thực hiện, trong đó 16 Pass (72,7%) và 6 Fail (27,3%), không có Pending.
- Phân loại theo nhóm: UI/UX 3, Function 13, Negative 6.
Chatbot dùng LLM DeepSeek (không tất định) nên assertion dựa trên cấu trúc và ý định (intent, thẻ sản phẩm, yêu cầu đăng nhập…), không so khớp câu chữ; cả đợt dùng khoảng 11 lượt gọi LLM. Chat nhân viên chạy tốt với 2 trình duyệt: handover tự gán cho staff online, tin nhắn hai chiều qua WebSocket dưới 0,2 giây, gửi ảnh, đóng phiên, trạng thái WAITING khi không có ai trực. Lỗi tập trung ở chất lượng câu trả lời AI và lưu lịch sử.</t>
  </si>
  <si>
    <t>2. PHÂN TÍCH KẾT QUẢ
Nhóm UI/UX (3 test case): 100% Pass. Widget, giao diện Customer Chat và khung chat ở 375px hiển thị đúng.
Nhóm Function (13 test case): 7 Pass, 6 Fail.
- Câu trả lời chính sách đổi trả bị cắt ngay sau tiêu đề mục (UI_PH10_FR01_002).
- Câu gợi ý sẵn "Gợi ý quà tặng dưới 500 nghìn" bị coi là ngoài chủ đề, 2/2 lần (UI_PH10_FR01_003).
- "Tai nghe bluetooth dưới 500 nghìn" trả 5 laptop/PC 10–25 triệu (UI_PH10_FR01_004).
- Khách đã đăng nhập hỏi đơn hàng bị hỏi lại mã đơn (UI_PH10_FR01_006).
- Mất lịch sử chat AI khi tải lại (UI_PH10_FR01_009).
- Không có nhân viên online thì widget báo "đã chuyển tiếp email hỗ trợ" nhưng không có email nào (UI_PH10_FR02_006).
Tra điểm thưởng (325 điểm), yêu cầu đăng nhập khi tra đơn lúc chưa đăng nhập, làm mới hội thoại, handover, realtime, gửi ảnh và đóng phiên đều đạt.
Nhóm Negative (6 test case): 100% Pass. Từ chối câu hỏi ngoài chủ đề; HTML từ khách và nhân viên hiển thị dạng text; không gửi tin rỗng; báo lỗi rõ khi máy chủ AI lỗi; đọc phòng người khác bằng X-Guest-Id giả bị 401.</t>
  </si>
  <si>
    <t>3. PHÂN TÍCH NGUYÊN NHÂN GỐC
- chatbot-service: bộ phân loại intent nhận nhầm câu gợi ý quà tặng là off_topic; truy xuất sản phẩm không áp loại/khoảng giá; câu trả lời RAG chính sách lấy đoạn trích bị cắt sau tiêu đề; intent order_tracking không tự tra đơn gần nhất khi đã có token.
- AIChatbotWidget chỉ nạp lịch sử từ phòng chat-service, còn tin ở chế độ AI không được lưu vào phòng.
- chat-service gửi SupportChatOfflineEvent vào topic notification-events nhưng không service nào consume topic này.</t>
  </si>
  <si>
    <t>4. MỨC ĐỘ NGHIÊM TRỌNG
- Trung bình (Medium): chatbot từ chối chính câu gợi ý của nó, gợi ý sai loại/giá, trả lời chính sách thiếu nội dung, không tra được đơn của khách đã đăng nhập. Khách không được hỗ trợ dù hệ thống báo đã chuyển email.
- Thấp (Low): mất lịch sử chat AI khi tải lại trang.</t>
  </si>
  <si>
    <t>FR_01 – Chatbot AI (widget)</t>
  </si>
  <si>
    <t>UI_PH10_FR01_001</t>
  </si>
  <si>
    <t>Kiểm tra giao diện widget chatbot</t>
  </si>
  <si>
    <t>Khách vãng lai; nút "Trợ lý Aura AI"</t>
  </si>
  <si>
    <t>1. Mở trang chủ, bấm nút chatbot góc phải dưới.
2. Quan sát khung chat.</t>
  </si>
  <si>
    <t>Header "Aura AI Assistant", "Trực tuyến • Phản hồi tức thì", lời chào, 4 câu hỏi gợi ý, ô "Nhập nội dung tin nhắn...", các nút Gặp nhân viên/Làm mới/Thu nhỏ/Gửi/Tải ảnh.</t>
  </si>
  <si>
    <t>UI_PH10_FR01_002</t>
  </si>
  <si>
    <t>Hỏi chính sách đổi trả khi chưa đăng nhập</t>
  </si>
  <si>
    <t>Câu gợi ý "Chính sách đổi trả ra sao?"</t>
  </si>
  <si>
    <t>1. Mở widget, bấm câu gợi ý.
2. Đọc câu trả lời và intent trả về.</t>
  </si>
  <si>
    <t>intent policy_faq; câu trả lời nêu nội dung chính sách đổi trả (điều kiện, thời hạn tính theo ngày) lấy từ tài liệu.</t>
  </si>
  <si>
    <t>intent policy_faq đúng nhưng câu trả lời chỉ có "Theo thông tin Aura tra được: Áp dụng cho khách hàng mua sản phẩm mới chính hãng tại Aura Tech phát hiện lỗi kỹ thuật từ phía nhà sản xuất (NSX):" rồi đến danh sách nguồn; không có điều kiện, thời hạn đổi trả. Đoạn trích RAG bị cắt ngay sau tiêu đề mục. Bằng chứng: intent=policy_faq; số SP=0; trả lời (293 ký tự): "Theo thông tin Aura tra được: Áp dụng cho khách hàng mua sản phẩm mới chính hãng tại Aura Tech phát hiện lỗi kỹ thuật từ phía nhà sản xuất (NSX):
Theo: Chính sách đổi trả, hoàn tiền và thu mua máy cũ, Câu Hỏi Thường Gặp"</t>
  </si>
  <si>
    <t>UI_PH10_FR01_003</t>
  </si>
  <si>
    <t>Gợi ý quà tặng bằng câu hỏi gợi ý sẵn</t>
  </si>
  <si>
    <t>Câu gợi ý "Gợi ý quà tặng dưới 500 nghìn"</t>
  </si>
  <si>
    <t>1. Mở widget, bấm câu gợi ý.
2. Nếu không có sản phẩm, gửi lại đúng câu một lần để kiểm tra tính lặp lại.</t>
  </si>
  <si>
    <t>intent product_search; có khối "Sản phẩm gợi ý:" với thẻ sản phẩm bấm được.</t>
  </si>
  <si>
    <t>Cả 2 lần gửi đều nhận intent off_topic và câu từ chối "Xin lỗi bạn, Aura chỉ có thể hỗ trợ các vấn đề liên quan đến mua sắm…", không có sản phẩm. Đây lại là nút gợi ý do chính widget đưa ra. Bằng chứng: Lần 1: intent=off_topic, 0 SP (); trả lời: "Xin lỗi bạn, Aura chỉ có thể hỗ trợ các vấn đề liên quan đến mua sắm và dịch vụ của AuraTech thôi nhé. Aura có thể giúp bạn tìm sản phẩm, tra đơn hàng hoặc giải đáp chính sách bảo hành không? 😊" | Lần 2: intent=off_topic, 0 SP</t>
  </si>
  <si>
    <t>UI_PH10_FR01_004</t>
  </si>
  <si>
    <t>Gợi ý sản phẩm theo khoảng giá và mở thẻ sản phẩm</t>
  </si>
  <si>
    <t>"Tai nghe bluetooth dưới 500 nghìn"</t>
  </si>
  <si>
    <t>1. Mở widget, gửi câu hỏi.
2. Kiểm tra các thẻ sản phẩm.
3. Bấm thẻ đầu tiên.</t>
  </si>
  <si>
    <t>Thẻ sản phẩm đúng loại (tai nghe), giá ≤ 500.000đ; bấm thẻ chuyển tới /product/{id} và đóng widget.</t>
  </si>
  <si>
    <t>Thẻ bấm được và chuyển trang đúng, nhưng 5/5 sản phẩm là laptop/PC giá 10,7–25 triệu (ASUS VivoBook Pro 15, PC Rosa Office…): không có tai nghe, không sản phẩm nào ≤ 500.000đ. HUONG_DAN mục 13 đã ghi "hỏi theo khoảng giá có thể ra sản phẩm ngoài khoảng", nhưng ở đây sai cả loại sản phẩm. Bằng chứng: intent=product_search; 5 SP: #249 Laptop ASUS VivoBook Pro 15 OLED K3500PC-L1045T - Cũ Đẹp 12.690.000đ | #207 Laptop ASUS VivoBook Pro 15 M6500XV-LP032W - Cũ Trầy Xước 24.990.000đ | #404 PC Rosa Office 5500GT 10.690.000đ | #420 PC CPS Core Work P144F650 i5-14400F / RX 6500 19.390.000đ | #451 PC ASUS V500MV-13420H136W 15.690.000đ; vượt 500.000đ: 5</t>
  </si>
  <si>
    <t>UI_PH10_FR01_005</t>
  </si>
  <si>
    <t>Hỏi đơn hàng khi chưa đăng nhập</t>
  </si>
  <si>
    <t>"Đơn hàng của tôi đang ở đâu?" (khách vãng lai)</t>
  </si>
  <si>
    <t>1. Mở widget, gửi câu hỏi.</t>
  </si>
  <si>
    <t>Yêu cầu đăng nhập, không hiện thông tin đơn.</t>
  </si>
  <si>
    <t>Bằng chứng: HTTP 200; intent=order_tracking; card=null; trả lời: "Để tra cứu thông tin này, bạn vui lòng đăng nhập vào tài khoản AuraTech trước nhé. 👉 Đăng nhập ngay tại trang web hoặc app AuraTech."</t>
  </si>
  <si>
    <t>UI_PH10_FR01_006</t>
  </si>
  <si>
    <t>Hỏi đơn hàng khi đã đăng nhập</t>
  </si>
  <si>
    <t>customer (có đơn #1332 DELIVERED và các đơn khác); "Đơn hàng của tôi đang ở đâu?"</t>
  </si>
  <si>
    <t>1. Đăng nhập customer, mở widget, gửi câu hỏi.</t>
  </si>
  <si>
    <t>Trả dữ liệu thật: trạng thái đơn gần nhất của chính tài khoản (thẻ "Đơn hàng #id"), không yêu cầu đăng nhập.</t>
  </si>
  <si>
    <t>intent order_tracking nhưng chỉ trả "Bạn cho Aura biết mã đơn hàng (ví dụ #123) để tra cứu giúp bạn nhé.", không có thẻ đơn; không tự lấy đơn gần nhất của tài khoản dù đã có token. Bằng chứng: intent=order_tracking; card=null; mã đơn được nhắc: 123; trả lời: "Bạn cho Aura biết mã đơn hàng (ví dụ #123) để tra cứu giúp bạn nhé."</t>
  </si>
  <si>
    <t>UI_PH10_FR01_007</t>
  </si>
  <si>
    <t>Hỏi điểm thưởng khi đã đăng nhập</t>
  </si>
  <si>
    <t>customer (325 điểm); "Điểm thưởng của tôi còn bao nhiêu?"</t>
  </si>
  <si>
    <t>Trả đúng số điểm của tài khoản (325 điểm) kèm thẻ quy đổi.</t>
  </si>
  <si>
    <t>Bằng chứng: API points=325; intent=order_action; card={"type":"loyalty","points":325,"value":325000}; trả lời: "Bạn hiện có 325 điểm thưởng, tương đương 325,000đ giảm giá khi mua hàng. workspace_premium 325 điểm Tương đương 325.000đ giảm giá"</t>
  </si>
  <si>
    <t>UI_PH10_FR01_008</t>
  </si>
  <si>
    <t>Câu hỏi ngoài chủ đề</t>
  </si>
  <si>
    <t>"Thời tiết hôm nay thế nào?"</t>
  </si>
  <si>
    <t>intent off_topic, từ chối lịch sự và kéo về chủ đề mua sắm, không có thẻ sản phẩm.</t>
  </si>
  <si>
    <t>Bằng chứng: intent=off_topic; số SP=0; trả lời: "Xin lỗi bạn, Aura chỉ có thể hỗ trợ các vấn đề liên quan đến mua sắm và dịch vụ của AuraTech thôi nhé. Aura có thể giúp bạn tìm sản phẩm, tra đơn hàng hoặc giải đáp chính sách bảo hành không? 😊"</t>
  </si>
  <si>
    <t>UI_PH10_FR01_009</t>
  </si>
  <si>
    <t>Lịch sử hội thoại còn sau khi tải lại</t>
  </si>
  <si>
    <t>customer; 2 câu hỏi ở UI_PH10_FR01_006 và UI_PH10_FR01_007</t>
  </si>
  <si>
    <t>1. Mở lại trang chủ ở phiên trình duyệt mới cùng tài khoản (tương đương tải lại trang).
2. Mở widget.</t>
  </si>
  <si>
    <t>Hiện lại các câu hỏi và câu trả lời trước đó.</t>
  </si>
  <si>
    <t>Widget chỉ còn lời chào, 0 bong bóng của người dùng. Lịch sử được nạp từ phòng chat của chat-service, nhưng tin nhắn ở chế độ AI chỉ gửi qua POST /chatbot/message và không được lưu vào phòng, nên mất khi tải lại. Bằng chứng: Sau khi mở lại (phiên trình duyệt mới, cùng tài khoản): có câu hỏi đơn hàng=false, câu hỏi điểm=false; số bong bóng người dùng=0, trợ lý=1</t>
  </si>
  <si>
    <t>UI_PH10_FR01_010</t>
  </si>
  <si>
    <t>Tin nhắn chứa mã HTML hiển thị dạng text (XSS)</t>
  </si>
  <si>
    <t>"&lt;img src=x onerror=alert(1)&gt; laptop"</t>
  </si>
  <si>
    <t>1. Gửi tin nhắn chứa thẻ img onerror.</t>
  </si>
  <si>
    <t>Bong bóng hiện nguyên văn, không chèn img, không có alert.</t>
  </si>
  <si>
    <t>UI_PH10_FR01_011</t>
  </si>
  <si>
    <t>Không gửi tin nhắn rỗng</t>
  </si>
  <si>
    <t>Chuỗi 3 dấu cách</t>
  </si>
  <si>
    <t>1. Nhập toàn dấu cách, bấm Gửi và nhấn Enter.</t>
  </si>
  <si>
    <t>Không gọi API chatbot, không thêm bong bóng.</t>
  </si>
  <si>
    <t>Bằng chứng: Nút Gửi enabled=true; request chatbot=0; bong bóng người dùng 0→0</t>
  </si>
  <si>
    <t>UI_PH10_FR01_012</t>
  </si>
  <si>
    <t>Máy chủ AI lỗi hiển thị thông báo</t>
  </si>
  <si>
    <t>Giả lập /chatbot/message trả 500 (page.route)</t>
  </si>
  <si>
    <t>1. Chặn API chatbot trả 500.
2. Gửi "Laptop gaming cho sinh viên".</t>
  </si>
  <si>
    <t>Hiện "Đã xảy ra lỗi kết nối với máy chủ AI. Vui lòng thử lại sau."</t>
  </si>
  <si>
    <t>UI_PH10_FR01_013</t>
  </si>
  <si>
    <t>Làm mới hội thoại</t>
  </si>
  <si>
    <t>1. Mở widget.
2. Bấm "Làm mới hội thoại".</t>
  </si>
  <si>
    <t>Hiện "Hội thoại đã được làm mới. Tôi là Aura AI…"; phòng chat mới có id khác phòng cũ.</t>
  </si>
  <si>
    <t>Bằng chứng: Phòng cũ 6ad3a3124fce925c94f97fa9 (AI_CHAT) → phòng mới 6ad3a3134fce925c94f97faa (AI_CHAT)</t>
  </si>
  <si>
    <t>UI_PH10_FR01_014</t>
  </si>
  <si>
    <t>Widget chatbot trên màn hình 375px</t>
  </si>
  <si>
    <t>1. Đặt kích thước 375×800, mở widget.
2. Đo vị trí khung chat.</t>
  </si>
  <si>
    <t>Khung chat (320px) nằm gọn trong 375px, ô nhập nằm trong khung nhìn.</t>
  </si>
  <si>
    <t>Bằng chứng: Khung chat x=31, rộng 320, phải tại 351</t>
  </si>
  <si>
    <t>FR_02 – Chuyển nhân viên &amp; chat trực tiếp</t>
  </si>
  <si>
    <t>UI_PH10_FR02_001</t>
  </si>
  <si>
    <t>Kiểm tra giao diện Customer Chat của nhân viên</t>
  </si>
  <si>
    <t>staff; tab Customer Chat</t>
  </si>
  <si>
    <t>1. Đăng nhập staff, mở "Customer Chat".</t>
  </si>
  <si>
    <t>Tiêu đề "Trực Tuyến Hỗ Trợ Khách Hàng", thống kê "Yêu cầu mới", ô "Tìm phiên hội thoại...", "Chưa Chọn Hợp Đồng Tư Vấn".</t>
  </si>
  <si>
    <t>UI_PH10_FR02_002</t>
  </si>
  <si>
    <t>Chuyển sang nhân viên đang trực tuyến</t>
  </si>
  <si>
    <t>Trình duyệt 1: staff mở Customer Chat; trình duyệt 2: customer</t>
  </si>
  <si>
    <t>1. Staff mở tab Customer Chat (kết nối WebSocket).
2. Customer mở widget, bấm "Yêu cầu gặp nhân viên trực tuyến".
3. Quan sát 2 phía.</t>
  </si>
  <si>
    <t>Khách nhận "Đã kết nối với nhân viên hỗ trợ: staff" và thanh "Đã chuyển giao tư vấn viên trực tiếp"; phòng ACTIVE gán cho staff; staff thấy phiên của khách với nhãn "Trực".</t>
  </si>
  <si>
    <t>Bằng chứng: Thông báo hệ thống: "Đã kết nối với nhân viên hỗ trợ: staff"; phòng ACTIVE: 6ad3a3f14fce925c94f97fb4 staff=staff</t>
  </si>
  <si>
    <t>UI_PH10_FR02_003</t>
  </si>
  <si>
    <t>Nhắn tin hai chiều thời gian thực</t>
  </si>
  <si>
    <t>Phiên ACTIVE ở UI_PH10_FR02_002</t>
  </si>
  <si>
    <t>1. Khách gửi tin, đo thời gian xuất hiện ở màn hình staff.
2. Staff trả lời, đo thời gian xuất hiện ở widget.</t>
  </si>
  <si>
    <t>Tin nhắn hiện ở phía bên kia trong &lt; 5 giây, không cần tải lại trang.</t>
  </si>
  <si>
    <t>Bằng chứng: Khách→NV hiện sau 23 ms; NV→khách hiện sau 38 ms (không tải lại trang)</t>
  </si>
  <si>
    <t>UI_PH10_FR02_004</t>
  </si>
  <si>
    <t>Khách gửi ảnh cho nhân viên</t>
  </si>
  <si>
    <t>fixtures/phone.jpg; phiên ACTIVE</t>
  </si>
  <si>
    <t>1. Khách chọn ảnh qua nút "Gửi ảnh cho nhân viên hỗ trợ".
2. Quan sát màn hình staff.</t>
  </si>
  <si>
    <t>upload-image trả 200; staff thấy ảnh và ảnh tải được.</t>
  </si>
  <si>
    <t>Bằng chứng: upload-image -&gt; 200; url=http://localhost:9000/product-images/chat/6ad3a3f14fce925c94f97fb4/c1c82c22-da34-47ff-8cce-eacd03615f17.jpg; NV thấy ảnh=true; ảnh tải được=true</t>
  </si>
  <si>
    <t>UI_PH10_FR02_005</t>
  </si>
  <si>
    <t>Nhân viên đóng phiên hỗ trợ</t>
  </si>
  <si>
    <t>Phiên ACTIVE</t>
  </si>
  <si>
    <t>1. Staff bấm "Giải Quyết Xong", đồng ý xác nhận.
2. Quan sát widget của khách.</t>
  </si>
  <si>
    <t>Hộp xác nhận "Xác nhận đã giải quyết xong và đóng phiên chat trực tuyến này?"; phòng hết ACTIVE; khách nhận "Nhân viên đã kết thúc phiên hỗ trợ này.", widget về chế độ AI.</t>
  </si>
  <si>
    <t>Bằng chứng: confirm: "Xác nhận đã giải quyết xong và đóng phiên chat trực tuyến này?"; phòng còn ACTIVE=false; khách nhận thông báo kết thúc=true; thanh "Đã chuyển giao tư vấn viên trực tiếp" đã ẩn=true</t>
  </si>
  <si>
    <t>UI_PH10_FR02_006</t>
  </si>
  <si>
    <t>Không có nhân viên trực tuyến: phòng ở trạng thái chờ</t>
  </si>
  <si>
    <t>qa_cust2; không có staff mở Customer Chat</t>
  </si>
  <si>
    <t>1. qa_cust2 bấm "Yêu cầu gặp nhân viên trực tuyến" rồi gửi 1 tin.
2. Staff mở Customer Chat sau đó, chọn phiên, bấm "Tiếp Nhận Chat".
3. Kiểm tra mails/*.eml sau 20 giây.</t>
  </si>
  <si>
    <t>Khách nhận "Không có nhân viên online… đã được chuyển tiếp đến email hỗ trợ"; phòng WAITING, staff thấy nhãn "Chờ" và tiếp nhận được (ACTIVE); có email chuyển tiếp tới hộp thư hỗ trợ.</t>
  </si>
  <si>
    <t>WAITING, nhãn "Chờ", "Tiếp Nhận Chat" → ACTIVE đều đúng. Nhưng sau 20 giây SMTP sink không có email nào: chat-service gửi SupportChatOfflineEvent vào topic notification-events, nhưng không service nào consume topic này (notification-service chỉ nghe order-events và payment-events). Lời hứa "đã được chuyển tiếp đến email hỗ trợ" vì vậy là sai. Bằng chứng: Thông báo: "Không có nhân viên online trực tuyến. Tin nhắn của bạn đã được chuyển tiếp đến email hỗ trợ. Chúng tôi sẽ phản hồi sớm nhất!"; phòng 6ad3a4784fce925c94f97fba WAITING=true; NV thấy badge: "person QA Khách Hai Chờ 23:38 UI PH10 khach can ho tro khi k"; sau "Tiếp Nhận Chat" ACTIVE=true; email hỗ trợ trong SMTP sink sau 20 s: 0</t>
  </si>
  <si>
    <t>UI_PH10_FR02_007</t>
  </si>
  <si>
    <t>Tin nhắn HTML của nhân viên hiển thị dạng text</t>
  </si>
  <si>
    <t>Tin staff: "… &lt;b&gt;dam&lt;/b&gt;"</t>
  </si>
  <si>
    <t>1. Staff gửi tin chứa thẻ &lt;b&gt;.
2. Kiểm tra widget của khách.</t>
  </si>
  <si>
    <t>Phía khách hiện nguyên văn, không render thẻ &lt;b&gt;.</t>
  </si>
  <si>
    <t>Bằng chứng: Số thẻ &lt;b&gt; bị chèn ở phía khách: 0</t>
  </si>
  <si>
    <t>UI_PH10_FR02_008</t>
  </si>
  <si>
    <t>Đọc tin nhắn phòng của người khác bằng guest id giả</t>
  </si>
  <si>
    <t>X-Guest-Id: attacker-guest-123; phòng của customer</t>
  </si>
  <si>
    <t>1. Gọi GET /public/chat/rooms/{roomId}/messages không token, kèm X-Guest-Id giả.</t>
  </si>
  <si>
    <t>Bị từ chối (401/403), không trả nội dung tin nhắn.</t>
  </si>
  <si>
    <t>Bằng chứng: GET messages phòng 6ad3a3f14fce925c94f97fb4 với X-Guest-Id giả -&gt; 401; nội dung trả về: ""</t>
  </si>
  <si>
    <t>Project: TECHSTORE_2026 | Phân hệ: PH10 – Chatbot AI &amp; chat với nhân viên | Framework: JUnit 5 + Mockito (Spring Boot 3.2.5, Java 17); pytest 9.1 + pytest-cov 7.1 (Python 3.10, image ai-chatbot-service)</t>
  </si>
  <si>
    <t>JUnit 5 + Mockito (Spring Boot 3.2.5, Java 17); pytest 9.1 + pytest-cov 7.1 (Python 3.10, image ai-chatbot-service)</t>
  </si>
  <si>
    <t>MongoDB (mock repository) + Redis (mock/FakeRedis) + Kafka (KafkaTemplate mock); LLM DeepSeek và BE order/user/promotion-service mock, container --network none</t>
  </si>
  <si>
    <t>BE/chat-service/src/test/java/com/ecommerce/chatservice/, AI/chatbot-service/tests/</t>
  </si>
  <si>
    <t>mvn -q -pl chat-service -am org.jacoco:jacoco-maven-plugin:0.8.11:prepare-agent test org.jacoco:jacoco-maven-plugin:0.8.11:report -DfailIfNoTests=false -Dsurefire.failIfNoSpecifiedTests=false  (BugCheck: mvn -q -pl chat-service -am test -Dtest=*BugCheck ...) ; docker run --rm --network none -v A:/Graduation-Project/AI/chatbot-service:/workspace/chatbot-service -w /workspace/chatbot-service ai-chatbot-service sh -c "pip install pytest pytest-cov httpx (wheel offline) &amp;&amp; python -m pytest -p no:cacheprovider tests/ --junitxml=... --cov=app --cov-branch --cov-report=json"  (BugCheck: python -m pytest tests/bugcheck_ph10_chatbot.py)</t>
  </si>
  <si>
    <t>ChatRoomServiceImpl.java</t>
  </si>
  <si>
    <t>getOrCreateRoom(), getMyActiveRoom(), handoverRoom(), autoAssignStaffIfPossible(), assignStaff(), closeRoom(), getRoomsByStatus/Staff()</t>
  </si>
  <si>
    <t>Vòng đời phòng AI_CHAT -&gt; WAITING/ACTIVE -&gt; CLOSED, phân công nhân viên ít tải nhất, quyền đóng phòng, thông báo hệ thống.</t>
  </si>
  <si>
    <t>ChatMessageServiceImpl.java</t>
  </si>
  <si>
    <t>saveMessage(), getMessages(), uploadImage()</t>
  </si>
  <si>
    <t>Chặn phòng đã đóng, tự phân công khi WAITING, email offline qua Kafka, quyền xem lịch sử.</t>
  </si>
  <si>
    <t>ChatWebSocketController.java</t>
  </si>
  <si>
    <t>handleMessage()</t>
  </si>
  <si>
    <t>Xác thực kết nối, xác định vai trò người gửi, broadcast; gửi vào phòng đã đóng.</t>
  </si>
  <si>
    <t>CustomerChatController.java</t>
  </si>
  <si>
    <t>getOrCreateRoom(), getMyRoom(), getMyMessages(), closeMyRoom()</t>
  </si>
  <si>
    <t>Danh tính thành viên/khách vãng lai, role mặc định ROLE_GUEST.</t>
  </si>
  <si>
    <t>AI chatbot: app/api/endpoints/chatbot.py</t>
  </si>
  <si>
    <t>handle_chat_message(), _route_order_tracking(), _route_order_action(), _map_products()</t>
  </si>
  <si>
    <t>Định tuyến intent: complaint -&gt; escalate, off_topic guard, intent đơn hàng cần đăng nhập, RAG chính sách có ngưỡng từ chối.</t>
  </si>
  <si>
    <t>AI chatbot: nlu/classifier.py, nlu/heuristics.py</t>
  </si>
  <si>
    <t>NluService.analyze(), _validate(), _heuristic_fallback(), predict_intent()</t>
  </si>
  <si>
    <t>Chuẩn hoá output LLM, fallback heuristic.</t>
  </si>
  <si>
    <t>AI chatbot: rag/policy_rag.py, llm_client.py, tools.py, memory.py</t>
  </si>
  <si>
    <t>classify_confidence(), retrieve(), generate_text(), get_order_status(), extract_order_id(), add_message()/get_history()</t>
  </si>
  <si>
    <t>Ngưỡng 0.82/0.80, LLM client (mock HTTP), tra đơn chuyển tiếp danh tính, cửa sổ nhớ hội thoại.</t>
  </si>
  <si>
    <t>Quy tắc phòng chat nằm ở service</t>
  </si>
  <si>
    <t>Trạng thái phòng, phân công theo tải, quyền đóng/xem nằm trong *ServiceImpl; controller REST/WebSocket chỉ trích danh tính từ header/session rồi gọi service — nên kiểm service + phần trích danh tính của controller.</t>
  </si>
  <si>
    <t>Định tuyến chatbot là hàm thuần có thể mock</t>
  </si>
  <si>
    <t>handle_chat_message là hàm sync; cố định kết quả NLU rồi kiểm từng nhánh (escalate, off_topic, cần đăng nhập, reject RAG) mà không gọi LLM thật.</t>
  </si>
  <si>
    <t>Không hạ tầng thật</t>
  </si>
  <si>
    <t>MongoDB/Redis/Kafka/MinIO mock bằng Mockito; Python chạy --network none, LLM và BE service mock — không gửi gì lên notification-events hay DeepSeek.</t>
  </si>
  <si>
    <t>StaffChatController / WebSocketConfig / SecurityConfig</t>
  </si>
  <si>
    <t>Tầng web/cấu hình (PreAuthorize, decode JWT); kiểm ở mức API/UI. Lỗ hổng Guest-Id của WebSocketConfig ghi chung vào TC_PH10_GUEST_04.</t>
  </si>
  <si>
    <t>WebSocketEventListener.java</t>
  </si>
  <si>
    <t>Lắng nghe sự kiện connect/disconnect để cập nhật chat:online_staff — cần broker WebSocket thật.</t>
  </si>
  <si>
    <t>I/O MinIO; cần test tích hợp.</t>
  </si>
  <si>
    <t>handoverRoom() — quyền sở hữu</t>
  </si>
  <si>
    <t>Ghi nhận khi review: PUT /rooms/{roomId}/handover không nhận danh tính nên ai biết roomId cũng chuyển được phòng sang nhân viên; chữ ký service không có tham số user nên không viết unit test được, đề xuất kiểm ở mức API.</t>
  </si>
  <si>
    <t>AI chatbot: rag/product_rag.py (retrieve_context, _attach_specs), prompt.py, scripts/*</t>
  </si>
  <si>
    <t>Gọi HTTP product-service thật / ghép chuỗi prompt / script build index offline — mock trong test định tuyến.</t>
  </si>
  <si>
    <t>ChatRoomServiceImpl</t>
  </si>
  <si>
    <t>com.ecommerce.chatservice.service.impl</t>
  </si>
  <si>
    <t>89/90</t>
  </si>
  <si>
    <t>ChatMessageServiceImpl</t>
  </si>
  <si>
    <t>68/68</t>
  </si>
  <si>
    <t>ChatWebSocketController</t>
  </si>
  <si>
    <t>com.ecommerce.chatservice.controller</t>
  </si>
  <si>
    <t>20/20</t>
  </si>
  <si>
    <t>CustomerChatController</t>
  </si>
  <si>
    <t>31/40</t>
  </si>
  <si>
    <t>Phần Java (chat-service): tính gộp trên 4 lớp trong scope; nguồn target/site/jacoco/jacoco.csv của lần chạy thật (lệnh mặc định: 14 test có sẵn + 25 test mới, chỉ các lớp *Test; lớp *BugCheck chạy riêng không đo coverage). Phần Python (chatbot-service) xem coverage.ai_chatbot.</t>
  </si>
  <si>
    <t>Phần AI chatbot-service (pytest-cov)</t>
  </si>
  <si>
    <t>app/api/endpoints/chatbot.py</t>
  </si>
  <si>
    <t>AI/chatbot-service</t>
  </si>
  <si>
    <t>92/105</t>
  </si>
  <si>
    <t>app/services/nlu/classifier.py</t>
  </si>
  <si>
    <t>68/69</t>
  </si>
  <si>
    <t>app/services/nlu/heuristics.py</t>
  </si>
  <si>
    <t>38/45</t>
  </si>
  <si>
    <t>app/services/rag/policy_rag.py</t>
  </si>
  <si>
    <t>40/65</t>
  </si>
  <si>
    <t>app/services/llm_client.py</t>
  </si>
  <si>
    <t>app/services/memory.py</t>
  </si>
  <si>
    <t>30/36</t>
  </si>
  <si>
    <t>app/services/tools.py</t>
  </si>
  <si>
    <t>69/130</t>
  </si>
  <si>
    <t>Phần AI (chatbot-service): pytest-cov --cov-branch JSON của lần chạy thật AI/chatbot-service/tests/ (30 testcase, 20 hàm test); file bugcheck_*.py chạy riêng. product_rag.py/prompt.py không tính vào scope (gọi HTTP product-service / chỉ ghép chuỗi, được mock).</t>
  </si>
  <si>
    <t>Test có sẵn trong repo (đã chạy lại, không tính vào bảng ca bên dưới): ChatRoomServiceTest (6 test) và ChatMessageServiceTest (8 test) có sẵn, không sửa; đã chạy cùng lệnh và ĐƯỢC TÍNH vào danh sách case (TC_PH10_ROOM_04-05, HAND_06-07, CLOSE_05-06, MSG_08-15).</t>
  </si>
  <si>
    <t>TC_PH10_ROOM_01</t>
  </si>
  <si>
    <t>BE/chat-service/src/test/java/com/ecommerce/chatservice/service/ChatRoomServiceImplTest.java</t>
  </si>
  <si>
    <t>getOrCreateRoom()</t>
  </si>
  <si>
    <t>Khách chưa có phòng mở -&gt; tạo phòng AI_CHAT</t>
  </si>
  <si>
    <t>Không có phòng status != CLOSED của cust-A</t>
  </si>
  <si>
    <t>customerId=cust-A, name=Lan, email=lan@mail.vn</t>
  </si>
  <si>
    <t>Lưu phòng status=AI_CHAT, có email, createdAt; response status AI_CHAT, chưa có staff</t>
  </si>
  <si>
    <t>CheckDB: không (repository Mongo mock)
Rollback: không cần</t>
  </si>
  <si>
    <t>TC_PH10_ROOM_02</t>
  </si>
  <si>
    <t>getMyActiveRoom()</t>
  </si>
  <si>
    <t>Không có phòng đang mở</t>
  </si>
  <si>
    <t>Không có phòng mở</t>
  </si>
  <si>
    <t>customerId=cust-A</t>
  </si>
  <si>
    <t>ResponseStatusException 404</t>
  </si>
  <si>
    <t>TC_PH10_ROOM_03</t>
  </si>
  <si>
    <t>getRoomsByStatus(), getRoomsByStaff()</t>
  </si>
  <si>
    <t>Danh sách phòng cho nhân viên được map DTO</t>
  </si>
  <si>
    <t>Repository trả 1 phòng WAITING; 1 phòng ACTIVE của s1</t>
  </si>
  <si>
    <t>status=WAITING; staffId=s1, page 0/20</t>
  </si>
  <si>
    <t>customerId=cust-A; staffId=s1</t>
  </si>
  <si>
    <t>TC_PH10_ROOM_04</t>
  </si>
  <si>
    <t>BE/chat-service/src/test/java/com/ecommerce/chatservice/service/ChatRoomServiceTest.java</t>
  </si>
  <si>
    <t>Đã có phòng mở thì dùng lại</t>
  </si>
  <si>
    <t>Phòng room123 ACTIVE của cust456</t>
  </si>
  <si>
    <t>customerId=cust456</t>
  </si>
  <si>
    <t>Trả room123 ACTIVE; không save</t>
  </si>
  <si>
    <t>Test có sẵn trong repo (không sửa); mã TC gán khi lập báo cáo
CheckDB: không (repository mock)
Rollback: không cần</t>
  </si>
  <si>
    <t>TC_PH10_ROOM_05</t>
  </si>
  <si>
    <t>Tạo phòng mới khi chưa có</t>
  </si>
  <si>
    <t>status AI_CHAT; save 1 lần</t>
  </si>
  <si>
    <t>TC_PH10_HAND_01</t>
  </si>
  <si>
    <t>handoverRoom(), autoAssignStaffIfPossible()</t>
  </si>
  <si>
    <t>Chuyển AI -&gt; nhân viên ít tải nhất</t>
  </si>
  <si>
    <t>Phòng AI_CHAT; online: staff-busy (3 phòng ACTIVE), staff-free (1); tên staff-free='Minh'</t>
  </si>
  <si>
    <t>roomId=r1</t>
  </si>
  <si>
    <t>status ACTIVE; staffId=staff-free; staffName=Minh</t>
  </si>
  <si>
    <t>TC_PH10_HAND_02</t>
  </si>
  <si>
    <t>autoAssignStaffIfPossible()</t>
  </si>
  <si>
    <t>Tên nhân viên mặc định khi Redis chưa có</t>
  </si>
  <si>
    <t>staff-1 online, không có tên trong chat:staff_names</t>
  </si>
  <si>
    <t>staffName='Nhân viên hỗ trợ'</t>
  </si>
  <si>
    <t>TC_PH10_HAND_03</t>
  </si>
  <si>
    <t>handoverRoom()</t>
  </si>
  <si>
    <t>Không có nhân viên online -&gt; chờ</t>
  </si>
  <si>
    <t>Set chat:online_staff rỗng; lần 2 trả null</t>
  </si>
  <si>
    <t>roomId=r1 (2 lần)</t>
  </si>
  <si>
    <t>status WAITING, staffId null (cả 2 lần)</t>
  </si>
  <si>
    <t>TC_PH10_HAND_04</t>
  </si>
  <si>
    <t>Chỉ handover phòng đang AI_CHAT</t>
  </si>
  <si>
    <t>Phòng lần lượt WAITING / ACTIVE / CLOSED</t>
  </si>
  <si>
    <t>400 cả 3 trạng thái; không save</t>
  </si>
  <si>
    <t>TC_PH10_HAND_05</t>
  </si>
  <si>
    <t>handoverRoom(), assignStaff()</t>
  </si>
  <si>
    <t>Phòng không tồn tại / đã đóng</t>
  </si>
  <si>
    <t>ghost không tồn tại; r1 CLOSED</t>
  </si>
  <si>
    <t>handover(ghost); assign(ghost); assign(r1)</t>
  </si>
  <si>
    <t>404; 404; 400; không save</t>
  </si>
  <si>
    <t>TC_PH10_HAND_06</t>
  </si>
  <si>
    <t>Phân công theo tải</t>
  </si>
  <si>
    <t>staff1 (5 phòng), staff2 (2 phòng)</t>
  </si>
  <si>
    <t>room1</t>
  </si>
  <si>
    <t>ACTIVE, staff2, 'Staff Member 2'</t>
  </si>
  <si>
    <t>TC_PH10_HAND_07</t>
  </si>
  <si>
    <t>assignStaff()</t>
  </si>
  <si>
    <t>Nhân viên nhận phòng thủ công</t>
  </si>
  <si>
    <t>Phòng room123 WAITING</t>
  </si>
  <si>
    <t>staffId=staff777, staffName='Mr. Staff'</t>
  </si>
  <si>
    <t>ACTIVE, staff777, 'Mr. Staff'</t>
  </si>
  <si>
    <t>TC_PH10_CLOSE_01</t>
  </si>
  <si>
    <t>closeRoom()</t>
  </si>
  <si>
    <t>Nhân viên đóng phòng và thông báo hệ thống</t>
  </si>
  <si>
    <t>Phòng r1 ACTIVE của cust-A</t>
  </si>
  <si>
    <t>roles=ROLE_STAFF, userId=staff-9</t>
  </si>
  <si>
    <t>CLOSED; gửi /topic/room/r1 type SYSTEM_ROOM_CLOSED, senderRole SYSTEM, nội dung 'Nhân viên đã kết thúc phiên hỗ trợ này.'</t>
  </si>
  <si>
    <t>TC_PH10_CLOSE_02</t>
  </si>
  <si>
    <t>ADMIN và khách vãng lai chủ phòng được đóng</t>
  </si>
  <si>
    <t>r1 WAITING; r2 AI_CHAT của guest_abc_1</t>
  </si>
  <si>
    <t>(ROLE_ADMIN, admin-1, r1); (ROLE_GUEST, guest_abc_1, r2)</t>
  </si>
  <si>
    <t>Cả 2 CLOSED; thông báo r2 = 'Khách hàng đã kết thúc phiên hỗ trợ này.'</t>
  </si>
  <si>
    <t>TC_PH10_CLOSE_03</t>
  </si>
  <si>
    <t>Người lạ không đóng được phòng</t>
  </si>
  <si>
    <t>r1 của cust-A; 'nope' không tồn tại</t>
  </si>
  <si>
    <t>(ROLE_CUSTOMER, cust-B, r1); (ROLE_STAFF, s, nope)</t>
  </si>
  <si>
    <t>403; 404; không save; không phát thông báo</t>
  </si>
  <si>
    <t>TC_PH10_CLOSE_04</t>
  </si>
  <si>
    <t>BE/chat-service/src/test/java/com/ecommerce/chatservice/service/ChatRoomServiceImplBugCheck.java</t>
  </si>
  <si>
    <t>Không đóng lại phòng đã CLOSED</t>
  </si>
  <si>
    <t>Phòng r1 đã CLOSED</t>
  </si>
  <si>
    <t>roles=ROLE_STAFF, userId=staff-1</t>
  </si>
  <si>
    <t>400; không phát lại thông báo 'đã kết thúc'</t>
  </si>
  <si>
    <t>TC_PH10_CLOSE_05</t>
  </si>
  <si>
    <t>Chủ phòng đóng phòng</t>
  </si>
  <si>
    <t>room123 ACTIVE của cust456</t>
  </si>
  <si>
    <t>roles=ROLE_USER, userId=cust456</t>
  </si>
  <si>
    <t>CLOSED</t>
  </si>
  <si>
    <t>TC_PH10_CLOSE_06</t>
  </si>
  <si>
    <t>Người khác không đóng được</t>
  </si>
  <si>
    <t>room123 của cust456</t>
  </si>
  <si>
    <t>roles=ROLE_USER, userId=other_user</t>
  </si>
  <si>
    <t>ResponseStatusException</t>
  </si>
  <si>
    <t>TC_PH10_MSG_01</t>
  </si>
  <si>
    <t>BE/chat-service/src/test/java/com/ecommerce/chatservice/service/ChatMessageServiceImplTest.java</t>
  </si>
  <si>
    <t>saveMessage()</t>
  </si>
  <si>
    <t>Lưu tin và cập nhật phòng</t>
  </si>
  <si>
    <t>Phòng r1 ACTIVE</t>
  </si>
  <si>
    <t>content=URL ảnh, type=IMAGE, sender=staff-1/STAFF</t>
  </si>
  <si>
    <t>type IMAGE, isRead=false; room.lastMessage/lastMessageSenderId/lastMessageAt cập nhật; không Kafka, không auto-assign</t>
  </si>
  <si>
    <t>TC_PH10_MSG_02</t>
  </si>
  <si>
    <t>Phòng chờ: tự phân công, có nhân viên thì không gửi email offline</t>
  </si>
  <si>
    <t>Phòng WAITING; autoAssign đổi thành ACTIVE</t>
  </si>
  <si>
    <t>CUSTOMER gửi 'Alo'</t>
  </si>
  <si>
    <t>autoAssignStaffIfPossible được gọi; không gửi Kafka</t>
  </si>
  <si>
    <t>TC_PH10_MSG_03</t>
  </si>
  <si>
    <t>saveMessage(), sendOfflineKafkaEvent()</t>
  </si>
  <si>
    <t>Sự kiện email offline đúng nội dung</t>
  </si>
  <si>
    <t>Phòng WAITING, khách không có email; không ai online</t>
  </si>
  <si>
    <t>CUSTOMER gửi 'Có ai không?'</t>
  </si>
  <si>
    <t>eventType SupportChatOfflineEvent; customerEmail=''; send('notification-events', 'r1', json)</t>
  </si>
  <si>
    <t>CheckDB: không (KafkaTemplate mock, không gửi lên topic thật)
Rollback: không cần</t>
  </si>
  <si>
    <t>TC_PH10_MSG_04</t>
  </si>
  <si>
    <t>Nhân viên gửi không bắn email; lỗi Kafka không mất tin</t>
  </si>
  <si>
    <t>Phòng WAITING; lần 2 objectMapper ném JsonProcessingException</t>
  </si>
  <si>
    <t>STAFF gửi 'Chào bạn'; CUSTOMER gửi 'Alo'</t>
  </si>
  <si>
    <t>Lần 1 không gọi Kafka; lần 2 không ném lỗi, tin vẫn lưu (2 lần save)</t>
  </si>
  <si>
    <t>TC_PH10_MSG_05</t>
  </si>
  <si>
    <t>Phòng không tồn tại</t>
  </si>
  <si>
    <t>Không có r1</t>
  </si>
  <si>
    <t>CUSTOMER gửi 'x'</t>
  </si>
  <si>
    <t>404; không lưu tin</t>
  </si>
  <si>
    <t>TC_PH10_MSG_06</t>
  </si>
  <si>
    <t>getMessages()</t>
  </si>
  <si>
    <t>Quyền xem lịch sử của khách vãng lai/ADMIN</t>
  </si>
  <si>
    <t>r1 của guest_x_1 có 1 tin 'hi'; 'zz' không tồn tại</t>
  </si>
  <si>
    <t>(guest_x_1, ROLE_GUEST); (admin-1, ROLE_ADMIN); (zz)</t>
  </si>
  <si>
    <t>1 tin; nội dung 'hi'; 404</t>
  </si>
  <si>
    <t>TC_PH10_MSG_07</t>
  </si>
  <si>
    <t>uploadImage()</t>
  </si>
  <si>
    <t>Upload ảnh không hợp lệ / phòng không tồn tại</t>
  </si>
  <si>
    <t>Storage ném IllegalArgumentException cho virus.exe</t>
  </si>
  <si>
    <t>uploadImage(r1, virus.exe); uploadImage(r9, ...)</t>
  </si>
  <si>
    <t>400 kèm lý do 'Chỉ chấp nhận file ảnh'; 404</t>
  </si>
  <si>
    <t>TC_PH10_MSG_08</t>
  </si>
  <si>
    <t>BE/chat-service/src/test/java/com/ecommerce/chatservice/service/ChatMessageServiceTest.java</t>
  </si>
  <si>
    <t>Gửi tin vào phòng ACTIVE</t>
  </si>
  <si>
    <t>room123 ACTIVE</t>
  </si>
  <si>
    <t>user1/CUSTOMER 'Hello!'</t>
  </si>
  <si>
    <t>Trả msg999; không auto-assign, không Kafka</t>
  </si>
  <si>
    <t>TC_PH10_MSG_09</t>
  </si>
  <si>
    <t>Không gửi được tin vào phòng đã đóng</t>
  </si>
  <si>
    <t>room123 CLOSED</t>
  </si>
  <si>
    <t>user1/CUSTOMER</t>
  </si>
  <si>
    <t>TC_PH10_MSG_10</t>
  </si>
  <si>
    <t>Phòng chờ, không ai online -&gt; sự kiện offline</t>
  </si>
  <si>
    <t>room123 WAITING; nhân viên vẫn offline</t>
  </si>
  <si>
    <t>cust456/CUSTOMER</t>
  </si>
  <si>
    <t>auto-assign 1 lần; send notification-events key room123</t>
  </si>
  <si>
    <t>TC_PH10_MSG_11</t>
  </si>
  <si>
    <t>Chủ phòng xem lịch sử</t>
  </si>
  <si>
    <t>cust456, ROLE_USER</t>
  </si>
  <si>
    <t>1 tin 'Msg 1'</t>
  </si>
  <si>
    <t>TC_PH10_MSG_12</t>
  </si>
  <si>
    <t>Khách khác không xem được</t>
  </si>
  <si>
    <t>other_cust, ROLE_USER</t>
  </si>
  <si>
    <t>TC_PH10_MSG_13</t>
  </si>
  <si>
    <t>Nhân viên xem lịch sử</t>
  </si>
  <si>
    <t>other_user, ROLE_STAFF</t>
  </si>
  <si>
    <t>1 tin</t>
  </si>
  <si>
    <t>TC_PH10_MSG_14</t>
  </si>
  <si>
    <t>Upload ảnh vào phòng đang mở</t>
  </si>
  <si>
    <t>room123 ACTIVE; storage trả URL</t>
  </si>
  <si>
    <t>photo.png</t>
  </si>
  <si>
    <t>URL MinIO chat/room123</t>
  </si>
  <si>
    <t>TC_PH10_MSG_15</t>
  </si>
  <si>
    <t>Không upload vào phòng đã đóng</t>
  </si>
  <si>
    <t>TC_PH10_OWN_01</t>
  </si>
  <si>
    <t>BE/chat-service/src/test/java/com/ecommerce/chatservice/service/ChatMessageServiceImplBugCheck.java</t>
  </si>
  <si>
    <t>Khách không được gửi tin vào phòng của khách khác</t>
  </si>
  <si>
    <t>senderId=cust-B, role CUSTOMER, roomId=r1</t>
  </si>
  <si>
    <t>403; không lưu tin</t>
  </si>
  <si>
    <t>TC_PH10_WS_01</t>
  </si>
  <si>
    <t>BE/chat-service/src/test/java/com/ecommerce/chatservice/controller/ChatWebSocketControllerTest.java</t>
  </si>
  <si>
    <t>Bỏ qua tin từ kết nối chưa xác thực</t>
  </si>
  <si>
    <t>principal=null; hoặc thiếu session attributes</t>
  </si>
  <si>
    <t>/app/chat.sendMessage roomId=r1</t>
  </si>
  <si>
    <t>Không lưu, không broadcast</t>
  </si>
  <si>
    <t>TC_PH10_WS_02</t>
  </si>
  <si>
    <t>Khách / khách vãng lai gửi tin qua WebSocket</t>
  </si>
  <si>
    <t>Session cust-A (CUSTOMER), guest_abc_1 (GUEST)</t>
  </si>
  <si>
    <t>2 tin vào r1</t>
  </si>
  <si>
    <t>senderRole CUSTOMER cho cả 2; broadcast /topic/room/r1 và /topic/rooms.updates</t>
  </si>
  <si>
    <t>TC_PH10_WS_03</t>
  </si>
  <si>
    <t>Nhận diện vai trò nhân viên</t>
  </si>
  <si>
    <t>roles: ['staff'], ['ROLE_ADMIN'], ['offline_access','ADMIN']</t>
  </si>
  <si>
    <t>3 tin của s-1</t>
  </si>
  <si>
    <t>senderRole STAFF cả 3 lần</t>
  </si>
  <si>
    <t>TC_PH10_WS_04</t>
  </si>
  <si>
    <t>Gửi tin WebSocket vào phòng đã đóng</t>
  </si>
  <si>
    <t>saveMessage ném 400 'Phòng chat đã đóng'</t>
  </si>
  <si>
    <t>cust-A gửi vào r1</t>
  </si>
  <si>
    <t>Lỗi 400 lan ra; không broadcast</t>
  </si>
  <si>
    <t>TC_PH10_GUEST_01</t>
  </si>
  <si>
    <t>BE/chat-service/src/test/java/com/ecommerce/chatservice/controller/CustomerChatControllerTest.java</t>
  </si>
  <si>
    <t>Ưu tiên danh tính thành viên từ gateway</t>
  </si>
  <si>
    <t>(X-User-Id=user-uuid-1, X-Guest-Id=guest_x_1); (X-User-Id='', X-Guest-Id=guest_x_1)</t>
  </si>
  <si>
    <t>Tạo/lấy phòng cho user-uuid-1; lần 2 cho guest_x_1</t>
  </si>
  <si>
    <t>TC_PH10_GUEST_02</t>
  </si>
  <si>
    <t>Tên khách vãng lai</t>
  </si>
  <si>
    <t>X-Guest-Name='Nguy%E1%BB%85n%20V%C4%83n%20A'; X-Guest-Name=''</t>
  </si>
  <si>
    <t>'Nguyễn Văn A'; 'Khách vãng lai'</t>
  </si>
  <si>
    <t>TC_PH10_GUEST_03</t>
  </si>
  <si>
    <t>Thiếu danh tính bị từ chối; khách vãng lai mang role ROLE_GUEST</t>
  </si>
  <si>
    <t>Không header id (4 endpoint); rồi X-Guest-Id=guest_a_1</t>
  </si>
  <si>
    <t>400 cả 4 endpoint, không gọi service; getMessages/closeRoom nhận role 'ROLE_GUEST'</t>
  </si>
  <si>
    <t>TC_PH10_GUEST_04</t>
  </si>
  <si>
    <t>BE/chat-service/src/test/java/com/ecommerce/chatservice/controller/CustomerChatControllerBugCheck.java</t>
  </si>
  <si>
    <t>getMyRoom()</t>
  </si>
  <si>
    <t>X-Guest-Id không được mạo danh thành viên</t>
  </si>
  <si>
    <t>Thành viên 42d23463-... có phòng chat</t>
  </si>
  <si>
    <t>Không X-User-Id; X-Guest-Id=42d23463-560c-4491-b0d2-b4a5d65412ef</t>
  </si>
  <si>
    <t>Từ chối (ResponseStatusException); không trả phòng của thành viên</t>
  </si>
  <si>
    <t>chatbot.py</t>
  </si>
  <si>
    <t>TC_PH10_BOT_01</t>
  </si>
  <si>
    <t>AI/chatbot-service/tests/test_qa_ph10_chatbot.py</t>
  </si>
  <si>
    <t>handle_chat_message()</t>
  </si>
  <si>
    <t>Khiếu nại được chuyển nhân viên</t>
  </si>
  <si>
    <t>NLU (mock) = complaint/negative; LLM mock</t>
  </si>
  <si>
    <t>'Giao hàng chậm quá, tôi rất bức xúc'</t>
  </si>
  <si>
    <t>intent='escalate'; message = câu LLM; products=[]</t>
  </si>
  <si>
    <t>TC_PH10_BOT_02</t>
  </si>
  <si>
    <t>Chặn câu hỏi ngoài phạm vi, không tốn LLM</t>
  </si>
  <si>
    <t>NLU = off_topic</t>
  </si>
  <si>
    <t>'Thủ đô của Pháp là gì?'</t>
  </si>
  <si>
    <t>message = OFFTOPIC_MSG; LLM không được gọi</t>
  </si>
  <si>
    <t>TC_PH10_BOT_03</t>
  </si>
  <si>
    <t>_route_order_tracking()</t>
  </si>
  <si>
    <t>Tra đơn yêu cầu đăng nhập (đủ X-User-Id và Authorization)</t>
  </si>
  <si>
    <t>NLU = order_tracking, order_id=12; order-service bị cấm gọi</t>
  </si>
  <si>
    <t>(không header); (chỉ X-User-Id); (chỉ Authorization)</t>
  </si>
  <si>
    <t>Cả 3: LOGIN_REQUIRED_MSG; không gọi order-service</t>
  </si>
  <si>
    <t>TC_PH10_BOT_04</t>
  </si>
  <si>
    <t>Thiếu mã đơn thì hỏi lại</t>
  </si>
  <si>
    <t>Đã đăng nhập; NLU order_id=None</t>
  </si>
  <si>
    <t>'Đơn hàng của tôi đâu'</t>
  </si>
  <si>
    <t>NO_ORDER_ID_MSG; không gọi LLM</t>
  </si>
  <si>
    <t>tools.py</t>
  </si>
  <si>
    <t>TC_PH10_BOT_05</t>
  </si>
  <si>
    <t>get_order_status()</t>
  </si>
  <si>
    <t>Tra đơn chuyển tiếp danh tính tới order-service</t>
  </si>
  <si>
    <t>order-service (mock) trả SHIPPED, GHN123, 1.500.000đ, 2 tai nghe</t>
  </si>
  <si>
    <t>X-User-Id=u-1, X-User-Roles=CUSTOMER, Authorization=Bearer ...; order_id=12</t>
  </si>
  <si>
    <t>GET .../api/v1/orders/12 với đủ 3 header; message chứa 'đã được giao cho đơn vị vận chuyển' và 'GHN123'; card type order_status</t>
  </si>
  <si>
    <t>TC_PH10_BOT_06</t>
  </si>
  <si>
    <t>Lỗi từ order-service hiển thị thân thiện</t>
  </si>
  <si>
    <t>requests.get mock trả 404 / 403 / ConnectionError</t>
  </si>
  <si>
    <t>order_id=9</t>
  </si>
  <si>
    <t>'không tìm thấy đơn hàng #9'; 'không thuộc tài khoản'; SERVICE_UNAVAILABLE_MSG</t>
  </si>
  <si>
    <t>TC_PH10_BOT_07</t>
  </si>
  <si>
    <t>_route_order_action()</t>
  </si>
  <si>
    <t>Quy tắc order_action</t>
  </si>
  <si>
    <t>BE bị cấm gọi</t>
  </si>
  <si>
    <t>cancel (chưa đăng nhập); points, voucher (chưa đăng nhập); warranty (đăng nhập, không mã đơn)</t>
  </si>
  <si>
    <t>CANCEL_ORDER_GUIDE; LOGIN_REQUIRED_MSG ×2; yêu cầu mã đơn hàng</t>
  </si>
  <si>
    <t>TC_PH10_BOT_08</t>
  </si>
  <si>
    <t>_map_products()</t>
  </si>
  <si>
    <t>Tìm sản phẩm trả thẻ sản phẩm đúng giá</t>
  </si>
  <si>
    <t>RAG sản phẩm (mock) trả iPhone 15 (20tr, sale 18tr) và Ốp lưng (200k)</t>
  </si>
  <si>
    <t>'Tìm iPhone 15'</t>
  </si>
  <si>
    <t>iPhone: price=18tr, oldPrice=20tr, image=/i.png; Ốp: price=200k, oldPrice=None; context prompt chứa 'iPhone 15'</t>
  </si>
  <si>
    <t>policy_rag.py</t>
  </si>
  <si>
    <t>TC_PH10_POL_01</t>
  </si>
  <si>
    <t>classify_confidence()</t>
  </si>
  <si>
    <t>Ngưỡng tin cậy RAG chính sách</t>
  </si>
  <si>
    <t>OK=0.82, DISCLAIMER=0.80</t>
  </si>
  <si>
    <t>score ∈ {0.86, 0.82, 0.8199, 0.80, 0.7999, 0.0}</t>
  </si>
  <si>
    <t>ok, ok, disclaimer, disclaimer, reject, reject</t>
  </si>
  <si>
    <t>CheckDB: không (hàm thuần, không I/O)
Rollback: không cần
Tham số hoá: 6 bộ dữ liệu (tất cả PASS)</t>
  </si>
  <si>
    <t>TC_PH10_POL_02</t>
  </si>
  <si>
    <t>Điểm thấp -&gt; từ chối, hướng về tổng đài</t>
  </si>
  <si>
    <t>Policy RAG (mock) trả 1 chunk score 0.79</t>
  </si>
  <si>
    <t>'Bảo hành pin bao lâu'</t>
  </si>
  <si>
    <t>POLICY_REJECT_MSG; LLM không được gọi</t>
  </si>
  <si>
    <t>TC_PH10_POL_03</t>
  </si>
  <si>
    <t>Vùng disclaimer + trích nguồn</t>
  </si>
  <si>
    <t>3 chunk: Đổi trả 0.81, Đổi trả 0.80, Vận chuyển 0.79</t>
  </si>
  <si>
    <t>'Đổi trả trong bao lâu'</t>
  </si>
  <si>
    <t>prompt confidence='disclaimer'; message 'LLM trả lời\n\nTheo: Đổi trả, Vận chuyển'</t>
  </si>
  <si>
    <t>TC_PH10_POL_04</t>
  </si>
  <si>
    <t>retrieve()</t>
  </si>
  <si>
    <t>Chưa build index chính sách</t>
  </si>
  <si>
    <t>POLICY_INDEX_DIR trỏ thư mục không tồn tại</t>
  </si>
  <si>
    <t>retrieve('đổi trả')</t>
  </si>
  <si>
    <t>[]; không nạp embedding model</t>
  </si>
  <si>
    <t>classifier.py</t>
  </si>
  <si>
    <t>TC_PH10_NLU_01</t>
  </si>
  <si>
    <t>NluService.analyze(), _validate()</t>
  </si>
  <si>
    <t>Chuẩn hoá kết quả NLU từ LLM</t>
  </si>
  <si>
    <t>LLM (mock) trả JSON</t>
  </si>
  <si>
    <t>{order_tracking, sentiment 'angry', order_id '#12a', topic 'refund'}; {order_action, negative, ' 45 ', warranty}</t>
  </si>
  <si>
    <t>sentiment neutral (0.5), order_id None, topic 'none', source llm; lần 2 order_id=45, score 0.85, topic warranty</t>
  </si>
  <si>
    <t>TC_PH10_NLU_02</t>
  </si>
  <si>
    <t>NluService.analyze()</t>
  </si>
  <si>
    <t>LLM trả sai -&gt; heuristic; chỉ gửi 2 lượt lịch sử</t>
  </si>
  <si>
    <t>LLM trả intent 'buy_stuff'; sau đó trả chuỗi không phải JSON</t>
  </si>
  <si>
    <t>'Chính sách đổi trả thế nào?' + 5 lượt lịch sử; 'chào bạn'</t>
  </si>
  <si>
    <t>source heuristic, intent policy_faq; LLM nhận đúng 2 lượt cuối; lần 2 source heuristic</t>
  </si>
  <si>
    <t>heuristics.py / classifier.py</t>
  </si>
  <si>
    <t>TC_PH10_NLU_03</t>
  </si>
  <si>
    <t>predict_intent(), _heuristic_fallback()</t>
  </si>
  <si>
    <t>Heuristic dự phòng khi không có LLM</t>
  </si>
  <si>
    <t>LLM ném RuntimeError (thiếu API key)</t>
  </si>
  <si>
    <t>6 câu: thời tiết; chào hỏi; 'Tôi muốn huỷ đơn #123'; 'Đơn #45 giao tới đâu rồi?'; 'Sản phẩm bị lỗi, tôi rất bức xúc'; 'Huỷ đơn thì hoàn tiền bao lâu?'</t>
  </si>
  <si>
    <t>off_topic; general_chat; order_action (123, cancel); order_tracking (45); complaint; policy_faq</t>
  </si>
  <si>
    <t>CheckDB: không (mock)
Rollback: không cần
Tham số hoá: 6 bộ dữ liệu (tất cả PASS)</t>
  </si>
  <si>
    <t>TC_PH10_NLU_04</t>
  </si>
  <si>
    <t>extract_order_id()</t>
  </si>
  <si>
    <t>Trích mã đơn hàng</t>
  </si>
  <si>
    <t>'# 123'; 'đơn hàng số 45'; 'mã 98765'; 'tôi có 1 câu hỏi'</t>
  </si>
  <si>
    <t>123; 45; 98765; None</t>
  </si>
  <si>
    <t>heuristics.py</t>
  </si>
  <si>
    <t>TC_PH10_NLU_05</t>
  </si>
  <si>
    <t>AI/chatbot-service/tests/bugcheck_ph10_chatbot.py</t>
  </si>
  <si>
    <t>predict_intent()</t>
  </si>
  <si>
    <t>Khiếu nại chứa chữ 'mua' vẫn phải là complaint</t>
  </si>
  <si>
    <t>LLM ném lỗi (dùng heuristic)</t>
  </si>
  <si>
    <t>'Tôi mua tai nghe về bị hỏng, thất vọng quá'</t>
  </si>
  <si>
    <t>intent='complaint' (để escalate)</t>
  </si>
  <si>
    <t>llm_client.py</t>
  </si>
  <si>
    <t>TC_PH10_LLM_01</t>
  </si>
  <si>
    <t>generate_text()</t>
  </si>
  <si>
    <t>Thiếu API key thì không gọi HTTP</t>
  </si>
  <si>
    <t>DEEPSEEK_API_KEY=''; requests.post bị cấm</t>
  </si>
  <si>
    <t>generate_text('sys', [], 'hi')</t>
  </si>
  <si>
    <t>RuntimeError nhắc DEEPSEEK_API_KEY</t>
  </si>
  <si>
    <t>TC_PH10_LLM_02</t>
  </si>
  <si>
    <t>Payload gửi DeepSeek và xử lý lỗi</t>
  </si>
  <si>
    <t>API key giả 'sk-test'; requests.post mock</t>
  </si>
  <si>
    <t>history [user 'a', bot 'b'], message 'c', response_schema có; rồi Timeout</t>
  </si>
  <si>
    <t>roles [system, user, assistant, user]; response_format json_object; header Bearer sk-test; Timeout -&gt; RuntimeError 'DeepSeek error'</t>
  </si>
  <si>
    <t>product_rag.py</t>
  </si>
  <si>
    <t>TC_PH10_LLM_03</t>
  </si>
  <si>
    <t>generate_reply()</t>
  </si>
  <si>
    <t>LLM sập vẫn có câu trả lời dự phòng</t>
  </si>
  <si>
    <t>llm_client.generate_text ném RuntimeError</t>
  </si>
  <si>
    <t>prompt có khối CONTEXT về đổi trả; prompt không có context</t>
  </si>
  <si>
    <t>Trả chuỗi không rỗng (không ném lỗi) cả 2 trường hợp</t>
  </si>
  <si>
    <t>memory.py</t>
  </si>
  <si>
    <t>TC_PH10_MEM_01</t>
  </si>
  <si>
    <t>add_message(), get_history()</t>
  </si>
  <si>
    <t>Cửa sổ nhớ hội thoại</t>
  </si>
  <si>
    <t>Redis giả</t>
  </si>
  <si>
    <t>25 tin vào s-9; get_history(max_turns=2)</t>
  </si>
  <si>
    <t>Giữ 20 tin, TTL 86400s; trả [m21, m22, m23, m24] theo thứ tự cũ -&gt; mới</t>
  </si>
  <si>
    <t>TC_PH10_BOT_09</t>
  </si>
  <si>
    <t>user_id trong body (client tự đặt) không được coi là đã đăng nhập</t>
  </si>
  <si>
    <t>Không X-User-Id, không Authorization; NLU general_chat</t>
  </si>
  <si>
    <t>body {session_id:'s-guest', user_id:999, message:'Xin chào'}</t>
  </si>
  <si>
    <t>build_system_prompt nhận user_id=None (prompt không ghi 'Đã đăng nhập: Có')</t>
  </si>
  <si>
    <t>closeRoom không kiểm tra phòng đã CLOSED: đóng lại phòng đã đóng vẫn ghi DB và phát lại thông báo 'đã kết thúc phiên hỗ trợ' tới /topic/room/{id} (assignStaff thì có chặn 400).</t>
  </si>
  <si>
    <t>BE/chat-service/src/main/java/com/ecommerce/chatservice/service/impl/ChatRoomServiceImpl.java:103-128</t>
  </si>
  <si>
    <t>saveMessage (gọi từ WebSocket /app/chat.sendMessage) không kiểm tra người gửi là chủ phòng hay nhân viên: khách B biết roomId có thể chèn tin vào phòng hỗ trợ của khách A (và tin được broadcast tới A).</t>
  </si>
  <si>
    <t>BE/chat-service/src/main/java/com/ecommerce/chatservice/service/impl/ChatMessageServiceImpl.java:42-50; controller/ChatWebSocketController.java:39-51</t>
  </si>
  <si>
    <t>Danh tính khách vãng lai lấy nguyên X-Guest-Id do client gửi, không ràng buộc dạng 'guest_*' như FE sinh: không đăng nhập nhưng gửi X-Guest-Id = UUID của thành viên là xem được phòng/lịch sử/đóng phòng của thành viên đó (WebSocket nhận Guest-Id tương tự).</t>
  </si>
  <si>
    <t>BE/chat-service/src/main/java/com/ecommerce/chatservice/controller/CustomerChatController.java:40, :61 (cả /messages, /close); config/WebSocketConfig.java:94-105</t>
  </si>
  <si>
    <t>Heuristic dự phòng (khi LLM lỗi/thiếu key) kiểm tra PRODUCT_TERMS ('mua', 'tai nghe'...) trước từ khoá khiếu nại: 'Tôi mua tai nghe về bị hỏng, thất vọng quá' thành product_search -&gt; không escalate sang nhân viên.</t>
  </si>
  <si>
    <t>AI/chatbot-service/app/services/nlu/heuristics.py:12, :67 (trước nhánh complaint :76)</t>
  </si>
  <si>
    <t>auth_user_id rơi về request.userId (body do client gửi) khi không có X-User-Id: khách chưa đăng nhập gửi user_id=999 thì system prompt ghi 'Tên: User #999 - Đã đăng nhập: Có' (trái chú thích bước 6 trong chính chatbot.py).</t>
  </si>
  <si>
    <t>AI/chatbot-service/app/api/endpoints/chatbot.py:119 và :185-188; app/services/prompt.py:67-72</t>
  </si>
  <si>
    <t>NHÓM: CHATBOT</t>
  </si>
  <si>
    <t>API_PH10_001</t>
  </si>
  <si>
    <t>/api/v1/chatbot/message</t>
  </si>
  <si>
    <t>Hỏi chính sách đổi trả (khách vãng lai)</t>
  </si>
  <si>
    <t>{
 "sessionId": "qa-bot-1",
 "message": "Chính sách đổi trả ra sao?"
}</t>
  </si>
  <si>
    <t>HTTP 200; intent=policy_faq; có câu trả lời</t>
  </si>
  <si>
    <t>HTTP 200  (659 ms)
{"message": "Theo thông tin Aura tra được: Áp dụng cho khách hàng mua sản phẩm mới chính hãng tại Aura Tech phát hiện lỗi kỹ thuật từ phía nhà sản xuất (NSX):\n\nTheo: Chính sách đổi trả, hoàn tiền và thu mua máy cũ, Câu Hỏi Thường Gặp (FAQ) — AuraTech, Quy định về việc sao lưu dữ liệu, Chính sách giao hàng", "intent": "policy_faq"}</t>
  </si>
  <si>
    <t>API_PH10_002</t>
  </si>
  <si>
    <t>Từ chối tin nhắn thiếu nội dung</t>
  </si>
  <si>
    <t>{
 "sessionId": "qa-bot-1"
}</t>
  </si>
  <si>
    <t>HTTP 422  (10 ms)
{"detail": [{"type": "missing", "loc": ["body", "message"], "msg": "Field required", "input": {"sessionId": "qa-bot-1"}}]}</t>
  </si>
  <si>
    <t>API_PH10_003</t>
  </si>
  <si>
    <t>Tư vấn sản phẩm trả thẻ sản phẩm</t>
  </si>
  <si>
    <t>{
 "sessionId": "qa-bot-2",
 "message": "Gợi ý cho tôi laptop gaming cho sinh viên"
}</t>
  </si>
  <si>
    <t>HTTP 200; products[] không rỗng</t>
  </si>
  <si>
    <t>HTTP 200  (433 ms)
{"message":"Theo thông tin Aura tra được: Thông số kỹ thuật: storage: 128 GB, ram: 8 GB, cpu: Exynos 1680, gpu: Xclipse 550, screen: 6.7 inches, battery: 5000 mAh, camera: Camera chính: 50MPGóc siêu r</t>
  </si>
  <si>
    <t>API_PH10_004</t>
  </si>
  <si>
    <t>Câu hỏi ngoài chủ đề bị từ chối lịch sự</t>
  </si>
  <si>
    <t>{
 "sessionId": "qa-bot-3",
 "message": "Thời tiết hôm nay thế nào?"
}</t>
  </si>
  <si>
    <t>HTTP 200; intent=off_topic</t>
  </si>
  <si>
    <t>HTTP 200  (176 ms)
{"message": "Xin lỗi bạn, Aura chỉ có thể hỗ trợ các vấn đề liên quan đến mua sắm và dịch vụ của AuraTech thôi nhé. Aura có thể giúp bạn tìm sản phẩm, tra đơn hàng hoặc giải đáp chính sách bảo hành không? 😊", "intent": "off_topic"}</t>
  </si>
  <si>
    <t>API_PH10_005</t>
  </si>
  <si>
    <t>Hỏi đơn hàng khi chưa đăng nhập được yêu cầu đăng nhập</t>
  </si>
  <si>
    <t>{
 "sessionId": "qa-bot-4",
 "message": "Đơn hàng của tôi đang ở đâu?"
}</t>
  </si>
  <si>
    <t>HTTP 200; câu trả lời yêu cầu đăng nhập</t>
  </si>
  <si>
    <t>HTTP 200  (185 ms)
{"message": "Để tra cứu thông tin này, bạn vui lòng đăng nhập vào tài khoản AuraTech trước nhé. 👉 Đăng nhập ngay tại trang web hoặc app AuraTech.", "intent": "order_tracking"}</t>
  </si>
  <si>
    <t>API_PH10_006</t>
  </si>
  <si>
    <t>Hỏi đơn hàng khi đã đăng nhập trả dữ liệu thật</t>
  </si>
  <si>
    <t>{
 "sessionId": "qa-bot-5",
 "message": "Đơn hàng gần nhất của tôi đang ở trạng thái nào?"
}</t>
  </si>
  <si>
    <t>HTTP 200; intent=order_tracking</t>
  </si>
  <si>
    <t>HTTP 200  (193 ms)
{"message": "Bạn cho Aura biết mã đơn hàng (ví dụ #123) để tra cứu giúp bạn nhé.", "intent": "order_tracking"}</t>
  </si>
  <si>
    <t>API_PH10_007</t>
  </si>
  <si>
    <t>Khiếu nại được chuyển sang nhân viên</t>
  </si>
  <si>
    <t>{
 "sessionId": "qa-bot-6",
 "message": "Sản phẩm tôi nhận bị lỗi, tôi muốn khiếu nại ngay"
}</t>
  </si>
  <si>
    <t>HTTP 200; intent=escalate</t>
  </si>
  <si>
    <t>HTTP 200  (392 ms)
{"message": "Chào bạn! Aura là trợ lý AI của AuraTech. Aura có thể giúp bạn tìm sản phẩm, tra đơn hàng hoặc giải đáp chính sách. Bạn cần hỗ trợ gì hôm nay? 😊", "intent": "escalate"}</t>
  </si>
  <si>
    <t>API_PH10_008</t>
  </si>
  <si>
    <t>/api/v1/chatbot/escalate</t>
  </si>
  <si>
    <t>Endpoint escalate trả SUCCESS</t>
  </si>
  <si>
    <t>{
 "sessionId": "qa-bot-6",
 "reason": "QA"
}</t>
  </si>
  <si>
    <t>HTTP 200  (9 ms)
{"message": "Session escalated to human agent.", "status": "SUCCESS"}</t>
  </si>
  <si>
    <t>NHÓM: CHAT NHÂN VIÊN</t>
  </si>
  <si>
    <t>API_PH10_009</t>
  </si>
  <si>
    <t>/api/v1/public/chat/rooms</t>
  </si>
  <si>
    <t>Tạo phòng chat cho khách vãng lai</t>
  </si>
  <si>
    <t>Không (public)
X-Guest-Id: qa-guest-{{$timestamp}}</t>
  </si>
  <si>
    <t>HTTP 200; phòng mới status=AI_CHAT</t>
  </si>
  <si>
    <t>HTTP 200  (17 ms)
{"code": "SUCCESS", "message": "Success", "data.id": "6ad384a74fce925c94f97fa0", "data.status": "AI_CHAT"}</t>
  </si>
  <si>
    <t>API_PH10_010</t>
  </si>
  <si>
    <t>Tạo phòng chat không có định danh bị từ chối</t>
  </si>
  <si>
    <t>HTTP 400/401; không tạo phòng khi thiếu định danh</t>
  </si>
  <si>
    <t>HTTP 401  (14 ms)
(body rỗng)</t>
  </si>
  <si>
    <t>API_PH10_011</t>
  </si>
  <si>
    <t>/api/v1/public/chat/rooms/{{roomId}}/messages</t>
  </si>
  <si>
    <t>Khách khác không đọc được tin nhắn của phòng</t>
  </si>
  <si>
    <t>Không (public)
X-Guest-Id: qa-guest-khac</t>
  </si>
  <si>
    <t>HTTP 401/403; không lộ tin nhắn</t>
  </si>
  <si>
    <t>HTTP 401  (18 ms)
(body rỗng)</t>
  </si>
  <si>
    <t>API_PH10_012</t>
  </si>
  <si>
    <t>/api/v1/public/chat/rooms/{{roomId}}/handover</t>
  </si>
  <si>
    <t>Khách khác không được chuyển phòng người khác sang nhân viên</t>
  </si>
  <si>
    <t>HTTP 403 (không phải chủ phòng)</t>
  </si>
  <si>
    <t>HTTP 200  (22 ms)
{"code": "SUCCESS", "message": "Success", "data.id": "6ad384a74fce925c94f97fa0", "data.status": "WAITING"}
Không đạt: HTTP status ∈ 403</t>
  </si>
  <si>
    <t>API_PH10_013</t>
  </si>
  <si>
    <t>/api/v1/admin/chat/rooms?status=WAITING</t>
  </si>
  <si>
    <t>Staff xem danh sách phòng chờ</t>
  </si>
  <si>
    <t>HTTP 200  (16 ms)
{"code":"SUCCESS","message":"Success","data":{"content":[{"id":"6ad384a74fce925c94f97fa0","customerId":"qa-guest-1792246951057","customerName":"Khách vãng lai","customerEmail":null,"customerAvatar":nu</t>
  </si>
  <si>
    <t>API_PH10_014</t>
  </si>
  <si>
    <t>/api/v1/admin/chat/rooms</t>
  </si>
  <si>
    <t>Customer không xem được danh sách phòng của nhân viên</t>
  </si>
  <si>
    <t>HTTP 403  (14 ms)
(body rỗng)</t>
  </si>
  <si>
    <t>API_PH10_015</t>
  </si>
  <si>
    <t>/api/v1/admin/chat/rooms/{{roomId}}/assign</t>
  </si>
  <si>
    <t>Staff nhận phòng → ACTIVE</t>
  </si>
  <si>
    <t>HTTP 200; status=ACTIVE</t>
  </si>
  <si>
    <t>HTTP 200  (18 ms)
{"code": "SUCCESS", "message": "Success", "data.id": "6ad384a74fce925c94f97fa0", "data.status": "ACTIVE"}</t>
  </si>
  <si>
    <t>API_PH10_016</t>
  </si>
  <si>
    <t>/api/v1/public/chat/rooms/{{roomId}}/close</t>
  </si>
  <si>
    <t>Chủ phòng đóng phòng → CLOSED</t>
  </si>
  <si>
    <t>Không (public)
X-Guest-Id: {{guestId}}</t>
  </si>
  <si>
    <t>HTTP 200; status=CLOSED</t>
  </si>
  <si>
    <t>HTTP 200  (17 ms)
{"code": "SUCCESS", "message": "Success", "data.id": "6ad384a74fce925c94f97fa0", "data.status": "CLOSED"}</t>
  </si>
  <si>
    <t>JUnit 5 + Mockito (Spring Boot 3.2.5, Java 17); pytest 9.1 + pytest-cov 7.1 (Python 3.10, image ai-chatbot-service), Playwright 1.64</t>
  </si>
  <si>
    <t>npx playwright test ui/PH10.spec.ts</t>
  </si>
  <si>
    <t>ChatRoomServiceImplTest.java</t>
  </si>
  <si>
    <t>verify(chatRoomRepository).save(cap.capture());
assertEquals("AI_CHAT", cap.getValue().getStatus());
assertEquals("lan@mail.vn", cap.getValue().getCustomerEmail());
assertNotNull(cap.getValue().getCreatedAt());
assertEquals("AI_CHAT", res.getStatus());</t>
  </si>
  <si>
    <t>ResponseStatusException ex = assertThrows(ResponseStatusException.class, () -&gt; chatRoomService.getMyActiveRoom("cust-A"));
assertEquals(HttpStatus.NOT_FOUND, ex.getStatusCode());</t>
  </si>
  <si>
    <t>assertEquals("cust-A", chatRoomService.getRoomsByStatus("WAITING", page).getContent().get(0).getCustomerId());
assertEquals("s1", chatRoomService.getRoomsByStaff("s1", page).getContent().get(0).getStaffId());</t>
  </si>
  <si>
    <t>ChatRoomServiceTest.java</t>
  </si>
  <si>
    <t>assertEquals("ACTIVE", res.getStatus());
assertEquals("staff-free", res.getStaffId());
assertEquals("Minh", res.getStaffName());</t>
  </si>
  <si>
    <t>assertEquals("Nhân viên hỗ trợ", chatRoomService.handoverRoom("r1").getStaffName());</t>
  </si>
  <si>
    <t>assertEquals("WAITING", res.getStatus());
assertNull(res.getStaffId());
assertEquals("WAITING", chatRoomService.handoverRoom("r1").getStatus());</t>
  </si>
  <si>
    <t>ResponseStatusException ex = assertThrows(ResponseStatusException.class, () -&gt; chatRoomService.handoverRoom("r1"));
assertEquals(HttpStatus.BAD_REQUEST, ex.getStatusCode(), status);
verify(chatRoomRepository, never()).save(any());</t>
  </si>
  <si>
    <t>assertEquals(HttpStatus.NOT_FOUND,
assertThrows(ResponseStatusException.class, () -&gt; chatRoomService.handoverRoom("ghost")).getStatusCode());
assertEquals(HttpStatus.NOT_FOUND,
assertThrows(ResponseStatusException.class, () -&gt; chatRoomService.assignStaff("ghost", "s1", "Minh")).getStatusCode());
assertEquals(HttpStatus.BAD_REQUEST,</t>
  </si>
  <si>
    <t>assertEquals("CLOSED", res.getStatus());
verify(messagingTemplate).convertAndSend(eq("/topic/room/r1"), cap.capture());
assertEquals("SYSTEM_ROOM_CLOSED", notice.getType());
assertEquals("SYSTEM", notice.getSenderRole());
assertEquals("Nhân viên đã kết thúc phiên hỗ trợ này.", notice.getContent());</t>
  </si>
  <si>
    <t>assertEquals("CLOSED", chatRoomService.closeRoom("r1", "ROLE_ADMIN", "admin-1").getStatus());
assertEquals("CLOSED", chatRoomService.closeRoom("r2", "ROLE_GUEST", "guest_abc_1").getStatus());
verify(messagingTemplate).convertAndSend(eq("/topic/room/r2"), cap.capture());
assertEquals("Khách hàng đã kết thúc phiên hỗ trợ này.", ((ChatMessageResponse) cap.getValue()).getContent());</t>
  </si>
  <si>
    <t>assertEquals(HttpStatus.FORBIDDEN,
assertThrows(ResponseStatusException.class, () -&gt; chatRoomService.closeRoom("r1", "ROLE_CUSTOMER", "cust-B")).getStatusCode());
assertEquals(HttpStatus.NOT_FOUND,
assertThrows(ResponseStatusException.class, () -&gt; chatRoomService.closeRoom("nope", "ROLE_STAFF", "s")).getStatusCode());
verify(chatRoomRepository, never()).save(any());</t>
  </si>
  <si>
    <t>ChatRoomServiceImplBugCheck.java</t>
  </si>
  <si>
    <t>ResponseStatusException ex = assertThrows(ResponseStatusException.class,
assertEquals(HttpStatus.BAD_REQUEST, ex.getStatusCode());</t>
  </si>
  <si>
    <t>ChatMessageServiceImplTest.java</t>
  </si>
  <si>
    <t>assertEquals("IMAGE", res.getType());
assertFalse(res.isRead());
assertEquals("http://minio/chat/r1/a.png", r.getLastMessage());
assertEquals("staff-1", r.getLastMessageSenderId());
assertNotNull(r.getLastMessageAt());</t>
  </si>
  <si>
    <t>verify(chatRoomService).autoAssignStaffIfPossible(r);</t>
  </si>
  <si>
    <t>verify(objectMapper).writeValueAsString(cap.capture());
assertEquals("SupportChatOfflineEvent", event.get("eventType"));
assertEquals("", payload.get("customerEmail"));
assertEquals("Có ai không?", payload.get("content"));
verify(kafkaTemplate).send("notification-events", "r1", "{json}");</t>
  </si>
  <si>
    <t>ChatMessageResponse res = assertDoesNotThrow(
assertEquals("Alo", res.getContent());
verify(chatMessageRepository, times(2)).save(any(ChatMessage.class));</t>
  </si>
  <si>
    <t>assertEquals(HttpStatus.NOT_FOUND, assertThrows(ResponseStatusException.class,</t>
  </si>
  <si>
    <t>assertEquals(1, chatMessageService.getMessages("r1", "guest_x_1", "ROLE_GUEST", page).getTotalElements());
assertEquals("hi", chatMessageService.getMessages("r1", "admin-1", "ROLE_ADMIN", page).getContent().get(0).getContent());
assertEquals(HttpStatus.NOT_FOUND, assertThrows(ResponseStatusException.class,</t>
  </si>
  <si>
    <t>ResponseStatusException ex = assertThrows(ResponseStatusException.class, () -&gt; chatMessageService.uploadImage("r1", exe));
assertEquals(HttpStatus.BAD_REQUEST, ex.getStatusCode());
assertEquals("Chỉ chấp nhận file ảnh", ex.getReason());
assertEquals(HttpStatus.NOT_FOUND, assertThrows(ResponseStatusException.class,</t>
  </si>
  <si>
    <t>ChatMessageServiceTest.java</t>
  </si>
  <si>
    <t>ChatMessageServiceImplBugCheck.java</t>
  </si>
  <si>
    <t>ResponseStatusException ex = assertThrows(ResponseStatusException.class,
assertEquals(HttpStatus.FORBIDDEN, ex.getStatusCode());
verify(chatMessageRepository, never()).save(any());</t>
  </si>
  <si>
    <t>ChatWebSocketControllerTest.java</t>
  </si>
  <si>
    <t>verify(chatMessageService).saveMessage(any(), eq("cust-A"), eq("Lan"), eq("CUSTOMER"));
verify(chatMessageService).saveMessage(any(), eq("guest_abc_1"), eq("Khách vãng lai"), eq("CUSTOMER"));
verify(messagingTemplate, times(2)).convertAndSend("/topic/room/r1", saved);
verify(messagingTemplate, times(2)).convertAndSend("/topic/rooms.updates", saved);</t>
  </si>
  <si>
    <t>verify(chatMessageService, times(3)).saveMessage(any(), eq("s-1"), eq("Minh"), eq("STAFF"));</t>
  </si>
  <si>
    <t>CustomerChatControllerTest.java</t>
  </si>
  <si>
    <t>verify(chatRoomService).getOrCreateRoom("user-uuid-1", "Lan", "lan@mail.vn", null);
verify(chatRoomService).getOrCreateRoom(eq("guest_x_1"), anyString(), isNull(), isNull());</t>
  </si>
  <si>
    <t>verify(chatRoomService).getOrCreateRoom("guest_a_1", "Nguyễn Văn A", null, null);
verify(chatRoomService).getOrCreateRoom("guest_b_2", "Khách vãng lai", null, null);</t>
  </si>
  <si>
    <t>assertEquals(HttpStatus.BAD_REQUEST, assertThrows(ResponseStatusException.class,
assertEquals(HttpStatus.BAD_REQUEST, assertThrows(ResponseStatusException.class,
assertEquals(HttpStatus.BAD_REQUEST, assertThrows(ResponseStatusException.class,
assertEquals(HttpStatus.BAD_REQUEST, assertThrows(ResponseStatusException.class,
verify(chatMessageService).getMessages("r1", "guest_a_1", "ROLE_GUEST", PageRequest.of(0, 20));</t>
  </si>
  <si>
    <t>CustomerChatControllerBugCheck.java</t>
  </si>
  <si>
    <t>assertThrows(ResponseStatusException.class, () -&gt; controller.getMyRoom(null, memberUuid));
verify(chatRoomService, never()).getMyActiveRoom(memberUuid);</t>
  </si>
  <si>
    <t>test_qa_ph10_chatbot.py</t>
  </si>
  <si>
    <t>assert out["intent"] == "escalate" and out["message"] == "LLM trả lời" and out["products"] == []
assert out["intent"] == "off_topic" and out["message"] == ep.OFFTOPIC_MSG
assert bot.calls["llm"] == []
assert bot("Đơn #12 tới đâu rồi", _nlu("order_tracking", order_id=12))["message"] == tools.LOGIN_REQUIRED_MSG
assert bot("Đơn #12 tới đâu rồi", _nlu("order_tracking", order_id=12), user_id="u-1")["message"] == tools.LOGIN_REQUIRED_MSG</t>
  </si>
  <si>
    <t>assert out["intent"] == "off_topic" and out["message"] == ep.OFFTOPIC_MSG
assert bot.calls["llm"] == []
assert bot("Đơn #12 tới đâu rồi", _nlu("order_tracking", order_id=12))["message"] == tools.LOGIN_REQUIRED_MSG
assert bot("Đơn #12 tới đâu rồi", _nlu("order_tracking", order_id=12), user_id="u-1")["message"] == tools.LOGIN_REQUIRED_MSG
assert bot("Đơn #12 tới đâu rồi", _nlu("order_tracking", order_id=12), auth=JWT)["message"] == tools.LOGIN_REQUIRED_MSG</t>
  </si>
  <si>
    <t>assert bot("Đơn #12 tới đâu rồi", _nlu("order_tracking", order_id=12))["message"] == tools.LOGIN_REQUIRED_MSG
assert bot("Đơn #12 tới đâu rồi", _nlu("order_tracking", order_id=12), user_id="u-1")["message"] == tools.LOGIN_REQUIRED_MSG
assert bot("Đơn #12 tới đâu rồi", _nlu("order_tracking", order_id=12), auth=JWT)["message"] == tools.LOGIN_REQUIRED_MSG
assert out["message"] == ep.NO_ORDER_ID_MSG and bot.calls["llm"] == []
assert seen["url"].endswith("/api/v1/orders/12")</t>
  </si>
  <si>
    <t>assert out["message"] == ep.NO_ORDER_ID_MSG and bot.calls["llm"] == []
assert seen["url"].endswith("/api/v1/orders/12")
assert seen["headers"] == {"X-User-Id": "u-1", "X-User-Roles": "CUSTOMER", "Authorization": JWT}
assert "đã được giao cho đơn vị vận chuyển" in out["message"] and "GHN123" in out["message"]
assert out["card"]["type"] == "order_status" and out["card"]["statusCode"] == "SHIPPED"</t>
  </si>
  <si>
    <t>assert seen["url"].endswith("/api/v1/orders/12")
assert seen["headers"] == {"X-User-Id": "u-1", "X-User-Roles": "CUSTOMER", "Authorization": JWT}
assert "đã được giao cho đơn vị vận chuyển" in out["message"] and "GHN123" in out["message"]
assert out["card"]["type"] == "order_status" and out["card"]["statusCode"] == "SHIPPED"
assert "không tìm thấy đơn hàng #9" in tools.get_order_status(9, "u", None, JWT)["message"]</t>
  </si>
  <si>
    <t>assert "không tìm thấy đơn hàng #9" in tools.get_order_status(9, "u", None, JWT)["message"]
assert "không thuộc tài khoản" in tools.get_order_status(9, "u", None, JWT)["message"]
assert tools.get_order_status(9, "u", None, JWT) == {"message": tools.SERVICE_UNAVAILABLE_MSG, "card": None}
assert bot("Huỷ đơn giúp tôi", _nlu("order_action", topic="cancel"))["message"] == tools.CANCEL_ORDER_GUIDE
assert bot("Điểm thưởng của tôi", _nlu("order_action", topic="points"))["message"] == tools.LOGIN_REQUIRED_MSG</t>
  </si>
  <si>
    <t>assert bot("Huỷ đơn giúp tôi", _nlu("order_action", topic="cancel"))["message"] == tools.CANCEL_ORDER_GUIDE
assert bot("Điểm thưởng của tôi", _nlu("order_action", topic="points"))["message"] == tools.LOGIN_REQUIRED_MSG
assert bot("Voucher của tôi", _nlu("order_action", topic="voucher"))["message"] == tools.LOGIN_REQUIRED_MSG
assert "mã đơn hàng" in out["message"]
assert (p[0]["price"], p[0]["oldPrice"], p[0]["image"]) == (18000000, 20000000, "/i.png")</t>
  </si>
  <si>
    <t>assert (p[0]["price"], p[0]["oldPrice"], p[0]["image"]) == (18000000, 20000000, "/i.png")
assert (p[1]["price"], p[1]["oldPrice"]) == (200000, None)
assert "iPhone 15" in bot.calls["prompt"][0]["ctx"]
assert PolicyRagService.classify_confidence(score) == level
assert out["message"] == ep.POLICY_REJECT_MSG and bot.calls["llm"] == []</t>
  </si>
  <si>
    <t>assert PolicyRagService.classify_confidence(score) == level
assert out["message"] == ep.POLICY_REJECT_MSG and bot.calls["llm"] == []
assert bot.calls["prompt"][0]["confidence"] == "disclaimer"
assert out["message"] == "LLM trả lời\n\nTheo: Đổi trả, Vận chuyển"
assert svc.retrieve("đổi trả") == [] and svc.model is None</t>
  </si>
  <si>
    <t>assert out["message"] == ep.POLICY_REJECT_MSG and bot.calls["llm"] == []
assert bot.calls["prompt"][0]["confidence"] == "disclaimer"
assert out["message"] == "LLM trả lời\n\nTheo: Đổi trả, Vận chuyển"
assert svc.retrieve("đổi trả") == [] and svc.model is None
assert out == {"intent": "order_tracking", "sentiment": "neutral", "sentiment_score": 0.5, "order_id": None,</t>
  </si>
  <si>
    <t>assert bot.calls["prompt"][0]["confidence"] == "disclaimer"
assert out["message"] == "LLM trả lời\n\nTheo: Đổi trả, Vận chuyển"
assert svc.retrieve("đổi trả") == [] and svc.model is None
assert out == {"intent": "order_tracking", "sentiment": "neutral", "sentiment_score": 0.5, "order_id": None,
assert out["order_id"] == 45 and out["sentiment_score"] == 0.85 and out["account_topic"] == "warranty"</t>
  </si>
  <si>
    <t>assert svc.retrieve("đổi trả") == [] and svc.model is None
assert out == {"intent": "order_tracking", "sentiment": "neutral", "sentiment_score": 0.5, "order_id": None,
assert out["order_id"] == 45 and out["sentiment_score"] == 0.85 and out["account_topic"] == "warranty"
assert out["source"] == "heuristic" and out["intent"] == "policy_faq"
assert sent["history"] == history[-2:]</t>
  </si>
  <si>
    <t>assert out == {"intent": "order_tracking", "sentiment": "neutral", "sentiment_score": 0.5, "order_id": None,
assert out["order_id"] == 45 and out["sentiment_score"] == 0.85 and out["account_topic"] == "warranty"
assert out["source"] == "heuristic" and out["intent"] == "policy_faq"
assert sent["history"] == history[-2:]
assert NluService().analyze("chào bạn")["source"] == "heuristic"</t>
  </si>
  <si>
    <t>assert out["source"] == "heuristic" and out["intent"] == "policy_faq"
assert sent["history"] == history[-2:]
assert NluService().analyze("chào bạn")["source"] == "heuristic"
assert (out["intent"], out["order_id"], out["account_topic"], out["source"]) == (intent, order_id, topic, "heuristic")
assert tools.extract_order_id("kiểm tra giúp # 123") == 123</t>
  </si>
  <si>
    <t>assert (out["intent"], out["order_id"], out["account_topic"], out["source"]) == (intent, order_id, topic, "heuristic")
assert tools.extract_order_id("kiểm tra giúp # 123") == 123
assert tools.extract_order_id("đơn hàng số 45 của tôi") == 45
assert tools.extract_order_id("mã 98765") == 98765
assert tools.extract_order_id("tôi có 1 câu hỏi") is None</t>
  </si>
  <si>
    <t>assert tools.extract_order_id("kiểm tra giúp # 123") == 123
assert tools.extract_order_id("đơn hàng số 45 của tôi") == 45
assert tools.extract_order_id("mã 98765") == 98765
assert tools.extract_order_id("tôi có 1 câu hỏi") is None
with pytest.raises(RuntimeError, match="DEEPSEEK_API_KEY"):</t>
  </si>
  <si>
    <t>bugcheck_ph10_chatbot.py</t>
  </si>
  <si>
    <t>assert out["intent"] == "complaint", f"intent={out['intent']}"</t>
  </si>
  <si>
    <t>with pytest.raises(RuntimeError, match="DEEPSEEK_API_KEY"):
assert out == "{\"intent\":\"general_chat\"}"
assert [m["role"] for m in seen["json"]["messages"]] == ["system", "user", "assistant", "user"]
assert seen["json"]["response_format"] == {"type": "json_object"} and seen["headers"]["Authorization"] == "Bearer sk-test"
with pytest.raises(RuntimeError, match="DeepSeek error"):</t>
  </si>
  <si>
    <t>assert out == "{\"intent\":\"general_chat\"}"
assert [m["role"] for m in seen["json"]["messages"]] == ["system", "user", "assistant", "user"]
assert seen["json"]["response_format"] == {"type": "json_object"} and seen["headers"]["Authorization"] == "Bearer sk-test"
with pytest.raises(RuntimeError, match="DeepSeek error"):
assert isinstance(out, str) and out</t>
  </si>
  <si>
    <t>assert isinstance(out, str) and out
assert ProductRagService().generate_reply("không có context", [], "chào")
assert len(fake_redis.lists[key]) == 20 and fake_redis.ttl[key] == 86400
assert [h["content"] for h in hist] == ["m21", "m22", "m23", "m24"]</t>
  </si>
  <si>
    <t>assert len(fake_redis.lists[key]) == 20 and fake_redis.ttl[key] == 86400
assert [h["content"] for h in hist] == ["m21", "m22", "m23", "m24"]</t>
  </si>
  <si>
    <t>assert seen["user_id"] is None, f"prompt nhận user_id={seen['user_id']!r} từ body client"
assert out["intent"] == "complaint", f"intent={out['intent']}"</t>
  </si>
  <si>
    <t>pm.test('HTTP status ∈ ' + __exp.join('/'), () =&gt; pm.expect(__exp).to.include(pm.response.code));
pm.test('intent = policy_faq', () =&gt; pm.expect(j.intent).to.eql('policy_faq'));
pm.test('Có câu trả lời', () =&gt; pm.expect(j.message.length).to.be.above(20));</t>
  </si>
  <si>
    <t>pm.test('HTTP status ∈ ' + __exp.join('/'), () =&gt; pm.expect(__exp).to.include(pm.response.code));
pm.test('Có products', () =&gt; pm.expect(j.products.length).to.be.above(0));</t>
  </si>
  <si>
    <t>pm.test('HTTP status ∈ ' + __exp.join('/'), () =&gt; pm.expect(__exp).to.include(pm.response.code));
pm.test('intent = off_topic', () =&gt; pm.expect(j.intent).to.eql('off_topic'));</t>
  </si>
  <si>
    <t>pm.test('HTTP status ∈ ' + __exp.join('/'), () =&gt; pm.expect(__exp).to.include(pm.response.code));
pm.test('Nhắc đăng nhập', () =&gt; pm.expect(j.message.toLowerCase()).to.include('đăng nhập'));</t>
  </si>
  <si>
    <t>pm.test('HTTP status ∈ ' + __exp.join('/'), () =&gt; pm.expect(__exp).to.include(pm.response.code));
pm.test('intent = order_tracking', () =&gt; pm.expect(j.intent).to.eql('order_tracking'));</t>
  </si>
  <si>
    <t>pm.test('HTTP status ∈ ' + __exp.join('/'), () =&gt; pm.expect(__exp).to.include(pm.response.code));
pm.test('intent = escalate', () =&gt; pm.expect(j.intent).to.eql('escalate'));</t>
  </si>
  <si>
    <t>pm.test('HTTP status ∈ ' + __exp.join('/'), () =&gt; pm.expect(__exp).to.include(pm.response.code));
pm.test('status = AI_CHAT', () =&gt; pm.expect(j.data.status).to.eql('AI_CHAT'));</t>
  </si>
  <si>
    <t>pm.test('HTTP status ∈ ' + __exp.join('/'), () =&gt; pm.expect(__exp).to.include(pm.response.code));
pm.test('status = ACTIVE', () =&gt; pm.expect(j.data.status).to.eql('ACTIVE'));</t>
  </si>
  <si>
    <t>pm.test('HTTP status ∈ ' + __exp.join('/'), () =&gt; pm.expect(__exp).to.include(pm.response.code));
pm.test('status = CLOSED', () =&gt; pm.expect(j.data.status).to.eql('CLOSED'));</t>
  </si>
  <si>
    <t>ui/PH10.spec.ts</t>
  </si>
  <si>
    <t>KIỂM THỬ HIỆU NĂNG - PHÂN HỆ CHATBOT AI &amp; CHAT VỚI NHÂN VIÊN</t>
  </si>
  <si>
    <t>http://localhost:8095 (chat-service), http://localhost:8002 (chatbot-service)</t>
  </si>
  <si>
    <t>Load Test: POST /api/v1/public/chat/rooms</t>
  </si>
  <si>
    <t>Load Test (LLM): POST /api/v1/chatbot/message</t>
  </si>
  <si>
    <t>2 VUs / thời gian 30s (executor constant-vus)</t>
  </si>
  <si>
    <t>WebSocket /api/v1/public/chat/ws</t>
  </si>
  <si>
    <t>STOMP – không đo bằng k6 HTTP trong đợt này.</t>
  </si>
  <si>
    <t>PUT /api/v1/admin/chat/rooms/{id}/assign</t>
  </si>
  <si>
    <t>Thao tác nhân viên, tần suất thấp.</t>
  </si>
  <si>
    <t>POST /api/v1/public/chat/rooms (lấy/tạo phòng khách)</t>
  </si>
  <si>
    <t>POST /api/v1/chatbot/message (LLM DeepSeek, 2 VUs)</t>
  </si>
  <si>
    <t>Load Test (LLM)</t>
  </si>
  <si>
    <t>p95 &lt; 15000 ms</t>
  </si>
  <si>
    <t>&lt; 5%</t>
  </si>
  <si>
    <t>2 kịch bản, 1 đạt ngưỡng. Không đạt: POST /api/v1/public/chat/rooms (lấy/tạo phòng khách) (p95 19 ms, lỗi 99.96%) Kịch bản POST /api/v1/public/chat/rooms phát hiện lỗi race condition: dưới tải đồng thời, chat-service tạo 20 phòng trùng (đúng bằng số VU) cho cùng một khách (find-then-insert, không có unique index trên customerId + status), sau đó truy vấn findByCustomerIdAndStatusNot trả về nhiều kết quả và mọi request của khách đó lỗi; lỗi 500 bị che thành 401. Chatbot LLM (2 VUs) đạt ngưỡng 15 s, p95 ≈ 5 s.</t>
  </si>
  <si>
    <t>16 ca, 1 ca không đạt — chủ yếu sai mã lỗi HTTP / phân quyền / bảo mật (xem sheet API).</t>
  </si>
  <si>
    <t>Line coverage tầng service 95.4%, branch 80.7%. 5 ca BugCheck ghi nhận lỗi.</t>
  </si>
  <si>
    <t>2 kịch bản, 1 đạt ngưỡng. Không đạt: POST /api/v1/public/chat/rooms (lấy/tạo phòng khách) (p95 19 ms, lỗi 99.96%)</t>
  </si>
  <si>
    <t>1. API_PH10_012: Khách khác không được chuyển phòng người khác sang nhân viên — mong đợi HTTP 403 (không phải chủ phòng); thực tế HTTP 200.
2. TC_PH10_CLOSE_04: closeRoom không kiểm tra phòng đã CLOSED: đóng lại phòng đã đóng vẫn ghi DB và phát lại thông báo 'đã kết thúc phiên hỗ trợ' tới /topic/room/{id} (assignStaff thì có chặn 400).
3. TC_PH10_OWN_01: saveMessage (gọi từ WebSocket /app/chat.sendMessage) không kiểm tra người gửi là chủ phòng hay nhân viên: khách B biết roomId có thể chèn tin vào phòng hỗ trợ của khách A (và tin được broadcast tới A).
4. TC_PH10_GUEST_04: Danh tính khách vãng lai lấy nguyên X-Guest-Id do client gửi, không ràng buộc dạng 'guest_*' như FE sinh: không đăng nhập nhưng gửi X-Guest-Id = UUID của thành viên là xem được phòng/lịch sử/đóng phòng của thành viên đó (WebSocket nhận Guest-Id tương tự).
5. TC_PH10_NLU_05: Heuristic dự phòng (khi LLM lỗi/thiếu key) kiểm tra PRODUCT_TERMS ('mua', 'tai nghe'...) trước từ khoá khiếu nại: 'Tôi mua tai nghe về bị hỏng, thất vọng quá' thành product_search -&gt; không escalate sang nhân viên.
6. TC_PH10_BOT_09: auth_user_id rơi về request.userId (body do client gửi) khi không có X-User-Id: khách chưa đăng nhập gửi user_id=999 thì system prompt ghi 'Tên: User #999 - Đã đăng nhập: Có' (trái chú thích bước 6 trong chính chatbot.py).
7. UI_PH10_FR01_002: Hỏi chính sách đổi trả khi chưa đăng nhập — intent policy_faq đúng nhưng câu trả lời chỉ có "Theo thông tin Aura tra được: Áp dụng cho khách hàng mua sản phẩm mới chính hãng tại Aura Tech phát hiện lỗi kỹ thuật từ phía nhà sản xuất (NSX):" rồi đến danh sách nguồn; không có điều kiện, thời hạn đổi trả. Đoạn trích RAG bị cắt ngay sau tiêu đề mục. Bằng chứng: intent=policy_faq; số SP=0; trả lời (293 ký tự): "Theo thông tin Aura tra được: Áp dụng cho khách hàng mua sản phẩm mới chính hãng tại Aura Tech phát hiện lỗi kỹ thuật từ phía nhà sản xuất (NSX):
Theo: Chính sách đổi trả, hoàn tiền và thu mua máy cũ, Câu Hỏi Thường Gặp"
8. UI_PH10_FR01_003: Gợi ý quà tặng bằng câu hỏi gợi ý sẵn — Cả 2 lần gửi đều nhận intent off_topic và câu từ chối "Xin lỗi bạn, Aura chỉ có thể hỗ trợ các vấn đề liên quan đến mua sắm…", không có sản phẩm. Đây lại là nút gợi ý do chính widget đưa ra. Bằng chứng: Lần 1: intent=off_topic, 0 SP (); trả lời: "Xin lỗi bạn, Aura chỉ có thể hỗ trợ các vấn đề liên quan đến mua sắm và dịch vụ của AuraTech thôi nhé. Aura có thể giúp bạn tìm sản phẩm, tra đơn hàng hoặc giải đáp chính sách bảo hành không? 😊" | Lần 2: intent=off_topic, 0 SP
9. UI_PH10_FR01_004: Gợi ý sản phẩm theo khoảng giá và mở thẻ sản phẩm — Thẻ bấm được và chuyển trang đúng, nhưng 5/5 sản phẩm là laptop/PC giá 10,7–25 triệu (ASUS VivoBook Pro 15, PC Rosa Office…): không có tai nghe, không sản phẩm nào ≤ 500.000đ. HUONG_DAN mục 13 đã ghi "hỏi theo khoảng giá có thể ra sản phẩm ngoài khoảng", nhưng ở đây sai cả loại sản phẩm. Bằng chứng: intent=product_search; 5 SP: #249 Laptop ASUS VivoBook Pro 15 OLED K3500PC-L1045T - Cũ Đẹp 12.690.000đ | #207 Laptop ASUS VivoBook Pro 15 M6500XV-LP032W - Cũ Trầy Xước 24.990.000đ | #404 PC Rosa Office 5500GT 10.690.000đ | #420 PC CPS Core Work P144F650 i5-14400F / RX 6500 19.390.000đ | #451 PC ASUS V500MV-13420H136W 15.690.000đ; vượt 500.000đ: 5
10. UI_PH10_FR01_006: Hỏi đơn hàng khi đã đăng nhập — intent order_tracking nhưng chỉ trả "Bạn cho Aura biết mã đơn hàng (ví dụ #123) để tra cứu giúp bạn nhé.", không có thẻ đơn; không tự lấy đơn gần nhất của tài khoản dù đã có token. Bằng chứng: intent=order_tracking; card=null; mã đơn được nhắc: 123; trả lời: "Bạn cho Aura biết mã đơn hàng (ví dụ #123) để tra cứu giúp bạn nhé."
11. UI_PH10_FR01_009: Lịch sử hội thoại còn sau khi tải lại — Widget chỉ còn lời chào, 0 bong bóng của người dùng. Lịch sử được nạp từ phòng chat của chat-service, nhưng tin nhắn ở chế độ AI chỉ gửi qua POST /chatbot/message và không được lưu vào phòng, nên mất khi tải lại. Bằng chứng: Sau khi mở lại (phiên trình duyệt mới, cùng tài khoản): có câu hỏi đơn hàng=false, câu hỏi điểm=false; số bong bóng người dùng=0, trợ lý=1
12. UI_PH10_FR02_006: Không có nhân viên trực tuyến: phòng ở trạng thái chờ — WAITING, nhãn "Chờ", "Tiếp Nhận Chat" → ACTIVE đều đúng. Nhưng sau 20 giây SMTP sink không có email nào: chat-service gửi SupportChatOfflineEvent vào topic notification-events, nhưng không service nào consume topic này (notification-service chỉ nghe order-events và payment-events). Lời hứa "đã được chuyển tiếp đến email hỗ trợ" vì vậy là sai. Bằng chứng: Thông báo: "Không có nhân viên online trực tuyến. Tin nhắn của bạn đã được chuyển tiếp đến email hỗ trợ. Chúng tôi sẽ phản hồi sớm nhất!"; phòng 6ad3a4784fce925c94f97fba WAITING=true; NV thấy badge: "person QA Khách Hai Chờ 23:38 UI PH10 khach can ho tro khi k"; sau "Tiếp Nhận Chat" ACTIVE=true; email hỗ trợ trong SMTP sink sau 20 s: 0</t>
  </si>
  <si>
    <t>Ưu điểm:
- Chatbot định tuyến bằng code theo intent, chỉ có tool đọc và không có tool ghi/huỷ; tool forward JWT để service đích tự kiểm tra (tools.py:65-75).
- Có đường lùi khi LLM lỗi (heuristic NLU, trả lời mock từ context), ngưỡng tin cậy policy RAG được hiệu chỉnh thực nghiệm, warm-up model lúc startup.
- product_rag xử lý tiếng Việt thực tế (bỏ dấu, stopword, tách câu so sánh), gọi spec song song để giữ ngân sách thời gian.
- chat-service xác thực JWT ở STOMP CONNECT, admin API có @PreAuthorize ADMIN/STAFF, upload ảnh kiểm content-type và có lifecycle tự xoá.
- Comment Python giải thích 'tại sao' rất kỹ; có unit test cho service của chat-service.</t>
  </si>
  <si>
    <t>Hạn chế:
- Không file nào có header bản quyền/tác giả; chỉ heuristics.py:1-6 có docstring module.
- Còn nhiều số ma thuật: memory.py:54-56 (19, 86400), llm_client.py:42 timeout=30, tools.py:87 timeout=5, product_rag.py:186/211 timeout=3, tools.py:192 `points * 1000` (tỉ giá điểm hardcode), SENTIMENT_SCORES cố định 0.85 so với ngưỡng 0.80 (classifier.py:21, chatbot.py:141).
- Python có docstring kỹ (product_rag.py, policy_rag.py, classifier.py). Java gần như không có Javadoc: interface ChatRoomService.java, ChatMessageService.java, toàn bộ method trong ChatRoomServiceImpl/ChatMessageServiceImpl; controller chỉ có comment 1 dòng.
- product_rag.py:172-175 và policy_rag.py:40 vẫn ghi gateway timeout 30s, trong khi ai-chatbot-cb đã là 60s (api-gateway application.yml:236). policy_rag.py:16 ghi 'data/policies/*.md' nhưng index build từ FE/src/assets/policies_source (config.py:33). /health in INTENT/SENTIMENT_MODEL_NAME PhoBERT (main.py:41-42, config.py:18-19) dù không nạp model nào.
- Ngoài các comment lỗi thời ở trên: ChatMessageServiceImpl.java:75 ghi 'Push offline email notification' nhưng không có consumer nào nghe notification-events; chatbot.py:143 và :215 ghi 'In production…' cho các stub không làm gì.
- tools.py:191-192: nếu `data` là null thì `points * 1000` ném TypeError; lỗi này không bị bắt (chỉ bắt RequestException) nên endpoint trả 500. Kết quả kafkaTemplate.send bị bỏ qua (ChatMessageServiceImpl.java:101). Khi có 2 phòng chưa đóng, findByCustomerIdAndStatusNot ném IncorrectResultSizeDataAccessException (ChatRoomServiceImpl.java:32).</t>
  </si>
  <si>
    <t>Phân hệ Chatbot AI &amp; chat với nhân viên đáp ứng các luồng nghiệp vụ chính khi kiểm thử trên môi trường local; các lỗi phát hiện tập trung ở xử lý ngoại lệ (mã lỗi HTTP), phân quyền chi tiết và một số điểm bảo mật/độ bền đã liệt kê ở mục 2. Cần sửa các lỗi mức Cao trước khi triển khai.</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</si>
</sst>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84">
    <font>
      <sz val="11"/>
      <color theme="1"/>
      <name val="Calibri"/>
      <charset val="134"/>
      <scheme val="minor"/>
    </font>
    <font>
      <b/>
      <sz val="15"/>
      <color rgb="FF000080"/>
      <name val="Times New Roman"/>
      <charset val="134"/>
    </font>
    <font>
      <sz val="11"/>
      <color rgb="FF000000"/>
      <name val="Times New Roman"/>
      <charset val="134"/>
    </font>
    <font>
      <b/>
      <sz val="11"/>
      <color rgb="FF000080"/>
      <name val="Times New Roman"/>
      <charset val="134"/>
    </font>
    <font>
      <b/>
      <sz val="11"/>
      <name val="Times New Roman"/>
      <charset val="134"/>
    </font>
    <font>
      <sz val="11"/>
      <name val="Times New Roman"/>
      <charset val="134"/>
    </font>
    <font>
      <i/>
      <sz val="11"/>
      <color rgb="FF000080"/>
      <name val="Times New Roman"/>
      <charset val="134"/>
    </font>
    <font>
      <b/>
      <sz val="16"/>
      <color rgb="FF000000"/>
      <name val="Times New Roman"/>
      <charset val="134"/>
    </font>
    <font>
      <b/>
      <sz val="11"/>
      <color rgb="FF000000"/>
      <name val="Times New Roman"/>
      <charset val="134"/>
    </font>
    <font>
      <sz val="11"/>
      <color rgb="FF000000"/>
      <name val="Times New Roman"/>
      <charset val="134"/>
    </font>
    <font>
      <b/>
      <sz val="12"/>
      <color rgb="FFFFFFFF"/>
      <name val="Times New Roman"/>
      <charset val="134"/>
    </font>
    <font>
      <b/>
      <sz val="11"/>
      <color rgb="FFFFFFFF"/>
      <name val="Arial"/>
      <charset val="134"/>
    </font>
    <font>
      <b/>
      <sz val="12"/>
      <name val="Times New Roman"/>
      <charset val="134"/>
    </font>
    <font>
      <b/>
      <sz val="10"/>
      <color rgb="FF333333"/>
      <name val="Courier New"/>
      <charset val="134"/>
    </font>
    <font>
      <sz val="9"/>
      <color rgb="FF333333"/>
      <name val="Courier New"/>
      <charset val="134"/>
    </font>
    <font>
      <b/>
      <sz val="16"/>
      <color rgb="FF000000"/>
      <name val="Times New Roman"/>
      <charset val="134"/>
    </font>
    <font>
      <b/>
      <sz val="11"/>
      <name val="Times New Roman"/>
      <charset val="134"/>
    </font>
    <font>
      <sz val="11"/>
      <name val="Times New Roman"/>
      <charset val="134"/>
    </font>
    <font>
      <b/>
      <sz val="12"/>
      <name val="Times New Roman"/>
      <charset val="134"/>
    </font>
    <font>
      <b/>
      <sz val="11"/>
      <color rgb="FF000000"/>
      <name val="Times New Roman"/>
      <charset val="134"/>
    </font>
    <font>
      <b/>
      <sz val="12"/>
      <color rgb="FFFFFFFF"/>
      <name val="Times New Roman"/>
      <charset val="134"/>
    </font>
    <font>
      <b/>
      <sz val="16"/>
      <color rgb="FFFFFFFF"/>
      <name val="Arial"/>
      <charset val="134"/>
    </font>
    <font>
      <b/>
      <sz val="11"/>
      <color rgb="FF000000"/>
      <name val="Arial"/>
      <charset val="134"/>
    </font>
    <font>
      <b/>
      <sz val="10"/>
      <color rgb="FF000000"/>
      <name val="Arial"/>
      <charset val="134"/>
    </font>
    <font>
      <sz val="10"/>
      <color rgb="FF000000"/>
      <name val="Arial"/>
      <charset val="134"/>
    </font>
    <font>
      <b/>
      <sz val="13"/>
      <color rgb="FFFFFFFF"/>
      <name val="Arial"/>
      <charset val="134"/>
    </font>
    <font>
      <b/>
      <sz val="11"/>
      <color rgb="FFFFFFFF"/>
      <name val="Arial"/>
      <charset val="134"/>
    </font>
    <font>
      <b/>
      <sz val="10"/>
      <color rgb="FFFFFFFF"/>
      <name val="Arial"/>
      <charset val="134"/>
    </font>
    <font>
      <sz val="11"/>
      <color rgb="FF000000"/>
      <name val="Arial"/>
      <charset val="134"/>
    </font>
    <font>
      <b/>
      <sz val="13"/>
      <name val="Arial"/>
      <charset val="134"/>
    </font>
    <font>
      <b/>
      <sz val="11"/>
      <name val="Arial"/>
      <charset val="134"/>
    </font>
    <font>
      <b/>
      <sz val="12"/>
      <color rgb="FF000000"/>
      <name val="Times New Roman"/>
      <charset val="134"/>
    </font>
    <font>
      <sz val="12"/>
      <color rgb="FF000000"/>
      <name val="Times New Roman"/>
      <charset val="134"/>
    </font>
    <font>
      <b/>
      <sz val="12"/>
      <color rgb="FF000000"/>
      <name val="Times New Roman"/>
      <charset val="134"/>
    </font>
    <font>
      <sz val="12"/>
      <color rgb="FF000000"/>
      <name val="Times New Roman"/>
      <charset val="134"/>
    </font>
    <font>
      <sz val="18"/>
      <color rgb="FF000080"/>
      <name val="Arial"/>
      <charset val="134"/>
    </font>
    <font>
      <b/>
      <sz val="18"/>
      <color rgb="FF000080"/>
      <name val="Arial"/>
      <charset val="134"/>
    </font>
    <font>
      <sz val="10"/>
      <color rgb="FF800000"/>
      <name val="Arial"/>
      <charset val="134"/>
    </font>
    <font>
      <b/>
      <sz val="18"/>
      <color rgb="FF000080"/>
      <name val="Arial"/>
      <charset val="1"/>
    </font>
    <font>
      <sz val="10"/>
      <color theme="1"/>
      <name val="Arial"/>
      <charset val="1"/>
    </font>
    <font>
      <sz val="10"/>
      <color rgb="FF800000"/>
      <name val="Arial"/>
      <charset val="1"/>
    </font>
    <font>
      <b/>
      <sz val="10"/>
      <color theme="1"/>
      <name val="Arial"/>
      <charset val="1"/>
    </font>
    <font>
      <b/>
      <sz val="18"/>
      <color rgb="FF000080"/>
      <name val="Arial"/>
      <charset val="134"/>
    </font>
    <font>
      <sz val="10"/>
      <color rgb="FF000000"/>
      <name val="Arial"/>
      <charset val="134"/>
    </font>
    <font>
      <sz val="10"/>
      <color rgb="FF003300"/>
      <name val="Arial"/>
      <charset val="134"/>
    </font>
    <font>
      <b/>
      <sz val="10"/>
      <color rgb="FF000000"/>
      <name val="Arial"/>
      <charset val="134"/>
    </font>
    <font>
      <b/>
      <sz val="10"/>
      <color rgb="FF800000"/>
      <name val="Arial"/>
      <charset val="1"/>
    </font>
    <font>
      <b/>
      <sz val="15"/>
      <color theme="1"/>
      <name val="Times New Roman"/>
      <charset val="134"/>
    </font>
    <font>
      <sz val="15"/>
      <color theme="1"/>
      <name val="Times New Roman"/>
      <charset val="134"/>
    </font>
    <font>
      <b/>
      <sz val="10"/>
      <color rgb="FF000000"/>
      <name val="Times New Roman"/>
      <charset val="134"/>
    </font>
    <font>
      <sz val="11"/>
      <color rgb="FF000000"/>
      <name val="Calibri"/>
      <charset val="134"/>
    </font>
    <font>
      <b/>
      <sz val="11"/>
      <color rgb="FF000000"/>
      <name val="Calibri"/>
      <charset val="134"/>
    </font>
    <font>
      <b/>
      <sz val="15"/>
      <color rgb="FF000000"/>
      <name val="Times New Roman"/>
      <charset val="134"/>
    </font>
    <font>
      <b/>
      <sz val="14"/>
      <color rgb="FF000000"/>
      <name val="Times New Roman"/>
      <charset val="134"/>
    </font>
    <font>
      <u/>
      <sz val="11"/>
      <color theme="10"/>
      <name val="Calibri"/>
      <charset val="134"/>
      <scheme val="minor"/>
    </font>
    <font>
      <sz val="13"/>
      <color theme="1"/>
      <name val="Times New Roman"/>
      <charset val="134"/>
    </font>
    <font>
      <b/>
      <sz val="13"/>
      <color theme="1"/>
      <name val="Times New Roman"/>
      <charset val="134"/>
    </font>
    <font>
      <sz val="15"/>
      <color rgb="FF000000"/>
      <name val="Times New Roman"/>
      <charset val="134"/>
    </font>
    <font>
      <sz val="15"/>
      <color rgb="FF000000"/>
      <name val="Arial"/>
      <charset val="134"/>
    </font>
    <font>
      <sz val="14"/>
      <color rgb="FF000000"/>
      <name val="Times New Roman"/>
      <charset val="134"/>
    </font>
    <font>
      <sz val="14"/>
      <color rgb="FF242424"/>
      <name val="Times New Roman"/>
      <charset val="134"/>
    </font>
    <font>
      <sz val="14"/>
      <color theme="1"/>
      <name val="Times New Roman"/>
      <charset val="134"/>
    </font>
    <font>
      <sz val="13"/>
      <color rgb="FF000000"/>
      <name val="Times New Roman"/>
      <charset val="1"/>
    </font>
    <font>
      <b/>
      <i/>
      <sz val="14"/>
      <color rgb="FF000000"/>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63">
    <fill>
      <patternFill patternType="none"/>
    </fill>
    <fill>
      <patternFill patternType="gray125"/>
    </fill>
    <fill>
      <patternFill patternType="solid">
        <fgColor rgb="FFA4C2F4"/>
        <bgColor rgb="FFA4C2F4"/>
      </patternFill>
    </fill>
    <fill>
      <patternFill patternType="solid">
        <fgColor rgb="FF38761D"/>
        <bgColor rgb="FF38761D"/>
      </patternFill>
    </fill>
    <fill>
      <patternFill patternType="solid">
        <fgColor rgb="FF2E75B6"/>
        <bgColor rgb="FF2E75B6"/>
      </patternFill>
    </fill>
    <fill>
      <patternFill patternType="solid">
        <fgColor rgb="FF375623"/>
        <bgColor rgb="FF375623"/>
      </patternFill>
    </fill>
    <fill>
      <patternFill patternType="solid">
        <fgColor rgb="FF4472C4"/>
        <bgColor rgb="FF4472C4"/>
      </patternFill>
    </fill>
    <fill>
      <patternFill patternType="solid">
        <fgColor rgb="FFFFFFFF"/>
        <bgColor rgb="FFFFFFFF"/>
      </patternFill>
    </fill>
    <fill>
      <patternFill patternType="solid">
        <fgColor rgb="FFF3F3F3"/>
        <bgColor rgb="FFF3F3F3"/>
      </patternFill>
    </fill>
    <fill>
      <patternFill patternType="solid">
        <fgColor rgb="FF1F3864"/>
        <bgColor rgb="FF1F3864"/>
      </patternFill>
    </fill>
    <fill>
      <patternFill patternType="solid">
        <fgColor rgb="FFD6E4F0"/>
        <bgColor rgb="FFD6E4F0"/>
      </patternFill>
    </fill>
    <fill>
      <patternFill patternType="solid">
        <fgColor rgb="FFE2EFDA"/>
        <bgColor rgb="FFE2EFDA"/>
      </patternFill>
    </fill>
    <fill>
      <patternFill patternType="solid">
        <fgColor rgb="FFEBF3FB"/>
        <bgColor rgb="FFEBF3FB"/>
      </patternFill>
    </fill>
    <fill>
      <patternFill patternType="solid">
        <fgColor rgb="FF843C0C"/>
        <bgColor rgb="FF843C0C"/>
      </patternFill>
    </fill>
    <fill>
      <patternFill patternType="solid">
        <fgColor rgb="FF2F5496"/>
        <bgColor rgb="FF2F5496"/>
      </patternFill>
    </fill>
    <fill>
      <patternFill patternType="solid">
        <fgColor theme="4" tint="0.399975585192419"/>
        <bgColor indexed="64"/>
      </patternFill>
    </fill>
    <fill>
      <patternFill patternType="solid">
        <fgColor theme="8" tint="0.599993896298105"/>
        <bgColor indexed="64"/>
      </patternFill>
    </fill>
    <fill>
      <patternFill patternType="solid">
        <fgColor rgb="FF274E13"/>
        <bgColor rgb="FF274E13"/>
      </patternFill>
    </fill>
    <fill>
      <patternFill patternType="solid">
        <fgColor rgb="FFD9EAD3"/>
        <bgColor rgb="FFD9EAD3"/>
      </patternFill>
    </fill>
    <fill>
      <patternFill patternType="solid">
        <fgColor rgb="FFB45F06"/>
        <bgColor rgb="FFB45F06"/>
      </patternFill>
    </fill>
    <fill>
      <patternFill patternType="solid">
        <fgColor rgb="FFFCE5CD"/>
        <bgColor rgb="FFFCE5CD"/>
      </patternFill>
    </fill>
    <fill>
      <patternFill patternType="solid">
        <fgColor rgb="FF783F04"/>
        <bgColor rgb="FF783F04"/>
      </patternFill>
    </fill>
    <fill>
      <patternFill patternType="solid">
        <fgColor rgb="FF073763"/>
        <bgColor rgb="FF073763"/>
      </patternFill>
    </fill>
    <fill>
      <patternFill patternType="solid">
        <fgColor rgb="FFFFFDE7"/>
        <bgColor rgb="FFFFFDE7"/>
      </patternFill>
    </fill>
    <fill>
      <patternFill patternType="solid">
        <fgColor rgb="FF000080"/>
        <bgColor rgb="FF000000"/>
      </patternFill>
    </fill>
    <fill>
      <patternFill patternType="solid">
        <fgColor rgb="FFFFFFFF"/>
        <bgColor rgb="FF000000"/>
      </patternFill>
    </fill>
    <fill>
      <patternFill patternType="solid">
        <fgColor rgb="FFFFFFFF"/>
        <bgColor indexed="64"/>
      </patternFill>
    </fill>
    <fill>
      <patternFill patternType="solid">
        <fgColor rgb="FFCCFFCC"/>
        <bgColor indexed="64"/>
      </patternFill>
    </fill>
    <fill>
      <patternFill patternType="solid">
        <fgColor rgb="FFCCFFFF"/>
        <bgColor indexed="64"/>
      </patternFill>
    </fill>
    <fill>
      <patternFill patternType="solid">
        <fgColor theme="0"/>
        <bgColor indexed="64"/>
      </patternFill>
    </fill>
    <fill>
      <patternFill patternType="solid">
        <fgColor rgb="FF00CCFF"/>
        <bgColor rgb="FF00CCFF"/>
      </patternFill>
    </fill>
    <fill>
      <patternFill patternType="solid">
        <fgColor rgb="FFC6EFCE"/>
        <bgColor rgb="FFC6EFC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0">
    <border>
      <left/>
      <right/>
      <top/>
      <bottom/>
      <diagonal/>
    </border>
    <border>
      <left style="thin">
        <color rgb="FF00008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80"/>
      </left>
      <right/>
      <top/>
      <bottom style="thin">
        <color rgb="FF00008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80"/>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bottom style="thin">
        <color rgb="FFD3D3D3"/>
      </bottom>
      <diagonal/>
    </border>
    <border>
      <left/>
      <right style="thin">
        <color rgb="FFD3D3D3"/>
      </right>
      <top/>
      <bottom style="thin">
        <color rgb="FFD3D3D3"/>
      </bottom>
      <diagonal/>
    </border>
    <border>
      <left/>
      <right style="thin">
        <color rgb="FFD3D3D3"/>
      </right>
      <top style="thin">
        <color rgb="FFD3D3D3"/>
      </top>
      <bottom style="thin">
        <color rgb="FFD3D3D3"/>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style="thin">
        <color rgb="FFAAAAAA"/>
      </left>
      <right style="thin">
        <color rgb="FFAAAAAA"/>
      </right>
      <top/>
      <bottom style="thin">
        <color rgb="FFAAAAAA"/>
      </bottom>
      <diagonal/>
    </border>
    <border>
      <left/>
      <right/>
      <top style="thin">
        <color rgb="FFD3D3D3"/>
      </top>
      <bottom style="thin">
        <color rgb="FFD3D3D3"/>
      </bottom>
      <diagonal/>
    </border>
    <border>
      <left style="thin">
        <color rgb="FFD3D3D3"/>
      </left>
      <right/>
      <top style="thin">
        <color rgb="FFD3D3D3"/>
      </top>
      <bottom style="thin">
        <color rgb="FFD3D3D3"/>
      </bottom>
      <diagonal/>
    </border>
    <border>
      <left/>
      <right/>
      <top/>
      <bottom style="thin">
        <color rgb="FFD3D3D3"/>
      </bottom>
      <diagonal/>
    </border>
    <border>
      <left style="thin">
        <color rgb="FF000000"/>
      </left>
      <right/>
      <top/>
      <bottom/>
      <diagonal/>
    </border>
    <border>
      <left style="thin">
        <color rgb="FFBFBFBF"/>
      </left>
      <right style="thin">
        <color rgb="FFBFBFBF"/>
      </right>
      <top style="thin">
        <color rgb="FFBFBFBF"/>
      </top>
      <bottom/>
      <diagonal/>
    </border>
    <border>
      <left/>
      <right style="thin">
        <color rgb="FFBFBFBF"/>
      </right>
      <top style="thin">
        <color rgb="FFBFBFBF"/>
      </top>
      <bottom/>
      <diagonal/>
    </border>
    <border>
      <left style="thin">
        <color rgb="FF000000"/>
      </left>
      <right style="thin">
        <color rgb="FF000000"/>
      </right>
      <top/>
      <bottom style="thin">
        <color rgb="FF000000"/>
      </bottom>
      <diagonal/>
    </border>
    <border>
      <left/>
      <right/>
      <top style="thin">
        <color rgb="FFBFBFBF"/>
      </top>
      <bottom/>
      <diagonal/>
    </border>
    <border>
      <left style="thin">
        <color rgb="FFBFBFBF"/>
      </left>
      <right style="thin">
        <color rgb="FFBFBFBF"/>
      </right>
      <top/>
      <bottom style="thin">
        <color rgb="FFBFBFBF"/>
      </bottom>
      <diagonal/>
    </border>
    <border>
      <left/>
      <right/>
      <top/>
      <bottom style="thin">
        <color rgb="FFBFBFBF"/>
      </bottom>
      <diagonal/>
    </border>
    <border>
      <left/>
      <right style="thin">
        <color rgb="FFBFBFBF"/>
      </right>
      <top/>
      <bottom style="thin">
        <color rgb="FFBFBFBF"/>
      </bottom>
      <diagonal/>
    </border>
    <border>
      <left style="thin">
        <color rgb="FF000000"/>
      </left>
      <right style="thin">
        <color rgb="FFCCCCCC"/>
      </right>
      <top style="thin">
        <color rgb="FF000000"/>
      </top>
      <bottom style="thin">
        <color rgb="FFCCCCCC"/>
      </bottom>
      <diagonal/>
    </border>
    <border>
      <left/>
      <right/>
      <top style="thin">
        <color rgb="FF000000"/>
      </top>
      <bottom style="thin">
        <color rgb="FFCCCCCC"/>
      </bottom>
      <diagonal/>
    </border>
    <border>
      <left/>
      <right style="thin">
        <color rgb="FFCCCCCC"/>
      </right>
      <top style="thin">
        <color rgb="FF000000"/>
      </top>
      <bottom style="thin">
        <color rgb="FFCCCCCC"/>
      </bottom>
      <diagonal/>
    </border>
    <border>
      <left style="thin">
        <color rgb="FF000000"/>
      </left>
      <right style="thin">
        <color rgb="FFCCCCCC"/>
      </right>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000000"/>
      </left>
      <right style="dotted">
        <color rgb="FF000080"/>
      </right>
      <top style="thin">
        <color rgb="FFCCCCCC"/>
      </top>
      <bottom style="dotted">
        <color rgb="FF000080"/>
      </bottom>
      <diagonal/>
    </border>
    <border>
      <left style="thin">
        <color rgb="FF000000"/>
      </left>
      <right style="thick">
        <color rgb="FF000080"/>
      </right>
      <top style="thin">
        <color rgb="FFCCCCCC"/>
      </top>
      <bottom style="dotted">
        <color rgb="FF000080"/>
      </bottom>
      <diagonal/>
    </border>
    <border>
      <left/>
      <right/>
      <top style="thin">
        <color rgb="FFCCCCCC"/>
      </top>
      <bottom style="dotted">
        <color rgb="FF000080"/>
      </bottom>
      <diagonal/>
    </border>
    <border>
      <left/>
      <right style="dotted">
        <color rgb="FF000080"/>
      </right>
      <top style="thin">
        <color rgb="FFCCCCCC"/>
      </top>
      <bottom style="dotted">
        <color rgb="FF000080"/>
      </bottom>
      <diagonal/>
    </border>
    <border>
      <left/>
      <right style="thick">
        <color rgb="FF000080"/>
      </right>
      <top style="thin">
        <color rgb="FFCCCCCC"/>
      </top>
      <bottom style="dotted">
        <color rgb="FF000080"/>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dotted">
        <color rgb="FF000080"/>
      </left>
      <right style="dotted">
        <color rgb="FF000080"/>
      </right>
      <top/>
      <bottom style="thin">
        <color rgb="FF000080"/>
      </bottom>
      <diagonal/>
    </border>
    <border>
      <left style="thin">
        <color rgb="FF000080"/>
      </left>
      <right style="thin">
        <color rgb="FF000080"/>
      </right>
      <top/>
      <bottom style="dotted">
        <color rgb="FF000080"/>
      </bottom>
      <diagonal/>
    </border>
    <border>
      <left/>
      <right/>
      <top/>
      <bottom style="thin">
        <color rgb="FF000080"/>
      </bottom>
      <diagonal/>
    </border>
    <border>
      <left/>
      <right style="dotted">
        <color rgb="FF000080"/>
      </right>
      <top/>
      <bottom style="thin">
        <color rgb="FF000080"/>
      </bottom>
      <diagonal/>
    </border>
    <border>
      <left/>
      <right/>
      <top/>
      <bottom style="dotted">
        <color rgb="FF000080"/>
      </bottom>
      <diagonal/>
    </border>
    <border>
      <left/>
      <right style="thin">
        <color rgb="FF000080"/>
      </right>
      <top/>
      <bottom style="dotted">
        <color rgb="FF000080"/>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dotted">
        <color rgb="FF000080"/>
      </left>
      <right style="dotted">
        <color rgb="FF000080"/>
      </right>
      <top/>
      <bottom style="dotted">
        <color rgb="FF000080"/>
      </bottom>
      <diagonal/>
    </border>
    <border>
      <left/>
      <right style="dotted">
        <color rgb="FF000080"/>
      </right>
      <top/>
      <bottom style="dotted">
        <color rgb="FF000080"/>
      </bottom>
      <diagonal/>
    </border>
    <border>
      <left style="hair">
        <color rgb="FF000080"/>
      </left>
      <right style="hair">
        <color rgb="FF000080"/>
      </right>
      <top style="hair">
        <color rgb="FF000080"/>
      </top>
      <bottom style="hair">
        <color rgb="FF000080"/>
      </bottom>
      <diagonal/>
    </border>
    <border>
      <left/>
      <right/>
      <top style="hair">
        <color rgb="FF000080"/>
      </top>
      <bottom style="hair">
        <color rgb="FF000080"/>
      </bottom>
      <diagonal/>
    </border>
    <border>
      <left/>
      <right style="hair">
        <color rgb="FF000080"/>
      </right>
      <top style="hair">
        <color rgb="FF000080"/>
      </top>
      <bottom style="hair">
        <color rgb="FF000080"/>
      </bottom>
      <diagonal/>
    </border>
    <border>
      <left style="thin">
        <color rgb="FF000000"/>
      </left>
      <right style="thin">
        <color rgb="FFCCCCCC"/>
      </right>
      <top style="thin">
        <color rgb="FFCCCCCC"/>
      </top>
      <bottom style="thin">
        <color rgb="FFCCCCCC"/>
      </bottom>
      <diagonal/>
    </border>
    <border>
      <left style="thin">
        <color rgb="FF000000"/>
      </left>
      <right style="thin">
        <color rgb="FF000080"/>
      </right>
      <top style="thin">
        <color rgb="FFCCCCCC"/>
      </top>
      <bottom style="dotted">
        <color rgb="FF000080"/>
      </bottom>
      <diagonal/>
    </border>
    <border>
      <left/>
      <right style="thin">
        <color rgb="FF000080"/>
      </right>
      <top style="thin">
        <color rgb="FFCCCCCC"/>
      </top>
      <bottom style="dotted">
        <color rgb="FF000080"/>
      </bottom>
      <diagonal/>
    </border>
    <border>
      <left/>
      <right/>
      <top/>
      <bottom style="thin">
        <color rgb="FFFFFFFF"/>
      </bottom>
      <diagonal/>
    </border>
    <border>
      <left style="thin">
        <color rgb="FFFFFFFF"/>
      </left>
      <right style="thin">
        <color rgb="FFFFFFFF"/>
      </right>
      <top/>
      <bottom style="thin">
        <color rgb="FFFFFFFF"/>
      </bottom>
      <diagonal/>
    </border>
    <border>
      <left style="thin">
        <color rgb="FF1C4587"/>
      </left>
      <right style="thin">
        <color rgb="FF1C4587"/>
      </right>
      <top/>
      <bottom style="dashed">
        <color rgb="FF1C4587"/>
      </bottom>
      <diagonal/>
    </border>
    <border>
      <left/>
      <right/>
      <top/>
      <bottom style="dashed">
        <color rgb="FF1C4587"/>
      </bottom>
      <diagonal/>
    </border>
    <border>
      <left/>
      <right style="thin">
        <color rgb="FF1C4587"/>
      </right>
      <top/>
      <bottom style="dashed">
        <color rgb="FF1C4587"/>
      </bottom>
      <diagonal/>
    </border>
    <border>
      <left style="thin">
        <color rgb="FF000000"/>
      </left>
      <right style="thin">
        <color rgb="FF000000"/>
      </right>
      <top style="thin">
        <color rgb="FF000000"/>
      </top>
      <bottom/>
      <diagonal/>
    </border>
    <border>
      <left style="medium">
        <color rgb="FF000080"/>
      </left>
      <right style="medium">
        <color rgb="FF000080"/>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top/>
      <bottom/>
      <diagonal/>
    </border>
    <border>
      <left style="thin">
        <color rgb="FF000000"/>
      </left>
      <right/>
      <top style="thin">
        <color rgb="FF000000"/>
      </top>
      <bottom/>
      <diagonal/>
    </border>
    <border>
      <left style="medium">
        <color rgb="FF000000"/>
      </left>
      <right/>
      <top style="medium">
        <color rgb="FF000000"/>
      </top>
      <bottom style="thin">
        <color rgb="FFFFFFFF"/>
      </bottom>
      <diagonal/>
    </border>
    <border>
      <left/>
      <right/>
      <top style="medium">
        <color rgb="FF000000"/>
      </top>
      <bottom style="thin">
        <color rgb="FFFFFFFF"/>
      </bottom>
      <diagonal/>
    </border>
    <border>
      <left/>
      <right style="medium">
        <color rgb="FF000000"/>
      </right>
      <top style="medium">
        <color rgb="FF000000"/>
      </top>
      <bottom/>
      <diagonal/>
    </border>
    <border>
      <left style="medium">
        <color rgb="FF000000"/>
      </left>
      <right/>
      <top style="thin">
        <color rgb="FFFFFFFF"/>
      </top>
      <bottom style="thin">
        <color rgb="FFFFFFFF"/>
      </bottom>
      <diagonal/>
    </border>
    <border>
      <left/>
      <right style="medium">
        <color rgb="FF000000"/>
      </right>
      <top/>
      <bottom/>
      <diagonal/>
    </border>
    <border>
      <left style="medium">
        <color rgb="FF000000"/>
      </left>
      <right style="thin">
        <color rgb="FFFFFFFF"/>
      </right>
      <top/>
      <bottom style="thin">
        <color rgb="FFFFFFFF"/>
      </bottom>
      <diagonal/>
    </border>
    <border>
      <left/>
      <right style="thin">
        <color rgb="FFFFFFFF"/>
      </right>
      <top/>
      <bottom style="thin">
        <color rgb="FFFFFFFF"/>
      </bottom>
      <diagonal/>
    </border>
    <border>
      <left/>
      <right style="thin">
        <color rgb="FFFFFFFF"/>
      </right>
      <top style="thin">
        <color rgb="FFFFFFFF"/>
      </top>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style="thin">
        <color rgb="FFFFFFFF"/>
      </top>
      <bottom/>
      <diagonal/>
    </border>
    <border>
      <left style="thin">
        <color rgb="FFFFFFFF"/>
      </left>
      <right style="thin">
        <color rgb="FFFFFFFF"/>
      </right>
      <top style="thin">
        <color rgb="FFFFFFFF"/>
      </top>
      <bottom/>
      <diagonal/>
    </border>
    <border>
      <left style="medium">
        <color rgb="FF000000"/>
      </left>
      <right/>
      <top/>
      <bottom style="thin">
        <color rgb="FFFFFFFF"/>
      </bottom>
      <diagonal/>
    </border>
    <border>
      <left style="thin">
        <color rgb="FF002060"/>
      </left>
      <right style="thin">
        <color rgb="FF002060"/>
      </right>
      <top style="thin">
        <color rgb="FF002060"/>
      </top>
      <bottom style="thin">
        <color rgb="FF002060"/>
      </bottom>
      <diagonal/>
    </border>
    <border>
      <left/>
      <right style="thin">
        <color rgb="FF002060"/>
      </right>
      <top style="thin">
        <color rgb="FF002060"/>
      </top>
      <bottom style="thin">
        <color rgb="FF002060"/>
      </bottom>
      <diagonal/>
    </border>
    <border>
      <left/>
      <right/>
      <top style="thin">
        <color rgb="FF002060"/>
      </top>
      <bottom style="thin">
        <color rgb="FF002060"/>
      </bottom>
      <diagonal/>
    </border>
    <border>
      <left style="thin">
        <color rgb="FF002060"/>
      </left>
      <right style="thin">
        <color rgb="FF002060"/>
      </right>
      <top/>
      <bottom style="thin">
        <color rgb="FF002060"/>
      </bottom>
      <diagonal/>
    </border>
    <border>
      <left/>
      <right style="thin">
        <color rgb="FF002060"/>
      </right>
      <top/>
      <bottom style="thin">
        <color rgb="FF002060"/>
      </bottom>
      <diagonal/>
    </border>
    <border>
      <left style="medium">
        <color rgb="FF000000"/>
      </left>
      <right style="thin">
        <color rgb="FFFFFFFF"/>
      </right>
      <top/>
      <bottom style="medium">
        <color rgb="FF000000"/>
      </bottom>
      <diagonal/>
    </border>
    <border>
      <left/>
      <right style="thin">
        <color rgb="FFFFFFFF"/>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64" fillId="0" borderId="0" applyFont="0" applyFill="0" applyBorder="0" applyAlignment="0" applyProtection="0">
      <alignment vertical="center"/>
    </xf>
    <xf numFmtId="44" fontId="64" fillId="0" borderId="0" applyFont="0" applyFill="0" applyBorder="0" applyAlignment="0" applyProtection="0">
      <alignment vertical="center"/>
    </xf>
    <xf numFmtId="9" fontId="64" fillId="0" borderId="0" applyFont="0" applyFill="0" applyBorder="0" applyAlignment="0" applyProtection="0">
      <alignment vertical="center"/>
    </xf>
    <xf numFmtId="177" fontId="64" fillId="0" borderId="0" applyFont="0" applyFill="0" applyBorder="0" applyAlignment="0" applyProtection="0">
      <alignment vertical="center"/>
    </xf>
    <xf numFmtId="42" fontId="64" fillId="0" borderId="0" applyFont="0" applyFill="0" applyBorder="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4" fillId="32" borderId="92" applyNumberFormat="0" applyFont="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93" applyNumberFormat="0" applyFill="0" applyAlignment="0" applyProtection="0">
      <alignment vertical="center"/>
    </xf>
    <xf numFmtId="0" fontId="71" fillId="0" borderId="93" applyNumberFormat="0" applyFill="0" applyAlignment="0" applyProtection="0">
      <alignment vertical="center"/>
    </xf>
    <xf numFmtId="0" fontId="72" fillId="0" borderId="94" applyNumberFormat="0" applyFill="0" applyAlignment="0" applyProtection="0">
      <alignment vertical="center"/>
    </xf>
    <xf numFmtId="0" fontId="72" fillId="0" borderId="0" applyNumberFormat="0" applyFill="0" applyBorder="0" applyAlignment="0" applyProtection="0">
      <alignment vertical="center"/>
    </xf>
    <xf numFmtId="0" fontId="73" fillId="33" borderId="95" applyNumberFormat="0" applyAlignment="0" applyProtection="0">
      <alignment vertical="center"/>
    </xf>
    <xf numFmtId="0" fontId="74" fillId="34" borderId="96" applyNumberFormat="0" applyAlignment="0" applyProtection="0">
      <alignment vertical="center"/>
    </xf>
    <xf numFmtId="0" fontId="75" fillId="34" borderId="95" applyNumberFormat="0" applyAlignment="0" applyProtection="0">
      <alignment vertical="center"/>
    </xf>
    <xf numFmtId="0" fontId="76" fillId="35" borderId="97" applyNumberFormat="0" applyAlignment="0" applyProtection="0">
      <alignment vertical="center"/>
    </xf>
    <xf numFmtId="0" fontId="77" fillId="0" borderId="98" applyNumberFormat="0" applyFill="0" applyAlignment="0" applyProtection="0">
      <alignment vertical="center"/>
    </xf>
    <xf numFmtId="0" fontId="78" fillId="0" borderId="99" applyNumberFormat="0" applyFill="0" applyAlignment="0" applyProtection="0">
      <alignment vertical="center"/>
    </xf>
    <xf numFmtId="0" fontId="79" fillId="36" borderId="0" applyNumberFormat="0" applyBorder="0" applyAlignment="0" applyProtection="0">
      <alignment vertical="center"/>
    </xf>
    <xf numFmtId="0" fontId="80" fillId="37" borderId="0" applyNumberFormat="0" applyBorder="0" applyAlignment="0" applyProtection="0">
      <alignment vertical="center"/>
    </xf>
    <xf numFmtId="0" fontId="81" fillId="38" borderId="0" applyNumberFormat="0" applyBorder="0" applyAlignment="0" applyProtection="0">
      <alignment vertical="center"/>
    </xf>
    <xf numFmtId="0" fontId="82" fillId="39" borderId="0" applyNumberFormat="0" applyBorder="0" applyAlignment="0" applyProtection="0">
      <alignment vertical="center"/>
    </xf>
    <xf numFmtId="0" fontId="83" fillId="40" borderId="0" applyNumberFormat="0" applyBorder="0" applyAlignment="0" applyProtection="0">
      <alignment vertical="center"/>
    </xf>
    <xf numFmtId="0" fontId="83" fillId="41" borderId="0" applyNumberFormat="0" applyBorder="0" applyAlignment="0" applyProtection="0">
      <alignment vertical="center"/>
    </xf>
    <xf numFmtId="0" fontId="82" fillId="42" borderId="0" applyNumberFormat="0" applyBorder="0" applyAlignment="0" applyProtection="0">
      <alignment vertical="center"/>
    </xf>
    <xf numFmtId="0" fontId="82" fillId="43" borderId="0" applyNumberFormat="0" applyBorder="0" applyAlignment="0" applyProtection="0">
      <alignment vertical="center"/>
    </xf>
    <xf numFmtId="0" fontId="83" fillId="44" borderId="0" applyNumberFormat="0" applyBorder="0" applyAlignment="0" applyProtection="0">
      <alignment vertical="center"/>
    </xf>
    <xf numFmtId="0" fontId="83" fillId="45" borderId="0" applyNumberFormat="0" applyBorder="0" applyAlignment="0" applyProtection="0">
      <alignment vertical="center"/>
    </xf>
    <xf numFmtId="0" fontId="82" fillId="46" borderId="0" applyNumberFormat="0" applyBorder="0" applyAlignment="0" applyProtection="0">
      <alignment vertical="center"/>
    </xf>
    <xf numFmtId="0" fontId="82" fillId="47" borderId="0" applyNumberFormat="0" applyBorder="0" applyAlignment="0" applyProtection="0">
      <alignment vertical="center"/>
    </xf>
    <xf numFmtId="0" fontId="83" fillId="48" borderId="0" applyNumberFormat="0" applyBorder="0" applyAlignment="0" applyProtection="0">
      <alignment vertical="center"/>
    </xf>
    <xf numFmtId="0" fontId="83" fillId="49" borderId="0" applyNumberFormat="0" applyBorder="0" applyAlignment="0" applyProtection="0">
      <alignment vertical="center"/>
    </xf>
    <xf numFmtId="0" fontId="82" fillId="50" borderId="0" applyNumberFormat="0" applyBorder="0" applyAlignment="0" applyProtection="0">
      <alignment vertical="center"/>
    </xf>
    <xf numFmtId="0" fontId="82" fillId="51" borderId="0" applyNumberFormat="0" applyBorder="0" applyAlignment="0" applyProtection="0">
      <alignment vertical="center"/>
    </xf>
    <xf numFmtId="0" fontId="83" fillId="52" borderId="0" applyNumberFormat="0" applyBorder="0" applyAlignment="0" applyProtection="0">
      <alignment vertical="center"/>
    </xf>
    <xf numFmtId="0" fontId="83" fillId="53" borderId="0" applyNumberFormat="0" applyBorder="0" applyAlignment="0" applyProtection="0">
      <alignment vertical="center"/>
    </xf>
    <xf numFmtId="0" fontId="82" fillId="54" borderId="0" applyNumberFormat="0" applyBorder="0" applyAlignment="0" applyProtection="0">
      <alignment vertical="center"/>
    </xf>
    <xf numFmtId="0" fontId="82" fillId="55" borderId="0" applyNumberFormat="0" applyBorder="0" applyAlignment="0" applyProtection="0">
      <alignment vertical="center"/>
    </xf>
    <xf numFmtId="0" fontId="83" fillId="56" borderId="0" applyNumberFormat="0" applyBorder="0" applyAlignment="0" applyProtection="0">
      <alignment vertical="center"/>
    </xf>
    <xf numFmtId="0" fontId="83" fillId="57" borderId="0" applyNumberFormat="0" applyBorder="0" applyAlignment="0" applyProtection="0">
      <alignment vertical="center"/>
    </xf>
    <xf numFmtId="0" fontId="82" fillId="58" borderId="0" applyNumberFormat="0" applyBorder="0" applyAlignment="0" applyProtection="0">
      <alignment vertical="center"/>
    </xf>
    <xf numFmtId="0" fontId="82" fillId="59" borderId="0" applyNumberFormat="0" applyBorder="0" applyAlignment="0" applyProtection="0">
      <alignment vertical="center"/>
    </xf>
    <xf numFmtId="0" fontId="83" fillId="60" borderId="0" applyNumberFormat="0" applyBorder="0" applyAlignment="0" applyProtection="0">
      <alignment vertical="center"/>
    </xf>
    <xf numFmtId="0" fontId="83" fillId="61" borderId="0" applyNumberFormat="0" applyBorder="0" applyAlignment="0" applyProtection="0">
      <alignment vertical="center"/>
    </xf>
    <xf numFmtId="0" fontId="82" fillId="62" borderId="0" applyNumberFormat="0" applyBorder="0" applyAlignment="0" applyProtection="0">
      <alignment vertical="center"/>
    </xf>
    <xf numFmtId="0" fontId="54" fillId="0" borderId="0"/>
  </cellStyleXfs>
  <cellXfs count="307">
    <xf numFmtId="0" fontId="0" fillId="0" borderId="0" xfId="0"/>
    <xf numFmtId="0" fontId="1" fillId="0" borderId="0" xfId="0" applyFont="1" applyAlignment="1">
      <alignment wrapText="1" readingOrder="1"/>
    </xf>
    <xf numFmtId="0" fontId="2" fillId="0" borderId="0" xfId="0" applyFont="1" applyAlignment="1">
      <alignment wrapText="1" readingOrder="1"/>
    </xf>
    <xf numFmtId="0" fontId="2" fillId="0" borderId="0" xfId="0" applyFont="1" applyAlignment="1">
      <alignment vertical="top" wrapText="1"/>
    </xf>
    <xf numFmtId="0" fontId="3" fillId="0" borderId="1" xfId="0" applyFont="1" applyBorder="1" applyAlignment="1">
      <alignment horizontal="center" wrapText="1" readingOrder="1"/>
    </xf>
    <xf numFmtId="0" fontId="0" fillId="0" borderId="2" xfId="0" applyBorder="1"/>
    <xf numFmtId="0" fontId="0" fillId="0" borderId="3" xfId="0" applyBorder="1"/>
    <xf numFmtId="0" fontId="4" fillId="2" borderId="4" xfId="0" applyFont="1" applyFill="1" applyBorder="1" applyAlignment="1">
      <alignment horizontal="center" vertical="center" wrapText="1"/>
    </xf>
    <xf numFmtId="0" fontId="5" fillId="0" borderId="5" xfId="0" applyFont="1" applyBorder="1" applyAlignment="1">
      <alignment wrapText="1"/>
    </xf>
    <xf numFmtId="0" fontId="5" fillId="0" borderId="5" xfId="0" applyFont="1" applyBorder="1" applyAlignment="1">
      <alignment horizontal="center" vertical="center" wrapText="1"/>
    </xf>
    <xf numFmtId="10" fontId="5" fillId="0" borderId="4" xfId="0" applyNumberFormat="1" applyFont="1" applyBorder="1" applyAlignment="1">
      <alignment horizontal="center" vertical="center" wrapText="1"/>
    </xf>
    <xf numFmtId="0" fontId="5" fillId="0" borderId="4" xfId="0" applyFont="1" applyBorder="1" applyAlignment="1">
      <alignment vertical="top" wrapText="1"/>
    </xf>
    <xf numFmtId="0" fontId="4" fillId="2" borderId="4" xfId="0" applyFont="1" applyFill="1" applyBorder="1" applyAlignment="1">
      <alignment wrapText="1"/>
    </xf>
    <xf numFmtId="10" fontId="4" fillId="2" borderId="4" xfId="0" applyNumberFormat="1" applyFont="1" applyFill="1" applyBorder="1" applyAlignment="1">
      <alignment horizontal="center" vertical="center" wrapText="1"/>
    </xf>
    <xf numFmtId="0" fontId="3" fillId="0" borderId="6" xfId="0" applyFont="1" applyBorder="1" applyAlignment="1">
      <alignment vertical="top" wrapText="1"/>
    </xf>
    <xf numFmtId="0" fontId="2" fillId="0" borderId="4" xfId="0" applyFont="1" applyBorder="1" applyAlignment="1">
      <alignment vertical="top" wrapText="1"/>
    </xf>
    <xf numFmtId="0" fontId="0" fillId="0" borderId="7" xfId="0" applyBorder="1"/>
    <xf numFmtId="0" fontId="0" fillId="0" borderId="8" xfId="0" applyBorder="1"/>
    <xf numFmtId="0" fontId="3" fillId="0" borderId="6" xfId="0" applyFont="1" applyBorder="1" applyAlignment="1">
      <alignment horizontal="left" vertical="top" wrapText="1"/>
    </xf>
    <xf numFmtId="0" fontId="6" fillId="0" borderId="9" xfId="0" applyFont="1" applyBorder="1" applyAlignment="1">
      <alignment vertical="top" wrapText="1"/>
    </xf>
    <xf numFmtId="0" fontId="7" fillId="0" borderId="0" xfId="0" applyFont="1" applyAlignment="1">
      <alignment vertical="top" wrapText="1"/>
    </xf>
    <xf numFmtId="0" fontId="8" fillId="0" borderId="0" xfId="0" applyFont="1" applyAlignment="1">
      <alignment wrapText="1"/>
    </xf>
    <xf numFmtId="0" fontId="9" fillId="0" borderId="0" xfId="0" applyFont="1" applyAlignment="1">
      <alignment wrapText="1"/>
    </xf>
    <xf numFmtId="0" fontId="9" fillId="0" borderId="0" xfId="0" applyFont="1" applyAlignment="1">
      <alignment vertical="top" wrapText="1"/>
    </xf>
    <xf numFmtId="0" fontId="10" fillId="3" borderId="0" xfId="0" applyFont="1" applyFill="1" applyAlignment="1">
      <alignment vertical="top" wrapText="1"/>
    </xf>
    <xf numFmtId="0" fontId="8" fillId="2" borderId="10" xfId="0" applyFont="1" applyFill="1" applyBorder="1" applyAlignment="1">
      <alignment horizontal="center" vertical="center" wrapText="1"/>
    </xf>
    <xf numFmtId="0" fontId="9" fillId="0" borderId="11" xfId="0" applyFont="1" applyBorder="1" applyAlignment="1">
      <alignment horizontal="center" vertical="center" wrapText="1"/>
    </xf>
    <xf numFmtId="0" fontId="9" fillId="0" borderId="11" xfId="0" applyFont="1" applyBorder="1" applyAlignment="1">
      <alignment wrapText="1"/>
    </xf>
    <xf numFmtId="0" fontId="9" fillId="0" borderId="11" xfId="0" applyFont="1" applyBorder="1" applyAlignment="1">
      <alignment vertical="top" wrapText="1"/>
    </xf>
    <xf numFmtId="0" fontId="9" fillId="0" borderId="12" xfId="0" applyFont="1" applyBorder="1" applyAlignment="1">
      <alignment vertical="top" wrapText="1"/>
    </xf>
    <xf numFmtId="0" fontId="10" fillId="3" borderId="0" xfId="0" applyFont="1" applyFill="1" applyAlignment="1">
      <alignment wrapText="1"/>
    </xf>
    <xf numFmtId="0" fontId="8" fillId="2" borderId="10" xfId="0" applyFont="1" applyFill="1" applyBorder="1" applyAlignment="1">
      <alignment wrapText="1"/>
    </xf>
    <xf numFmtId="0" fontId="0" fillId="0" borderId="13" xfId="0" applyBorder="1"/>
    <xf numFmtId="0" fontId="8" fillId="0" borderId="10" xfId="0" applyFont="1" applyBorder="1" applyAlignment="1">
      <alignment wrapText="1"/>
    </xf>
    <xf numFmtId="0" fontId="9" fillId="0" borderId="13" xfId="0" applyFont="1" applyBorder="1" applyAlignment="1">
      <alignment vertical="top" wrapText="1"/>
    </xf>
    <xf numFmtId="0" fontId="8" fillId="0" borderId="10" xfId="0" applyFont="1" applyBorder="1" applyAlignment="1">
      <alignment horizontal="center" vertical="center" wrapText="1"/>
    </xf>
    <xf numFmtId="0" fontId="11" fillId="4" borderId="14" xfId="0" applyFont="1" applyFill="1" applyBorder="1" applyAlignment="1">
      <alignment wrapText="1"/>
    </xf>
    <xf numFmtId="0" fontId="0" fillId="0" borderId="15" xfId="0" applyBorder="1"/>
    <xf numFmtId="0" fontId="11" fillId="5" borderId="16" xfId="0" applyFont="1" applyFill="1" applyBorder="1" applyAlignment="1">
      <alignment horizontal="center" vertical="center" wrapText="1"/>
    </xf>
    <xf numFmtId="0" fontId="9" fillId="0" borderId="10" xfId="0" applyFont="1" applyBorder="1" applyAlignment="1">
      <alignment horizontal="center" vertical="center" wrapText="1"/>
    </xf>
    <xf numFmtId="0" fontId="9" fillId="0" borderId="10" xfId="0" applyFont="1" applyBorder="1" applyAlignment="1">
      <alignment vertical="top" wrapText="1"/>
    </xf>
    <xf numFmtId="10" fontId="9" fillId="0" borderId="10" xfId="0" applyNumberFormat="1" applyFont="1" applyBorder="1" applyAlignment="1">
      <alignment horizontal="center" vertical="center" wrapText="1"/>
    </xf>
    <xf numFmtId="0" fontId="8" fillId="0" borderId="11" xfId="0" applyFont="1" applyBorder="1" applyAlignment="1">
      <alignment wrapText="1"/>
    </xf>
    <xf numFmtId="0" fontId="8" fillId="0" borderId="11" xfId="0" applyFont="1" applyBorder="1" applyAlignment="1">
      <alignment horizontal="center" vertical="center" wrapText="1"/>
    </xf>
    <xf numFmtId="1" fontId="8" fillId="0" borderId="11" xfId="0" applyNumberFormat="1" applyFont="1" applyBorder="1" applyAlignment="1">
      <alignment horizontal="center" vertical="center" wrapText="1"/>
    </xf>
    <xf numFmtId="10" fontId="8" fillId="0" borderId="11" xfId="0" applyNumberFormat="1" applyFont="1" applyBorder="1" applyAlignment="1">
      <alignment horizontal="center" vertical="center" wrapText="1"/>
    </xf>
    <xf numFmtId="0" fontId="11" fillId="6" borderId="4" xfId="0" applyFont="1" applyFill="1" applyBorder="1" applyAlignment="1">
      <alignment wrapText="1"/>
    </xf>
    <xf numFmtId="0" fontId="9" fillId="7" borderId="10" xfId="0" applyFont="1" applyFill="1" applyBorder="1" applyAlignment="1">
      <alignment vertical="top" wrapText="1"/>
    </xf>
    <xf numFmtId="0" fontId="0" fillId="0" borderId="17" xfId="0" applyBorder="1"/>
    <xf numFmtId="0" fontId="4" fillId="0" borderId="0" xfId="0" applyFont="1" applyAlignment="1">
      <alignment wrapText="1"/>
    </xf>
    <xf numFmtId="0" fontId="4" fillId="0" borderId="0" xfId="0" applyFont="1" applyAlignment="1">
      <alignment vertical="top" wrapText="1"/>
    </xf>
    <xf numFmtId="0" fontId="12" fillId="0" borderId="0" xfId="0" applyFont="1" applyAlignment="1">
      <alignment wrapText="1"/>
    </xf>
    <xf numFmtId="0" fontId="8" fillId="8" borderId="10" xfId="0" applyFont="1" applyFill="1" applyBorder="1" applyAlignment="1">
      <alignment horizontal="center" vertical="center" wrapText="1"/>
    </xf>
    <xf numFmtId="0" fontId="5" fillId="0" borderId="11" xfId="0" applyFont="1" applyBorder="1" applyAlignment="1">
      <alignment wrapText="1"/>
    </xf>
    <xf numFmtId="0" fontId="0" fillId="0" borderId="12" xfId="0" applyBorder="1"/>
    <xf numFmtId="0" fontId="5" fillId="0" borderId="11" xfId="0" applyFont="1" applyBorder="1" applyAlignment="1">
      <alignment horizontal="center" vertical="center" wrapText="1"/>
    </xf>
    <xf numFmtId="10" fontId="5" fillId="0" borderId="11" xfId="0" applyNumberFormat="1" applyFont="1" applyBorder="1" applyAlignment="1">
      <alignment horizontal="center" vertical="center" wrapText="1"/>
    </xf>
    <xf numFmtId="0" fontId="13" fillId="0" borderId="13" xfId="0" applyFont="1" applyBorder="1" applyAlignment="1">
      <alignment vertical="top" wrapText="1"/>
    </xf>
    <xf numFmtId="0" fontId="10" fillId="3" borderId="18" xfId="0" applyFont="1" applyFill="1" applyBorder="1" applyAlignment="1">
      <alignment vertical="top" wrapText="1"/>
    </xf>
    <xf numFmtId="0" fontId="5" fillId="0" borderId="11" xfId="0" applyFont="1" applyBorder="1" applyAlignment="1">
      <alignment vertical="top" wrapText="1"/>
    </xf>
    <xf numFmtId="0" fontId="14" fillId="0" borderId="13" xfId="0" applyFont="1" applyBorder="1" applyAlignment="1">
      <alignment vertical="top" wrapText="1"/>
    </xf>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7" fillId="0" borderId="0" xfId="0" applyFont="1" applyAlignment="1">
      <alignment vertical="top" wrapText="1"/>
    </xf>
    <xf numFmtId="0" fontId="18" fillId="0" borderId="19" xfId="0" applyFont="1" applyBorder="1" applyAlignment="1">
      <alignment wrapText="1"/>
    </xf>
    <xf numFmtId="0" fontId="0" fillId="0" borderId="19" xfId="0" applyBorder="1"/>
    <xf numFmtId="0" fontId="19" fillId="8" borderId="11" xfId="0" applyFont="1" applyFill="1" applyBorder="1" applyAlignment="1">
      <alignment horizontal="center" vertical="center" wrapText="1"/>
    </xf>
    <xf numFmtId="0" fontId="16" fillId="0" borderId="11" xfId="0" applyFont="1" applyBorder="1" applyAlignment="1">
      <alignment horizontal="center" vertical="center" wrapText="1"/>
    </xf>
    <xf numFmtId="10" fontId="16" fillId="0" borderId="11" xfId="0" applyNumberFormat="1" applyFont="1" applyBorder="1" applyAlignment="1">
      <alignment horizontal="center" vertical="center" wrapText="1"/>
    </xf>
    <xf numFmtId="0" fontId="19" fillId="2" borderId="10" xfId="0" applyFont="1" applyFill="1" applyBorder="1" applyAlignment="1">
      <alignment horizontal="center" vertical="center" wrapText="1"/>
    </xf>
    <xf numFmtId="0" fontId="20" fillId="3" borderId="10" xfId="0" applyFont="1" applyFill="1" applyBorder="1" applyAlignment="1">
      <alignment wrapText="1"/>
    </xf>
    <xf numFmtId="0" fontId="17" fillId="0" borderId="11" xfId="0" applyFont="1" applyBorder="1" applyAlignment="1">
      <alignment vertical="top" wrapText="1"/>
    </xf>
    <xf numFmtId="0" fontId="17" fillId="0" borderId="11" xfId="0" applyFont="1" applyBorder="1" applyAlignment="1">
      <alignment horizontal="center" vertical="center" wrapText="1"/>
    </xf>
    <xf numFmtId="0" fontId="21" fillId="9" borderId="20" xfId="0" applyFont="1" applyFill="1" applyBorder="1" applyAlignment="1">
      <alignment wrapText="1"/>
    </xf>
    <xf numFmtId="0" fontId="22" fillId="10" borderId="4" xfId="0" applyFont="1" applyFill="1" applyBorder="1" applyAlignment="1">
      <alignment vertical="top" wrapText="1"/>
    </xf>
    <xf numFmtId="0" fontId="23" fillId="10" borderId="4" xfId="0" applyFont="1" applyFill="1" applyBorder="1" applyAlignment="1">
      <alignment wrapText="1"/>
    </xf>
    <xf numFmtId="0" fontId="24" fillId="7" borderId="4" xfId="0" applyFont="1" applyFill="1" applyBorder="1" applyAlignment="1">
      <alignment vertical="top" wrapText="1"/>
    </xf>
    <xf numFmtId="0" fontId="24" fillId="7" borderId="4" xfId="0" applyFont="1" applyFill="1" applyBorder="1" applyAlignment="1">
      <alignment wrapText="1"/>
    </xf>
    <xf numFmtId="0" fontId="25" fillId="9" borderId="0" xfId="0" applyFont="1" applyFill="1" applyAlignment="1">
      <alignment wrapText="1"/>
    </xf>
    <xf numFmtId="0" fontId="26" fillId="5" borderId="0" xfId="0" applyFont="1" applyFill="1" applyAlignment="1">
      <alignment wrapText="1"/>
    </xf>
    <xf numFmtId="0" fontId="27" fillId="4" borderId="21" xfId="0" applyFont="1" applyFill="1" applyBorder="1" applyAlignment="1">
      <alignment wrapText="1"/>
    </xf>
    <xf numFmtId="0" fontId="0" fillId="0" borderId="22" xfId="0" applyBorder="1"/>
    <xf numFmtId="0" fontId="24" fillId="11" borderId="4" xfId="0" applyFont="1" applyFill="1" applyBorder="1" applyAlignment="1">
      <alignment horizontal="center" vertical="center" wrapText="1"/>
    </xf>
    <xf numFmtId="0" fontId="24" fillId="11" borderId="8" xfId="0" applyFont="1" applyFill="1" applyBorder="1" applyAlignment="1">
      <alignment wrapText="1"/>
    </xf>
    <xf numFmtId="0" fontId="24" fillId="11" borderId="8" xfId="0" applyFont="1" applyFill="1" applyBorder="1" applyAlignment="1">
      <alignment vertical="top" wrapText="1"/>
    </xf>
    <xf numFmtId="0" fontId="26" fillId="9" borderId="4" xfId="0" applyFont="1" applyFill="1" applyBorder="1" applyAlignment="1">
      <alignment wrapText="1"/>
    </xf>
    <xf numFmtId="0" fontId="22" fillId="12" borderId="23" xfId="0" applyFont="1" applyFill="1" applyBorder="1" applyAlignment="1">
      <alignment horizontal="center" vertical="center" wrapText="1"/>
    </xf>
    <xf numFmtId="0" fontId="22" fillId="12" borderId="3" xfId="0" applyFont="1" applyFill="1" applyBorder="1" applyAlignment="1">
      <alignment vertical="top" wrapText="1"/>
    </xf>
    <xf numFmtId="0" fontId="28" fillId="12" borderId="8" xfId="0" applyFont="1" applyFill="1" applyBorder="1" applyAlignment="1">
      <alignment vertical="top" wrapText="1"/>
    </xf>
    <xf numFmtId="0" fontId="26" fillId="13" borderId="4" xfId="0" applyFont="1" applyFill="1" applyBorder="1" applyAlignment="1">
      <alignment wrapText="1"/>
    </xf>
    <xf numFmtId="0" fontId="0" fillId="0" borderId="24" xfId="0" applyBorder="1"/>
    <xf numFmtId="178" fontId="24" fillId="11" borderId="8" xfId="0" applyNumberFormat="1" applyFont="1" applyFill="1" applyBorder="1" applyAlignment="1">
      <alignment horizontal="center" vertical="center" wrapText="1"/>
    </xf>
    <xf numFmtId="0" fontId="24" fillId="11" borderId="8" xfId="0" applyFont="1" applyFill="1" applyBorder="1" applyAlignment="1">
      <alignment horizontal="center" vertical="center" wrapText="1"/>
    </xf>
    <xf numFmtId="178" fontId="26" fillId="5" borderId="0" xfId="0" applyNumberFormat="1" applyFont="1" applyFill="1" applyAlignment="1">
      <alignment horizontal="center" vertical="center" wrapText="1"/>
    </xf>
    <xf numFmtId="0" fontId="24" fillId="11" borderId="4" xfId="0" applyFont="1" applyFill="1" applyBorder="1" applyAlignment="1">
      <alignment vertical="top" wrapText="1"/>
    </xf>
    <xf numFmtId="0" fontId="26" fillId="14" borderId="21" xfId="0" applyFont="1" applyFill="1" applyBorder="1" applyAlignment="1">
      <alignment wrapText="1"/>
    </xf>
    <xf numFmtId="0" fontId="29" fillId="15" borderId="4" xfId="0" applyFont="1" applyFill="1" applyBorder="1" applyAlignment="1">
      <alignment horizontal="center" vertical="center" wrapText="1"/>
    </xf>
    <xf numFmtId="0" fontId="30" fillId="16" borderId="25" xfId="0" applyFont="1" applyFill="1" applyBorder="1" applyAlignment="1">
      <alignment wrapText="1"/>
    </xf>
    <xf numFmtId="0" fontId="0" fillId="0" borderId="26" xfId="0" applyBorder="1"/>
    <xf numFmtId="0" fontId="0" fillId="0" borderId="27" xfId="0" applyBorder="1"/>
    <xf numFmtId="0" fontId="22" fillId="0" borderId="25" xfId="0" applyFont="1" applyBorder="1" applyAlignment="1">
      <alignment vertical="top" wrapText="1"/>
    </xf>
    <xf numFmtId="0" fontId="22" fillId="0" borderId="25" xfId="0" applyFont="1" applyBorder="1" applyAlignment="1">
      <alignment horizontal="center" vertical="center" wrapText="1"/>
    </xf>
    <xf numFmtId="0" fontId="26" fillId="5" borderId="0" xfId="0" applyFont="1" applyFill="1" applyAlignment="1">
      <alignment horizontal="center" vertical="center" wrapText="1"/>
    </xf>
    <xf numFmtId="10" fontId="26" fillId="5" borderId="0" xfId="0" applyNumberFormat="1" applyFont="1" applyFill="1" applyAlignment="1">
      <alignment horizontal="center" vertical="center" wrapText="1"/>
    </xf>
    <xf numFmtId="0" fontId="26" fillId="9" borderId="4" xfId="0" applyFont="1" applyFill="1" applyBorder="1" applyAlignment="1">
      <alignment vertical="top" wrapText="1"/>
    </xf>
    <xf numFmtId="0" fontId="29" fillId="15" borderId="4" xfId="0" applyFont="1" applyFill="1" applyBorder="1" applyAlignment="1">
      <alignment wrapText="1"/>
    </xf>
    <xf numFmtId="0" fontId="9" fillId="15" borderId="4" xfId="0" applyFont="1" applyFill="1" applyBorder="1" applyAlignment="1">
      <alignment horizontal="center"/>
    </xf>
    <xf numFmtId="0" fontId="10" fillId="17" borderId="23" xfId="0" applyFont="1" applyFill="1" applyBorder="1" applyAlignment="1">
      <alignment wrapText="1"/>
    </xf>
    <xf numFmtId="0" fontId="31" fillId="18" borderId="4" xfId="0" applyFont="1" applyFill="1" applyBorder="1" applyAlignment="1">
      <alignment vertical="top" wrapText="1"/>
    </xf>
    <xf numFmtId="0" fontId="32" fillId="0" borderId="23" xfId="0" applyFont="1" applyBorder="1" applyAlignment="1">
      <alignment wrapText="1"/>
    </xf>
    <xf numFmtId="0" fontId="32" fillId="0" borderId="23" xfId="0" applyFont="1" applyBorder="1" applyAlignment="1">
      <alignment vertical="top" wrapText="1"/>
    </xf>
    <xf numFmtId="0" fontId="20" fillId="19" borderId="4" xfId="0" applyFont="1" applyFill="1" applyBorder="1" applyAlignment="1">
      <alignment wrapText="1"/>
    </xf>
    <xf numFmtId="0" fontId="33" fillId="20" borderId="23" xfId="0" applyFont="1" applyFill="1" applyBorder="1" applyAlignment="1">
      <alignment horizontal="center" vertical="center" wrapText="1"/>
    </xf>
    <xf numFmtId="0" fontId="34" fillId="0" borderId="23" xfId="0" applyFont="1" applyBorder="1" applyAlignment="1">
      <alignment wrapText="1"/>
    </xf>
    <xf numFmtId="0" fontId="34" fillId="0" borderId="23" xfId="0" applyFont="1" applyBorder="1" applyAlignment="1">
      <alignment horizontal="center" vertical="center" wrapText="1"/>
    </xf>
    <xf numFmtId="10" fontId="34" fillId="0" borderId="23" xfId="0" applyNumberFormat="1" applyFont="1" applyBorder="1" applyAlignment="1">
      <alignment horizontal="center" vertical="center" wrapText="1"/>
    </xf>
    <xf numFmtId="0" fontId="20" fillId="21" borderId="4" xfId="0" applyFont="1" applyFill="1" applyBorder="1" applyAlignment="1">
      <alignment wrapText="1"/>
    </xf>
    <xf numFmtId="0" fontId="20" fillId="21" borderId="4" xfId="0" applyFont="1" applyFill="1" applyBorder="1" applyAlignment="1">
      <alignment horizontal="center" vertical="center" wrapText="1"/>
    </xf>
    <xf numFmtId="10" fontId="20" fillId="21" borderId="4" xfId="0" applyNumberFormat="1" applyFont="1" applyFill="1" applyBorder="1" applyAlignment="1">
      <alignment horizontal="center" vertical="center" wrapText="1"/>
    </xf>
    <xf numFmtId="0" fontId="20" fillId="22" borderId="4" xfId="0" applyFont="1" applyFill="1" applyBorder="1" applyAlignment="1">
      <alignment wrapText="1"/>
    </xf>
    <xf numFmtId="0" fontId="20" fillId="3" borderId="4" xfId="0" applyFont="1" applyFill="1" applyBorder="1"/>
    <xf numFmtId="0" fontId="32" fillId="0" borderId="23" xfId="0" applyFont="1" applyBorder="1" applyAlignment="1">
      <alignment horizontal="center" vertical="center" wrapText="1"/>
    </xf>
    <xf numFmtId="0" fontId="33" fillId="23" borderId="4" xfId="0" applyFont="1" applyFill="1" applyBorder="1"/>
    <xf numFmtId="0" fontId="33" fillId="18" borderId="4" xfId="0" applyFont="1" applyFill="1" applyBorder="1"/>
    <xf numFmtId="0" fontId="34" fillId="7" borderId="4" xfId="0" applyFont="1" applyFill="1" applyBorder="1" applyAlignment="1">
      <alignment vertical="top" wrapText="1"/>
    </xf>
    <xf numFmtId="0" fontId="31" fillId="2" borderId="4" xfId="0" applyFont="1" applyFill="1" applyBorder="1" applyAlignment="1">
      <alignment horizontal="center" vertical="center" wrapText="1"/>
    </xf>
    <xf numFmtId="0" fontId="31" fillId="18" borderId="4" xfId="0" applyFont="1" applyFill="1" applyBorder="1" applyAlignment="1">
      <alignment wrapText="1"/>
    </xf>
    <xf numFmtId="0" fontId="35" fillId="0" borderId="28" xfId="0" applyFont="1" applyBorder="1" applyAlignment="1">
      <alignment wrapText="1" readingOrder="1"/>
    </xf>
    <xf numFmtId="0" fontId="0" fillId="0" borderId="29" xfId="0" applyBorder="1"/>
    <xf numFmtId="0" fontId="0" fillId="0" borderId="30" xfId="0" applyBorder="1"/>
    <xf numFmtId="0" fontId="24" fillId="0" borderId="31" xfId="0" applyFont="1" applyBorder="1" applyAlignment="1">
      <alignment wrapText="1" readingOrder="1"/>
    </xf>
    <xf numFmtId="0" fontId="24" fillId="0" borderId="32" xfId="0" applyFont="1" applyBorder="1" applyAlignment="1">
      <alignment horizontal="left" wrapText="1" readingOrder="1"/>
    </xf>
    <xf numFmtId="0" fontId="0" fillId="0" borderId="33" xfId="0" applyBorder="1"/>
    <xf numFmtId="0" fontId="0" fillId="0" borderId="34" xfId="0" applyBorder="1"/>
    <xf numFmtId="0" fontId="24" fillId="0" borderId="32" xfId="0" applyFont="1" applyBorder="1" applyAlignment="1">
      <alignment horizontal="left" vertical="top" wrapText="1"/>
    </xf>
    <xf numFmtId="0" fontId="27" fillId="24" borderId="35" xfId="0" applyFont="1" applyFill="1" applyBorder="1" applyAlignment="1">
      <alignment wrapText="1" readingOrder="1"/>
    </xf>
    <xf numFmtId="0" fontId="27" fillId="24" borderId="35" xfId="0" applyFont="1" applyFill="1" applyBorder="1" applyAlignment="1">
      <alignment horizontal="center" vertical="center" wrapText="1"/>
    </xf>
    <xf numFmtId="0" fontId="24" fillId="0" borderId="36" xfId="0" applyFont="1" applyBorder="1" applyAlignment="1">
      <alignment vertical="top" wrapText="1"/>
    </xf>
    <xf numFmtId="0" fontId="24" fillId="0" borderId="36" xfId="0" applyFont="1" applyBorder="1" applyAlignment="1">
      <alignment horizontal="center" vertical="center" wrapText="1"/>
    </xf>
    <xf numFmtId="0" fontId="0" fillId="0" borderId="37" xfId="0" applyBorder="1"/>
    <xf numFmtId="0" fontId="0" fillId="0" borderId="38" xfId="0" applyBorder="1"/>
    <xf numFmtId="0" fontId="0" fillId="0" borderId="39" xfId="0" applyBorder="1"/>
    <xf numFmtId="0" fontId="24" fillId="0" borderId="36" xfId="0" applyFont="1" applyBorder="1" applyAlignment="1">
      <alignment wrapText="1" readingOrder="1"/>
    </xf>
    <xf numFmtId="0" fontId="36" fillId="0" borderId="0" xfId="0" applyFont="1" applyAlignment="1">
      <alignment wrapText="1" readingOrder="1"/>
    </xf>
    <xf numFmtId="0" fontId="24" fillId="0" borderId="0" xfId="0" applyFont="1" applyAlignment="1">
      <alignment wrapText="1" readingOrder="1"/>
    </xf>
    <xf numFmtId="0" fontId="37" fillId="25" borderId="40" xfId="0" applyFont="1" applyFill="1" applyBorder="1" applyAlignment="1">
      <alignment wrapText="1" readingOrder="1"/>
    </xf>
    <xf numFmtId="0" fontId="0" fillId="0" borderId="41" xfId="0" applyBorder="1"/>
    <xf numFmtId="0" fontId="37" fillId="25" borderId="40" xfId="0" applyFont="1" applyFill="1" applyBorder="1" applyAlignment="1">
      <alignment vertical="top" wrapText="1"/>
    </xf>
    <xf numFmtId="0" fontId="27" fillId="24" borderId="42" xfId="0" applyFont="1" applyFill="1" applyBorder="1" applyAlignment="1">
      <alignment wrapText="1" readingOrder="1"/>
    </xf>
    <xf numFmtId="0" fontId="27" fillId="24" borderId="42" xfId="0" applyFont="1" applyFill="1" applyBorder="1" applyAlignment="1">
      <alignment horizontal="center" vertical="center" wrapText="1"/>
    </xf>
    <xf numFmtId="0" fontId="24" fillId="0" borderId="43" xfId="0" applyFont="1" applyBorder="1" applyAlignment="1">
      <alignment vertical="top" wrapText="1"/>
    </xf>
    <xf numFmtId="0" fontId="24" fillId="0" borderId="43" xfId="0" applyFont="1" applyBorder="1" applyAlignment="1">
      <alignment horizontal="center" vertical="center" wrapText="1"/>
    </xf>
    <xf numFmtId="0" fontId="27" fillId="24" borderId="42" xfId="0" applyFont="1" applyFill="1" applyBorder="1" applyAlignment="1">
      <alignment vertical="top" wrapText="1"/>
    </xf>
    <xf numFmtId="0" fontId="0" fillId="0" borderId="44" xfId="0" applyBorder="1"/>
    <xf numFmtId="0" fontId="0" fillId="0" borderId="45" xfId="0" applyBorder="1"/>
    <xf numFmtId="0" fontId="0" fillId="0" borderId="46" xfId="0" applyBorder="1"/>
    <xf numFmtId="0" fontId="0" fillId="0" borderId="47" xfId="0" applyBorder="1"/>
    <xf numFmtId="0" fontId="24" fillId="0" borderId="43" xfId="0" applyFont="1" applyBorder="1" applyAlignment="1">
      <alignment wrapText="1" readingOrder="1"/>
    </xf>
    <xf numFmtId="0" fontId="7" fillId="0" borderId="0" xfId="0" applyFont="1" applyAlignment="1">
      <alignment wrapText="1"/>
    </xf>
    <xf numFmtId="0" fontId="30" fillId="16" borderId="25" xfId="0" applyFont="1" applyFill="1" applyBorder="1" applyAlignment="1">
      <alignment vertical="top" wrapText="1"/>
    </xf>
    <xf numFmtId="0" fontId="34" fillId="0" borderId="23" xfId="0" applyFont="1" applyBorder="1" applyAlignment="1">
      <alignment vertical="top" wrapText="1"/>
    </xf>
    <xf numFmtId="0" fontId="8" fillId="0" borderId="10" xfId="0" applyFont="1" applyBorder="1" applyAlignment="1">
      <alignment vertical="top" wrapText="1"/>
    </xf>
    <xf numFmtId="0" fontId="38" fillId="0" borderId="0" xfId="0" applyFont="1" applyAlignment="1">
      <alignment horizontal="center" vertical="top" wrapText="1"/>
    </xf>
    <xf numFmtId="0" fontId="39" fillId="0" borderId="0" xfId="0" applyFont="1" applyAlignment="1">
      <alignment horizontal="right" vertical="center" readingOrder="1"/>
    </xf>
    <xf numFmtId="0" fontId="40" fillId="26" borderId="48" xfId="0" applyFont="1" applyFill="1" applyBorder="1" applyAlignment="1">
      <alignment wrapText="1" readingOrder="1"/>
    </xf>
    <xf numFmtId="0" fontId="0" fillId="0" borderId="49" xfId="0" applyBorder="1"/>
    <xf numFmtId="0" fontId="40" fillId="26" borderId="48" xfId="0" applyFont="1" applyFill="1" applyBorder="1" applyAlignment="1">
      <alignment vertical="top" wrapText="1"/>
    </xf>
    <xf numFmtId="0" fontId="41" fillId="27" borderId="50" xfId="0" applyFont="1" applyFill="1" applyBorder="1" applyAlignment="1">
      <alignment vertical="center" readingOrder="1"/>
    </xf>
    <xf numFmtId="0" fontId="41" fillId="27" borderId="50" xfId="0" applyFont="1" applyFill="1" applyBorder="1" applyAlignment="1">
      <alignment horizontal="center" vertical="center" wrapText="1"/>
    </xf>
    <xf numFmtId="0" fontId="39" fillId="0" borderId="50" xfId="0" applyFont="1" applyBorder="1" applyAlignment="1">
      <alignment vertical="top" wrapText="1"/>
    </xf>
    <xf numFmtId="0" fontId="39" fillId="0" borderId="50" xfId="0" applyFont="1" applyBorder="1" applyAlignment="1">
      <alignment horizontal="center" vertical="center" wrapText="1"/>
    </xf>
    <xf numFmtId="0" fontId="0" fillId="0" borderId="51" xfId="0" applyBorder="1"/>
    <xf numFmtId="0" fontId="39" fillId="0" borderId="50" xfId="0" applyFont="1" applyBorder="1" applyAlignment="1">
      <alignment vertical="center" wrapText="1" readingOrder="1"/>
    </xf>
    <xf numFmtId="0" fontId="42" fillId="0" borderId="0" xfId="0" applyFont="1"/>
    <xf numFmtId="0" fontId="43" fillId="0" borderId="0" xfId="0" applyFont="1"/>
    <xf numFmtId="0" fontId="44" fillId="0" borderId="0" xfId="0" applyFont="1" applyAlignment="1">
      <alignment wrapText="1"/>
    </xf>
    <xf numFmtId="0" fontId="44" fillId="0" borderId="0" xfId="0" applyFont="1" applyAlignment="1">
      <alignment vertical="top" wrapText="1"/>
    </xf>
    <xf numFmtId="0" fontId="45" fillId="27" borderId="52" xfId="0" applyFont="1" applyFill="1" applyBorder="1"/>
    <xf numFmtId="0" fontId="45" fillId="27" borderId="52" xfId="0" applyFont="1" applyFill="1" applyBorder="1" applyAlignment="1">
      <alignment horizontal="center" vertical="center" wrapText="1"/>
    </xf>
    <xf numFmtId="0" fontId="43" fillId="0" borderId="52" xfId="0" applyFont="1" applyBorder="1" applyAlignment="1">
      <alignment vertical="top" wrapText="1"/>
    </xf>
    <xf numFmtId="0" fontId="43" fillId="0" borderId="52" xfId="0" applyFont="1" applyBorder="1" applyAlignment="1">
      <alignment horizontal="center" vertical="center" wrapText="1"/>
    </xf>
    <xf numFmtId="0" fontId="0" fillId="0" borderId="53" xfId="0" applyBorder="1"/>
    <xf numFmtId="0" fontId="0" fillId="0" borderId="54" xfId="0" applyBorder="1"/>
    <xf numFmtId="0" fontId="43" fillId="0" borderId="52" xfId="0" applyFont="1" applyBorder="1" applyAlignment="1">
      <alignment wrapText="1"/>
    </xf>
    <xf numFmtId="0" fontId="38" fillId="0" borderId="28" xfId="0" applyFont="1" applyBorder="1" applyAlignment="1">
      <alignment wrapText="1" readingOrder="1"/>
    </xf>
    <xf numFmtId="0" fontId="39" fillId="0" borderId="55" xfId="0" applyFont="1" applyBorder="1" applyAlignment="1">
      <alignment wrapText="1" readingOrder="1"/>
    </xf>
    <xf numFmtId="0" fontId="46" fillId="28" borderId="56" xfId="0" applyFont="1" applyFill="1" applyBorder="1" applyAlignment="1">
      <alignment wrapText="1" readingOrder="1"/>
    </xf>
    <xf numFmtId="0" fontId="46" fillId="28" borderId="56" xfId="0" applyFont="1" applyFill="1" applyBorder="1" applyAlignment="1">
      <alignment horizontal="center" vertical="center" wrapText="1"/>
    </xf>
    <xf numFmtId="0" fontId="39" fillId="0" borderId="56" xfId="0" applyFont="1" applyBorder="1" applyAlignment="1">
      <alignment wrapText="1" readingOrder="1"/>
    </xf>
    <xf numFmtId="0" fontId="39" fillId="0" borderId="56" xfId="0" applyFont="1" applyBorder="1" applyAlignment="1">
      <alignment vertical="top" wrapText="1"/>
    </xf>
    <xf numFmtId="0" fontId="39" fillId="0" borderId="56" xfId="0" applyFont="1" applyBorder="1" applyAlignment="1">
      <alignment horizontal="center" vertical="center" wrapText="1"/>
    </xf>
    <xf numFmtId="0" fontId="0" fillId="0" borderId="57" xfId="0" applyBorder="1"/>
    <xf numFmtId="0" fontId="38" fillId="0" borderId="58" xfId="0" applyFont="1" applyBorder="1" applyAlignment="1">
      <alignment wrapText="1" readingOrder="1"/>
    </xf>
    <xf numFmtId="0" fontId="0" fillId="0" borderId="58" xfId="0" applyBorder="1"/>
    <xf numFmtId="0" fontId="39" fillId="26" borderId="59" xfId="0" applyFont="1" applyFill="1" applyBorder="1" applyAlignment="1">
      <alignment wrapText="1" readingOrder="1"/>
    </xf>
    <xf numFmtId="0" fontId="46" fillId="28" borderId="60" xfId="0" applyFont="1" applyFill="1" applyBorder="1" applyAlignment="1">
      <alignment wrapText="1" readingOrder="1"/>
    </xf>
    <xf numFmtId="0" fontId="46" fillId="28" borderId="60" xfId="0" applyFont="1" applyFill="1" applyBorder="1" applyAlignment="1">
      <alignment horizontal="center" vertical="center" wrapText="1"/>
    </xf>
    <xf numFmtId="0" fontId="39" fillId="0" borderId="60" xfId="0" applyFont="1" applyBorder="1" applyAlignment="1">
      <alignment vertical="top" wrapText="1"/>
    </xf>
    <xf numFmtId="0" fontId="39" fillId="0" borderId="60" xfId="0" applyFont="1" applyBorder="1" applyAlignment="1">
      <alignment horizontal="center" vertical="center" wrapText="1"/>
    </xf>
    <xf numFmtId="0" fontId="0" fillId="0" borderId="61" xfId="0" applyBorder="1"/>
    <xf numFmtId="0" fontId="0" fillId="0" borderId="62" xfId="0" applyBorder="1"/>
    <xf numFmtId="0" fontId="39" fillId="0" borderId="60" xfId="0" applyFont="1" applyBorder="1" applyAlignment="1">
      <alignment wrapText="1" readingOrder="1"/>
    </xf>
    <xf numFmtId="0" fontId="47" fillId="29" borderId="0" xfId="0" applyFont="1" applyFill="1" applyAlignment="1">
      <alignment vertical="top" wrapText="1"/>
    </xf>
    <xf numFmtId="0" fontId="4" fillId="2" borderId="4" xfId="0" applyFont="1" applyFill="1" applyBorder="1" applyAlignment="1">
      <alignment vertical="top" wrapText="1"/>
    </xf>
    <xf numFmtId="0" fontId="5" fillId="0" borderId="5" xfId="0" applyFont="1" applyBorder="1" applyAlignment="1">
      <alignment vertical="top" wrapText="1"/>
    </xf>
    <xf numFmtId="0" fontId="47" fillId="29" borderId="0" xfId="0" applyFont="1" applyFill="1" applyAlignment="1">
      <alignment wrapText="1" readingOrder="1"/>
    </xf>
    <xf numFmtId="0" fontId="48" fillId="29" borderId="0" xfId="0" applyFont="1" applyFill="1" applyAlignment="1">
      <alignment vertical="top" wrapText="1"/>
    </xf>
    <xf numFmtId="0" fontId="48" fillId="29" borderId="0" xfId="0" applyFont="1" applyFill="1" applyAlignment="1">
      <alignment horizontal="right"/>
    </xf>
    <xf numFmtId="0" fontId="48" fillId="29" borderId="0" xfId="0" applyFont="1" applyFill="1" applyAlignment="1">
      <alignment horizontal="left" vertical="top" wrapText="1"/>
    </xf>
    <xf numFmtId="0" fontId="48" fillId="29" borderId="0" xfId="0" applyFont="1" applyFill="1" applyAlignment="1">
      <alignment horizontal="left" vertical="top"/>
    </xf>
    <xf numFmtId="0" fontId="48" fillId="29" borderId="0" xfId="0" applyFont="1" applyFill="1"/>
    <xf numFmtId="0" fontId="49" fillId="30" borderId="63" xfId="0" applyFont="1" applyFill="1" applyBorder="1" applyAlignment="1">
      <alignment horizontal="center" vertical="center" wrapText="1"/>
    </xf>
    <xf numFmtId="0" fontId="50" fillId="31" borderId="4" xfId="0" applyFont="1" applyFill="1" applyBorder="1" applyAlignment="1">
      <alignment horizontal="center" vertical="center" wrapText="1"/>
    </xf>
    <xf numFmtId="0" fontId="50" fillId="31" borderId="4" xfId="0" applyFont="1" applyFill="1" applyBorder="1" applyAlignment="1">
      <alignment vertical="top" wrapText="1"/>
    </xf>
    <xf numFmtId="10" fontId="50" fillId="31" borderId="4" xfId="0" applyNumberFormat="1" applyFont="1" applyFill="1" applyBorder="1" applyAlignment="1">
      <alignment horizontal="center" vertical="center" wrapText="1"/>
    </xf>
    <xf numFmtId="0" fontId="50" fillId="31" borderId="4" xfId="0" applyFont="1" applyFill="1" applyBorder="1" applyAlignment="1">
      <alignment wrapText="1"/>
    </xf>
    <xf numFmtId="0" fontId="51" fillId="31" borderId="23" xfId="0" applyFont="1" applyFill="1" applyBorder="1"/>
    <xf numFmtId="0" fontId="51" fillId="31" borderId="23" xfId="0" applyFont="1" applyFill="1" applyBorder="1" applyAlignment="1">
      <alignment horizontal="center" vertical="center" wrapText="1"/>
    </xf>
    <xf numFmtId="10" fontId="51" fillId="31" borderId="23" xfId="0" applyNumberFormat="1" applyFont="1" applyFill="1" applyBorder="1" applyAlignment="1">
      <alignment horizontal="center" vertical="center" wrapText="1"/>
    </xf>
    <xf numFmtId="0" fontId="52" fillId="29" borderId="64" xfId="0" applyFont="1" applyFill="1" applyBorder="1" applyAlignment="1">
      <alignment horizontal="center" wrapText="1"/>
    </xf>
    <xf numFmtId="0" fontId="0" fillId="0" borderId="65" xfId="0" applyBorder="1"/>
    <xf numFmtId="0" fontId="0" fillId="0" borderId="66" xfId="0" applyBorder="1"/>
    <xf numFmtId="0" fontId="53" fillId="29" borderId="67" xfId="0" applyFont="1" applyFill="1" applyBorder="1" applyAlignment="1">
      <alignment horizontal="left" vertical="top" wrapText="1"/>
    </xf>
    <xf numFmtId="0" fontId="54" fillId="29" borderId="0" xfId="49" applyFill="1" applyAlignment="1">
      <alignment wrapText="1"/>
    </xf>
    <xf numFmtId="0" fontId="53" fillId="29" borderId="67" xfId="0" applyFont="1" applyFill="1" applyBorder="1" applyAlignment="1">
      <alignment wrapText="1"/>
    </xf>
    <xf numFmtId="0" fontId="53" fillId="29" borderId="0" xfId="0" applyFont="1" applyFill="1" applyAlignment="1">
      <alignment horizontal="center" wrapText="1"/>
    </xf>
    <xf numFmtId="0" fontId="54" fillId="29" borderId="0" xfId="49" applyFill="1" applyAlignment="1">
      <alignment vertical="top" wrapText="1"/>
    </xf>
    <xf numFmtId="0" fontId="53" fillId="29" borderId="67" xfId="0" applyFont="1" applyFill="1" applyBorder="1" applyAlignment="1">
      <alignment vertical="top" wrapText="1"/>
    </xf>
    <xf numFmtId="0" fontId="55" fillId="0" borderId="0" xfId="0" applyFont="1"/>
    <xf numFmtId="0" fontId="54" fillId="0" borderId="0" xfId="49"/>
    <xf numFmtId="0" fontId="54" fillId="0" borderId="0" xfId="49" applyAlignment="1">
      <alignment vertical="top" wrapText="1"/>
    </xf>
    <xf numFmtId="0" fontId="56" fillId="0" borderId="0" xfId="0" applyFont="1" applyAlignment="1">
      <alignment horizontal="center"/>
    </xf>
    <xf numFmtId="0" fontId="56" fillId="0" borderId="68" xfId="0" applyFont="1" applyBorder="1" applyAlignment="1">
      <alignment horizontal="center"/>
    </xf>
    <xf numFmtId="0" fontId="55" fillId="0" borderId="0" xfId="0" applyFont="1" applyAlignment="1">
      <alignment vertical="top" wrapText="1"/>
    </xf>
    <xf numFmtId="0" fontId="0" fillId="29" borderId="0" xfId="0" applyFill="1"/>
    <xf numFmtId="0" fontId="0" fillId="29" borderId="0" xfId="0" applyFill="1" applyAlignment="1">
      <alignment horizontal="center"/>
    </xf>
    <xf numFmtId="0" fontId="52" fillId="29" borderId="69" xfId="0" applyFont="1" applyFill="1" applyBorder="1" applyAlignment="1">
      <alignment horizontal="center" vertical="center"/>
    </xf>
    <xf numFmtId="0" fontId="0" fillId="0" borderId="70" xfId="0" applyBorder="1"/>
    <xf numFmtId="0" fontId="52" fillId="29" borderId="71" xfId="0" applyFont="1" applyFill="1" applyBorder="1" applyAlignment="1">
      <alignment horizontal="center" vertical="center"/>
    </xf>
    <xf numFmtId="0" fontId="52" fillId="29" borderId="72" xfId="0" applyFont="1" applyFill="1" applyBorder="1" applyAlignment="1">
      <alignment horizontal="center" vertical="center"/>
    </xf>
    <xf numFmtId="0" fontId="52" fillId="29" borderId="73" xfId="0" applyFont="1" applyFill="1" applyBorder="1" applyAlignment="1">
      <alignment horizontal="center" vertical="center"/>
    </xf>
    <xf numFmtId="0" fontId="52" fillId="29" borderId="72" xfId="0" applyFont="1" applyFill="1" applyBorder="1" applyAlignment="1">
      <alignment horizontal="center"/>
    </xf>
    <xf numFmtId="0" fontId="52" fillId="29" borderId="73" xfId="0" applyFont="1" applyFill="1" applyBorder="1" applyAlignment="1">
      <alignment horizontal="center"/>
    </xf>
    <xf numFmtId="0" fontId="52" fillId="29" borderId="74" xfId="0" applyFont="1" applyFill="1" applyBorder="1" applyAlignment="1">
      <alignment horizontal="center"/>
    </xf>
    <xf numFmtId="0" fontId="52" fillId="29" borderId="75" xfId="0" applyFont="1" applyFill="1" applyBorder="1" applyAlignment="1">
      <alignment horizontal="center"/>
    </xf>
    <xf numFmtId="0" fontId="57" fillId="29" borderId="75" xfId="0" applyFont="1" applyFill="1" applyBorder="1" applyAlignment="1">
      <alignment horizontal="center"/>
    </xf>
    <xf numFmtId="0" fontId="57" fillId="29" borderId="58" xfId="0" applyFont="1" applyFill="1" applyBorder="1" applyAlignment="1">
      <alignment horizontal="center"/>
    </xf>
    <xf numFmtId="0" fontId="57" fillId="29" borderId="73" xfId="0" applyFont="1" applyFill="1" applyBorder="1" applyAlignment="1">
      <alignment horizontal="center"/>
    </xf>
    <xf numFmtId="0" fontId="58" fillId="29" borderId="48" xfId="0" applyFont="1" applyFill="1" applyBorder="1" applyAlignment="1">
      <alignment horizontal="center"/>
    </xf>
    <xf numFmtId="0" fontId="0" fillId="0" borderId="76" xfId="0" applyBorder="1"/>
    <xf numFmtId="0" fontId="0" fillId="0" borderId="77" xfId="0" applyBorder="1"/>
    <xf numFmtId="0" fontId="0" fillId="0" borderId="78" xfId="0" applyBorder="1"/>
    <xf numFmtId="0" fontId="0" fillId="0" borderId="79" xfId="0" applyBorder="1"/>
    <xf numFmtId="0" fontId="0" fillId="0" borderId="75" xfId="0" applyBorder="1"/>
    <xf numFmtId="0" fontId="58" fillId="29" borderId="74" xfId="0" applyFont="1" applyFill="1" applyBorder="1" applyAlignment="1">
      <alignment horizontal="center"/>
    </xf>
    <xf numFmtId="0" fontId="58" fillId="29" borderId="75" xfId="0" applyFont="1" applyFill="1" applyBorder="1" applyAlignment="1">
      <alignment horizontal="center"/>
    </xf>
    <xf numFmtId="0" fontId="58" fillId="29" borderId="58" xfId="0" applyFont="1" applyFill="1" applyBorder="1" applyAlignment="1">
      <alignment horizontal="center"/>
    </xf>
    <xf numFmtId="0" fontId="58" fillId="29" borderId="73" xfId="0" applyFont="1" applyFill="1" applyBorder="1" applyAlignment="1">
      <alignment horizontal="center"/>
    </xf>
    <xf numFmtId="0" fontId="53" fillId="29" borderId="74" xfId="0" applyFont="1" applyFill="1" applyBorder="1" applyAlignment="1">
      <alignment horizontal="center"/>
    </xf>
    <xf numFmtId="0" fontId="53" fillId="29" borderId="75" xfId="0" applyFont="1" applyFill="1" applyBorder="1" applyAlignment="1">
      <alignment horizontal="center"/>
    </xf>
    <xf numFmtId="0" fontId="59" fillId="29" borderId="75" xfId="0" applyFont="1" applyFill="1" applyBorder="1" applyAlignment="1">
      <alignment horizontal="center"/>
    </xf>
    <xf numFmtId="0" fontId="59" fillId="29" borderId="58" xfId="0" applyFont="1" applyFill="1" applyBorder="1" applyAlignment="1">
      <alignment horizontal="center"/>
    </xf>
    <xf numFmtId="0" fontId="59" fillId="29" borderId="73" xfId="0" applyFont="1" applyFill="1" applyBorder="1" applyAlignment="1">
      <alignment horizontal="center"/>
    </xf>
    <xf numFmtId="0" fontId="53" fillId="29" borderId="0" xfId="0" applyFont="1" applyFill="1" applyAlignment="1">
      <alignment horizontal="center"/>
    </xf>
    <xf numFmtId="0" fontId="53" fillId="29" borderId="49" xfId="0" applyFont="1" applyFill="1" applyBorder="1" applyAlignment="1">
      <alignment horizontal="left" vertical="center"/>
    </xf>
    <xf numFmtId="0" fontId="53" fillId="29" borderId="48" xfId="0" applyFont="1" applyFill="1" applyBorder="1" applyAlignment="1">
      <alignment horizontal="left"/>
    </xf>
    <xf numFmtId="0" fontId="53" fillId="29" borderId="49" xfId="0" applyFont="1" applyFill="1" applyBorder="1" applyAlignment="1">
      <alignment horizontal="left"/>
    </xf>
    <xf numFmtId="0" fontId="53" fillId="29" borderId="40" xfId="0" applyFont="1" applyFill="1" applyBorder="1" applyAlignment="1">
      <alignment horizontal="left"/>
    </xf>
    <xf numFmtId="0" fontId="53" fillId="29" borderId="80" xfId="0" applyFont="1" applyFill="1" applyBorder="1" applyAlignment="1">
      <alignment horizontal="left"/>
    </xf>
    <xf numFmtId="0" fontId="59" fillId="29" borderId="0" xfId="0" applyFont="1" applyFill="1" applyAlignment="1">
      <alignment horizontal="center"/>
    </xf>
    <xf numFmtId="0" fontId="53" fillId="29" borderId="81" xfId="0" applyFont="1" applyFill="1" applyBorder="1" applyAlignment="1">
      <alignment horizontal="left"/>
    </xf>
    <xf numFmtId="0" fontId="53" fillId="29" borderId="41" xfId="0" applyFont="1" applyFill="1" applyBorder="1" applyAlignment="1">
      <alignment horizontal="left" wrapText="1"/>
    </xf>
    <xf numFmtId="0" fontId="0" fillId="0" borderId="80" xfId="0" applyBorder="1"/>
    <xf numFmtId="0" fontId="53" fillId="29" borderId="58" xfId="0" applyFont="1" applyFill="1" applyBorder="1" applyAlignment="1">
      <alignment horizontal="center"/>
    </xf>
    <xf numFmtId="0" fontId="53" fillId="29" borderId="75" xfId="0" applyFont="1" applyFill="1" applyBorder="1"/>
    <xf numFmtId="0" fontId="53" fillId="29" borderId="79" xfId="0" applyFont="1" applyFill="1" applyBorder="1" applyAlignment="1">
      <alignment horizontal="center"/>
    </xf>
    <xf numFmtId="0" fontId="53" fillId="29" borderId="0" xfId="0" applyFont="1" applyFill="1"/>
    <xf numFmtId="0" fontId="53" fillId="29" borderId="82" xfId="0" applyFont="1" applyFill="1" applyBorder="1" applyAlignment="1">
      <alignment horizontal="center"/>
    </xf>
    <xf numFmtId="0" fontId="53" fillId="29" borderId="0" xfId="0" applyFont="1" applyFill="1" applyAlignment="1">
      <alignment horizontal="left" vertical="center" wrapText="1"/>
    </xf>
    <xf numFmtId="0" fontId="53" fillId="29" borderId="0" xfId="0" applyFont="1" applyFill="1" applyAlignment="1">
      <alignment horizontal="center" vertical="center" wrapText="1"/>
    </xf>
    <xf numFmtId="0" fontId="53" fillId="29" borderId="83" xfId="0" applyFont="1" applyFill="1" applyBorder="1" applyAlignment="1">
      <alignment horizontal="center"/>
    </xf>
    <xf numFmtId="0" fontId="0" fillId="0" borderId="84" xfId="0" applyBorder="1"/>
    <xf numFmtId="0" fontId="53" fillId="29" borderId="84" xfId="0" applyFont="1" applyFill="1" applyBorder="1" applyAlignment="1">
      <alignment horizontal="center" vertical="center"/>
    </xf>
    <xf numFmtId="0" fontId="0" fillId="0" borderId="85" xfId="0" applyBorder="1"/>
    <xf numFmtId="0" fontId="59" fillId="29" borderId="83" xfId="0" applyFont="1" applyFill="1" applyBorder="1" applyAlignment="1">
      <alignment horizontal="center"/>
    </xf>
    <xf numFmtId="0" fontId="60" fillId="29" borderId="86" xfId="0" applyFont="1" applyFill="1" applyBorder="1" applyAlignment="1">
      <alignment horizontal="left" vertical="center"/>
    </xf>
    <xf numFmtId="0" fontId="0" fillId="0" borderId="87" xfId="0" applyBorder="1"/>
    <xf numFmtId="0" fontId="59" fillId="29" borderId="86" xfId="0" applyFont="1" applyFill="1" applyBorder="1" applyAlignment="1">
      <alignment horizontal="center" vertical="center"/>
    </xf>
    <xf numFmtId="0" fontId="61" fillId="29" borderId="83" xfId="0" applyFont="1" applyFill="1" applyBorder="1" applyAlignment="1">
      <alignment horizontal="left" vertical="top" wrapText="1"/>
    </xf>
    <xf numFmtId="0" fontId="59" fillId="29" borderId="83" xfId="0" applyFont="1" applyFill="1" applyBorder="1" applyAlignment="1">
      <alignment horizontal="left" vertical="center"/>
    </xf>
    <xf numFmtId="0" fontId="59" fillId="29" borderId="83" xfId="0" applyFont="1" applyFill="1" applyBorder="1" applyAlignment="1">
      <alignment horizontal="center" vertical="center"/>
    </xf>
    <xf numFmtId="0" fontId="59" fillId="29" borderId="83" xfId="0" applyFont="1" applyFill="1" applyBorder="1" applyAlignment="1">
      <alignment horizontal="left" wrapText="1"/>
    </xf>
    <xf numFmtId="9" fontId="59" fillId="29" borderId="83" xfId="0" applyNumberFormat="1" applyFont="1" applyFill="1" applyBorder="1" applyAlignment="1">
      <alignment horizontal="center" vertical="center"/>
    </xf>
    <xf numFmtId="9" fontId="59" fillId="29" borderId="73" xfId="0" applyNumberFormat="1" applyFont="1" applyFill="1" applyBorder="1" applyAlignment="1">
      <alignment horizontal="center"/>
    </xf>
    <xf numFmtId="0" fontId="59" fillId="29" borderId="83" xfId="0" applyFont="1" applyFill="1" applyBorder="1" applyAlignment="1">
      <alignment horizontal="center" vertical="center" wrapText="1"/>
    </xf>
    <xf numFmtId="0" fontId="59" fillId="29" borderId="83" xfId="0" applyFont="1" applyFill="1" applyBorder="1" applyAlignment="1">
      <alignment horizontal="left" vertical="center" wrapText="1"/>
    </xf>
    <xf numFmtId="0" fontId="62" fillId="29" borderId="83" xfId="0" applyFont="1" applyFill="1" applyBorder="1" applyAlignment="1">
      <alignment horizontal="left" wrapText="1"/>
    </xf>
    <xf numFmtId="0" fontId="63" fillId="29" borderId="82" xfId="0" applyFont="1" applyFill="1" applyBorder="1" applyAlignment="1">
      <alignment horizontal="center"/>
    </xf>
    <xf numFmtId="0" fontId="59" fillId="29" borderId="74" xfId="0" applyFont="1" applyFill="1" applyBorder="1" applyAlignment="1">
      <alignment horizontal="center"/>
    </xf>
    <xf numFmtId="0" fontId="63" fillId="29" borderId="41" xfId="0" applyFont="1" applyFill="1" applyBorder="1"/>
    <xf numFmtId="0" fontId="63" fillId="29" borderId="41" xfId="0" applyFont="1" applyFill="1" applyBorder="1" applyAlignment="1">
      <alignment horizontal="center"/>
    </xf>
    <xf numFmtId="0" fontId="63" fillId="29" borderId="77" xfId="0" applyFont="1" applyFill="1" applyBorder="1" applyAlignment="1">
      <alignment horizontal="center"/>
    </xf>
    <xf numFmtId="0" fontId="59" fillId="29" borderId="88" xfId="0" applyFont="1" applyFill="1" applyBorder="1" applyAlignment="1">
      <alignment horizontal="center"/>
    </xf>
    <xf numFmtId="0" fontId="59" fillId="29" borderId="89" xfId="0" applyFont="1" applyFill="1" applyBorder="1" applyAlignment="1">
      <alignment horizontal="center"/>
    </xf>
    <xf numFmtId="0" fontId="59" fillId="29" borderId="90" xfId="0" applyFont="1" applyFill="1" applyBorder="1" applyAlignment="1">
      <alignment horizontal="center"/>
    </xf>
    <xf numFmtId="0" fontId="59" fillId="29" borderId="91" xfId="0" applyFont="1" applyFill="1" applyBorder="1" applyAlignment="1">
      <alignment horizontal="center"/>
    </xf>
    <xf numFmtId="0" fontId="53" fillId="29" borderId="67" xfId="0" applyFont="1" applyFill="1" applyBorder="1" applyAlignment="1" quotePrefix="1">
      <alignment wrapText="1"/>
    </xf>
    <xf numFmtId="0" fontId="53" fillId="29" borderId="67" xfId="0" applyFont="1" applyFill="1" applyBorder="1" applyAlignment="1" quotePrefix="1">
      <alignment vertical="top" wrapText="1"/>
    </xf>
    <xf numFmtId="0" fontId="48" fillId="29" borderId="0" xfId="0" applyFont="1" applyFill="1" applyAlignment="1" quotePrefix="1">
      <alignment horizontal="right"/>
    </xf>
    <xf numFmtId="0" fontId="34" fillId="7" borderId="4" xfId="0" applyFont="1" applyFill="1" applyBorder="1" applyAlignment="1" quotePrefix="1">
      <alignment vertical="top"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Hyperlink" xfId="49"/>
  </cellStyles>
  <dxfs count="3">
    <dxf>
      <font>
        <b val="1"/>
        <color rgb="FF006100"/>
      </font>
      <fill>
        <patternFill patternType="solid">
          <fgColor rgb="FFC6EFCE"/>
        </patternFill>
      </fill>
    </dxf>
    <dxf>
      <font>
        <b val="1"/>
        <color rgb="FF9C0006"/>
      </font>
      <fill>
        <patternFill patternType="solid">
          <fgColor rgb="FFFFC7CE"/>
        </patternFill>
      </fill>
    </dxf>
    <dxf>
      <font>
        <b val="1"/>
        <color rgb="FF9C5700"/>
      </font>
      <fill>
        <patternFill patternType="solid">
          <fgColor rgb="FFFFEB9C"/>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2" Type="http://schemas.openxmlformats.org/officeDocument/2006/relationships/styles" Target="styles.xml"/><Relationship Id="rId91" Type="http://schemas.openxmlformats.org/officeDocument/2006/relationships/sharedStrings" Target="sharedStrings.xml"/><Relationship Id="rId90" Type="http://schemas.openxmlformats.org/officeDocument/2006/relationships/theme" Target="theme/theme1.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542925</xdr:colOff>
      <xdr:row>4</xdr:row>
      <xdr:rowOff>133350</xdr:rowOff>
    </xdr:from>
    <xdr:to>
      <xdr:col>6</xdr:col>
      <xdr:colOff>209550</xdr:colOff>
      <xdr:row>9</xdr:row>
      <xdr:rowOff>38100</xdr:rowOff>
    </xdr:to>
    <xdr:pic>
      <xdr:nvPicPr>
        <xdr:cNvPr id="2" name="Ảnh 1"/>
        <xdr:cNvPicPr>
          <a:picLocks noChangeAspect="1"/>
        </xdr:cNvPicPr>
      </xdr:nvPicPr>
      <xdr:blipFill>
        <a:blip r:embed="rId1"/>
        <a:stretch>
          <a:fillRect/>
        </a:stretch>
      </xdr:blipFill>
      <xdr:spPr>
        <a:xfrm>
          <a:off x="2943225" y="1076325"/>
          <a:ext cx="2171700" cy="108585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
  <sheetViews>
    <sheetView topLeftCell="A11" workbookViewId="0">
      <selection activeCell="K17" sqref="K17"/>
    </sheetView>
  </sheetViews>
  <sheetFormatPr defaultColWidth="9" defaultRowHeight="15"/>
  <cols>
    <col min="1" max="1" width="9.14285714285714" style="235" customWidth="1"/>
    <col min="2" max="2" width="16.7142857142857" style="235" customWidth="1"/>
    <col min="3" max="3" width="10.1428571428571" style="235" customWidth="1"/>
    <col min="4" max="4" width="18.4285714285714" style="236" customWidth="1"/>
    <col min="5" max="5" width="6.28571428571429" style="235" customWidth="1"/>
    <col min="6" max="6" width="12.8571428571429" style="235" customWidth="1"/>
    <col min="7" max="9" width="9.14285714285714" style="235" customWidth="1"/>
    <col min="10" max="10" width="11.1428571428571" style="235" customWidth="1"/>
    <col min="11" max="11" width="15.5714285714286" style="235" customWidth="1"/>
    <col min="12" max="12" width="4.14285714285714" style="235" customWidth="1"/>
    <col min="13" max="16384" width="9.14285714285714" style="235" customWidth="1"/>
  </cols>
  <sheetData>
    <row r="1" ht="15.75"/>
    <row r="2" ht="19.5" customHeight="1" spans="1:12">
      <c r="A2" s="237"/>
      <c r="B2" s="238"/>
      <c r="C2" s="238"/>
      <c r="D2" s="238"/>
      <c r="E2" s="238"/>
      <c r="F2" s="238"/>
      <c r="G2" s="238"/>
      <c r="H2" s="238"/>
      <c r="I2" s="238"/>
      <c r="J2" s="238"/>
      <c r="K2" s="238"/>
      <c r="L2" s="239"/>
    </row>
    <row r="3" ht="19.5" customHeight="1" spans="1:12">
      <c r="A3" s="240" t="s">
        <v>0</v>
      </c>
      <c r="B3" s="147"/>
      <c r="C3" s="147"/>
      <c r="D3" s="147"/>
      <c r="E3" s="147"/>
      <c r="F3" s="147"/>
      <c r="G3" s="147"/>
      <c r="H3" s="147"/>
      <c r="I3" s="147"/>
      <c r="J3" s="147"/>
      <c r="K3" s="147"/>
      <c r="L3" s="241"/>
    </row>
    <row r="4" ht="19.5" customHeight="1" spans="1:12">
      <c r="A4" s="242" t="s">
        <v>1</v>
      </c>
      <c r="B4" s="147"/>
      <c r="C4" s="147"/>
      <c r="D4" s="147"/>
      <c r="E4" s="147"/>
      <c r="F4" s="147"/>
      <c r="G4" s="147"/>
      <c r="H4" s="147"/>
      <c r="I4" s="147"/>
      <c r="J4" s="147"/>
      <c r="K4" s="147"/>
      <c r="L4" s="243"/>
    </row>
    <row r="5" ht="19.5" customHeight="1" spans="1:12">
      <c r="A5" s="244" t="s">
        <v>2</v>
      </c>
      <c r="B5" s="245"/>
      <c r="C5" s="246" t="s">
        <v>2</v>
      </c>
      <c r="D5" s="246" t="s">
        <v>2</v>
      </c>
      <c r="E5" s="246" t="s">
        <v>2</v>
      </c>
      <c r="F5" s="246" t="s">
        <v>2</v>
      </c>
      <c r="G5" s="247"/>
      <c r="H5" s="247"/>
      <c r="I5" s="247"/>
      <c r="J5" s="247"/>
      <c r="K5" s="247" t="s">
        <v>2</v>
      </c>
      <c r="L5" s="248"/>
    </row>
    <row r="6" customHeight="1" spans="1:12">
      <c r="A6" s="244" t="s">
        <v>2</v>
      </c>
      <c r="B6" s="245"/>
      <c r="C6" s="249" t="s">
        <v>2</v>
      </c>
      <c r="D6" s="250"/>
      <c r="E6" s="246" t="s">
        <v>2</v>
      </c>
      <c r="F6" s="246" t="s">
        <v>2</v>
      </c>
      <c r="G6" s="247"/>
      <c r="H6" s="247"/>
      <c r="I6" s="247"/>
      <c r="J6" s="247"/>
      <c r="K6" s="247" t="s">
        <v>2</v>
      </c>
      <c r="L6" s="248"/>
    </row>
    <row r="7" ht="19.5" customHeight="1" spans="1:12">
      <c r="A7" s="244" t="s">
        <v>2</v>
      </c>
      <c r="B7" s="245"/>
      <c r="C7" s="251"/>
      <c r="D7" s="252"/>
      <c r="E7" s="246" t="s">
        <v>2</v>
      </c>
      <c r="F7" s="246" t="s">
        <v>2</v>
      </c>
      <c r="G7" s="247"/>
      <c r="H7" s="247"/>
      <c r="I7" s="247"/>
      <c r="J7" s="247"/>
      <c r="K7" s="247" t="s">
        <v>2</v>
      </c>
      <c r="L7" s="248"/>
    </row>
    <row r="8" ht="19.5" customHeight="1" spans="1:12">
      <c r="A8" s="244" t="s">
        <v>2</v>
      </c>
      <c r="B8" s="245"/>
      <c r="C8" s="251"/>
      <c r="D8" s="252"/>
      <c r="E8" s="246" t="s">
        <v>2</v>
      </c>
      <c r="F8" s="246" t="s">
        <v>2</v>
      </c>
      <c r="G8" s="247"/>
      <c r="H8" s="247"/>
      <c r="I8" s="247"/>
      <c r="J8" s="247"/>
      <c r="K8" s="247" t="s">
        <v>2</v>
      </c>
      <c r="L8" s="248"/>
    </row>
    <row r="9" ht="19.5" customHeight="1" spans="1:12">
      <c r="A9" s="244" t="s">
        <v>2</v>
      </c>
      <c r="B9" s="245"/>
      <c r="C9" s="253"/>
      <c r="D9" s="254"/>
      <c r="E9" s="246" t="s">
        <v>2</v>
      </c>
      <c r="F9" s="246" t="s">
        <v>2</v>
      </c>
      <c r="G9" s="247"/>
      <c r="H9" s="247"/>
      <c r="I9" s="247"/>
      <c r="J9" s="247"/>
      <c r="K9" s="247" t="s">
        <v>2</v>
      </c>
      <c r="L9" s="248"/>
    </row>
    <row r="10" ht="18.75" customHeight="1" spans="1:12">
      <c r="A10" s="255" t="s">
        <v>2</v>
      </c>
      <c r="B10" s="256"/>
      <c r="C10" s="256" t="s">
        <v>2</v>
      </c>
      <c r="D10" s="256" t="s">
        <v>2</v>
      </c>
      <c r="E10" s="256" t="s">
        <v>2</v>
      </c>
      <c r="F10" s="256" t="s">
        <v>2</v>
      </c>
      <c r="G10" s="257"/>
      <c r="H10" s="257"/>
      <c r="I10" s="257"/>
      <c r="J10" s="257"/>
      <c r="K10" s="257" t="s">
        <v>2</v>
      </c>
      <c r="L10" s="258"/>
    </row>
    <row r="11" ht="19.5" customHeight="1" spans="1:12">
      <c r="A11" s="242" t="s">
        <v>3</v>
      </c>
      <c r="B11" s="147"/>
      <c r="C11" s="147"/>
      <c r="D11" s="147"/>
      <c r="E11" s="147"/>
      <c r="F11" s="147"/>
      <c r="G11" s="147"/>
      <c r="H11" s="147"/>
      <c r="I11" s="147"/>
      <c r="J11" s="147"/>
      <c r="K11" s="147"/>
      <c r="L11" s="243"/>
    </row>
    <row r="12" ht="19.5" customHeight="1" spans="1:12">
      <c r="A12" s="242" t="s">
        <v>4</v>
      </c>
      <c r="B12" s="147"/>
      <c r="C12" s="147"/>
      <c r="D12" s="147"/>
      <c r="E12" s="147"/>
      <c r="F12" s="147"/>
      <c r="G12" s="147"/>
      <c r="H12" s="147"/>
      <c r="I12" s="147"/>
      <c r="J12" s="147"/>
      <c r="K12" s="147"/>
      <c r="L12" s="243"/>
    </row>
    <row r="13" ht="19.5" customHeight="1" spans="1:12">
      <c r="A13" s="242" t="s">
        <v>5</v>
      </c>
      <c r="B13" s="147"/>
      <c r="C13" s="147"/>
      <c r="D13" s="147"/>
      <c r="E13" s="147"/>
      <c r="F13" s="147"/>
      <c r="G13" s="147"/>
      <c r="H13" s="147"/>
      <c r="I13" s="147"/>
      <c r="J13" s="147"/>
      <c r="K13" s="147"/>
      <c r="L13" s="243"/>
    </row>
    <row r="14" ht="18.75" customHeight="1" spans="1:12">
      <c r="A14" s="259" t="s">
        <v>2</v>
      </c>
      <c r="B14" s="260"/>
      <c r="C14" s="261" t="s">
        <v>2</v>
      </c>
      <c r="D14" s="261" t="s">
        <v>2</v>
      </c>
      <c r="E14" s="261" t="s">
        <v>2</v>
      </c>
      <c r="F14" s="261" t="s">
        <v>2</v>
      </c>
      <c r="G14" s="262"/>
      <c r="H14" s="262"/>
      <c r="I14" s="262"/>
      <c r="J14" s="262"/>
      <c r="K14" s="262" t="s">
        <v>2</v>
      </c>
      <c r="L14" s="263"/>
    </row>
    <row r="15" ht="27" customHeight="1" spans="1:12">
      <c r="A15" s="259" t="s">
        <v>2</v>
      </c>
      <c r="B15" s="264"/>
      <c r="C15" s="265" t="s">
        <v>6</v>
      </c>
      <c r="D15" s="166"/>
      <c r="E15" s="266" t="s">
        <v>7</v>
      </c>
      <c r="F15" s="147"/>
      <c r="G15" s="166"/>
      <c r="H15" s="262"/>
      <c r="I15" s="262"/>
      <c r="J15" s="262"/>
      <c r="K15" s="262" t="s">
        <v>2</v>
      </c>
      <c r="L15" s="263"/>
    </row>
    <row r="16" ht="20.25" customHeight="1" spans="1:12">
      <c r="A16" s="259" t="s">
        <v>2</v>
      </c>
      <c r="B16" s="264"/>
      <c r="C16" s="267" t="s">
        <v>8</v>
      </c>
      <c r="D16" s="166"/>
      <c r="E16" s="268" t="s">
        <v>7</v>
      </c>
      <c r="F16" s="147"/>
      <c r="G16" s="147"/>
      <c r="H16" s="147"/>
      <c r="I16" s="147"/>
      <c r="J16" s="262"/>
      <c r="K16" s="262" t="s">
        <v>2</v>
      </c>
      <c r="L16" s="263"/>
    </row>
    <row r="17" ht="20.25" customHeight="1" spans="1:12">
      <c r="A17" s="259"/>
      <c r="B17" s="264"/>
      <c r="C17" s="267" t="s">
        <v>9</v>
      </c>
      <c r="D17" s="166"/>
      <c r="E17" s="269" t="s">
        <v>7</v>
      </c>
      <c r="F17" s="269"/>
      <c r="G17" s="269"/>
      <c r="H17" s="269"/>
      <c r="I17" s="269"/>
      <c r="J17" s="270"/>
      <c r="K17" s="262"/>
      <c r="L17" s="263"/>
    </row>
    <row r="18" ht="18.75" customHeight="1" spans="1:12">
      <c r="A18" s="259" t="s">
        <v>2</v>
      </c>
      <c r="B18" s="264"/>
      <c r="C18" s="271" t="s">
        <v>10</v>
      </c>
      <c r="D18" s="250"/>
      <c r="E18" s="272" t="s">
        <v>11</v>
      </c>
      <c r="F18" s="273"/>
      <c r="G18" s="273"/>
      <c r="H18" s="273"/>
      <c r="I18" s="273"/>
      <c r="J18" s="264"/>
      <c r="K18" s="262" t="s">
        <v>2</v>
      </c>
      <c r="L18" s="263"/>
    </row>
    <row r="19" ht="18.75" customHeight="1" spans="1:12">
      <c r="A19" s="259" t="s">
        <v>2</v>
      </c>
      <c r="B19" s="274"/>
      <c r="C19" s="275"/>
      <c r="D19" s="276"/>
      <c r="J19" s="274"/>
      <c r="K19" s="262" t="s">
        <v>2</v>
      </c>
      <c r="L19" s="263"/>
    </row>
    <row r="20" ht="18.75" customHeight="1" spans="1:12">
      <c r="A20" s="259"/>
      <c r="B20" s="264"/>
      <c r="C20" s="277"/>
      <c r="D20" s="264"/>
      <c r="E20" s="194"/>
      <c r="F20" s="194"/>
      <c r="G20" s="194"/>
      <c r="H20" s="194"/>
      <c r="I20" s="194"/>
      <c r="J20" s="274"/>
      <c r="K20" s="262"/>
      <c r="L20" s="263"/>
    </row>
    <row r="21" ht="19.5" customHeight="1" spans="1:12">
      <c r="A21" s="278"/>
      <c r="B21" s="264"/>
      <c r="C21" s="279" t="s">
        <v>12</v>
      </c>
      <c r="E21" s="270"/>
      <c r="F21" s="270"/>
      <c r="G21" s="270"/>
      <c r="H21" s="270"/>
      <c r="I21" s="270"/>
      <c r="J21" s="270"/>
      <c r="L21" s="263"/>
    </row>
    <row r="22" ht="19.5" customHeight="1" spans="1:12">
      <c r="A22" s="278"/>
      <c r="B22" s="264"/>
      <c r="C22" s="279"/>
      <c r="D22" s="280"/>
      <c r="E22" s="270"/>
      <c r="F22" s="270"/>
      <c r="G22" s="270"/>
      <c r="H22" s="270"/>
      <c r="I22" s="270"/>
      <c r="J22" s="270"/>
      <c r="L22" s="263"/>
    </row>
    <row r="23" ht="24.75" customHeight="1" spans="1:12">
      <c r="A23" s="278"/>
      <c r="B23" s="281" t="s">
        <v>13</v>
      </c>
      <c r="C23" s="282"/>
      <c r="D23" s="283" t="s">
        <v>14</v>
      </c>
      <c r="E23" s="282"/>
      <c r="F23" s="281" t="s">
        <v>15</v>
      </c>
      <c r="G23" s="284"/>
      <c r="H23" s="284"/>
      <c r="I23" s="284"/>
      <c r="J23" s="282"/>
      <c r="K23" s="285" t="s">
        <v>16</v>
      </c>
      <c r="L23" s="263"/>
    </row>
    <row r="24" ht="57.75" customHeight="1" spans="1:12">
      <c r="A24" s="278" t="s">
        <v>2</v>
      </c>
      <c r="B24" s="286" t="s">
        <v>7</v>
      </c>
      <c r="C24" s="287"/>
      <c r="D24" s="288" t="s">
        <v>7</v>
      </c>
      <c r="E24" s="287"/>
      <c r="F24" s="289" t="s">
        <v>17</v>
      </c>
      <c r="G24" s="284"/>
      <c r="H24" s="284"/>
      <c r="I24" s="284"/>
      <c r="J24" s="282"/>
      <c r="K24" s="288" t="s">
        <v>7</v>
      </c>
      <c r="L24" s="263"/>
    </row>
    <row r="25" ht="51.75" customHeight="1" spans="1:12">
      <c r="A25" s="278" t="s">
        <v>2</v>
      </c>
      <c r="B25" s="290" t="s">
        <v>7</v>
      </c>
      <c r="C25" s="282"/>
      <c r="D25" s="291" t="s">
        <v>7</v>
      </c>
      <c r="E25" s="282"/>
      <c r="F25" s="292" t="s">
        <v>18</v>
      </c>
      <c r="G25" s="284"/>
      <c r="H25" s="284"/>
      <c r="I25" s="284"/>
      <c r="J25" s="282"/>
      <c r="K25" s="293" t="s">
        <v>7</v>
      </c>
      <c r="L25" s="294"/>
    </row>
    <row r="26" ht="56.25" customHeight="1" spans="1:12">
      <c r="A26" s="278" t="s">
        <v>2</v>
      </c>
      <c r="B26" s="290" t="s">
        <v>7</v>
      </c>
      <c r="C26" s="282"/>
      <c r="D26" s="295" t="s">
        <v>7</v>
      </c>
      <c r="E26" s="282"/>
      <c r="F26" s="292" t="s">
        <v>19</v>
      </c>
      <c r="G26" s="284"/>
      <c r="H26" s="284"/>
      <c r="I26" s="284"/>
      <c r="J26" s="282"/>
      <c r="K26" s="293" t="s">
        <v>7</v>
      </c>
      <c r="L26" s="294"/>
    </row>
    <row r="27" ht="56.25" customHeight="1" spans="1:12">
      <c r="A27" s="278" t="s">
        <v>2</v>
      </c>
      <c r="B27" s="296" t="s">
        <v>7</v>
      </c>
      <c r="C27" s="282"/>
      <c r="D27" s="291" t="s">
        <v>7</v>
      </c>
      <c r="E27" s="282"/>
      <c r="F27" s="297" t="s">
        <v>20</v>
      </c>
      <c r="G27" s="284"/>
      <c r="H27" s="284"/>
      <c r="I27" s="284"/>
      <c r="J27" s="282"/>
      <c r="K27" s="293" t="s">
        <v>7</v>
      </c>
      <c r="L27" s="294"/>
    </row>
    <row r="28" ht="53.25" customHeight="1" spans="1:12">
      <c r="A28" s="298" t="s">
        <v>2</v>
      </c>
      <c r="B28" s="296" t="s">
        <v>7</v>
      </c>
      <c r="C28" s="282"/>
      <c r="D28" s="291" t="s">
        <v>7</v>
      </c>
      <c r="E28" s="282"/>
      <c r="F28" s="292" t="s">
        <v>21</v>
      </c>
      <c r="G28" s="284"/>
      <c r="H28" s="284"/>
      <c r="I28" s="284"/>
      <c r="J28" s="282"/>
      <c r="K28" s="293" t="s">
        <v>7</v>
      </c>
      <c r="L28" s="294"/>
    </row>
    <row r="29" ht="18.75" customHeight="1" spans="1:12">
      <c r="A29" s="299" t="s">
        <v>2</v>
      </c>
      <c r="B29" s="261"/>
      <c r="C29" s="261" t="s">
        <v>2</v>
      </c>
      <c r="D29" s="261" t="s">
        <v>2</v>
      </c>
      <c r="E29" s="261" t="s">
        <v>2</v>
      </c>
      <c r="F29" s="261" t="s">
        <v>2</v>
      </c>
      <c r="G29" s="262"/>
      <c r="H29" s="262"/>
      <c r="I29" s="262"/>
      <c r="J29" s="262"/>
      <c r="K29" s="262" t="s">
        <v>2</v>
      </c>
      <c r="L29" s="263"/>
    </row>
    <row r="30" ht="18.75" customHeight="1" spans="1:12">
      <c r="A30" s="299" t="s">
        <v>2</v>
      </c>
      <c r="B30" s="261"/>
      <c r="C30" s="261" t="s">
        <v>2</v>
      </c>
      <c r="D30" s="261" t="s">
        <v>2</v>
      </c>
      <c r="E30" s="261" t="s">
        <v>2</v>
      </c>
      <c r="F30" s="261" t="s">
        <v>2</v>
      </c>
      <c r="G30" s="262"/>
      <c r="H30" s="262"/>
      <c r="I30" s="262"/>
      <c r="J30" s="262"/>
      <c r="K30" s="262" t="s">
        <v>2</v>
      </c>
      <c r="L30" s="263"/>
    </row>
    <row r="31" ht="18.75" customHeight="1" spans="1:12">
      <c r="A31" s="299" t="s">
        <v>2</v>
      </c>
      <c r="B31" s="261"/>
      <c r="C31" s="261" t="s">
        <v>2</v>
      </c>
      <c r="D31" s="261" t="s">
        <v>2</v>
      </c>
      <c r="E31" s="261" t="s">
        <v>2</v>
      </c>
      <c r="F31" s="261" t="s">
        <v>2</v>
      </c>
      <c r="G31" s="262"/>
      <c r="H31" s="262"/>
      <c r="I31" s="262"/>
      <c r="J31" s="262"/>
      <c r="K31" s="262" t="s">
        <v>2</v>
      </c>
      <c r="L31" s="263"/>
    </row>
    <row r="32" ht="18.75" customHeight="1" spans="1:12">
      <c r="A32" s="299" t="s">
        <v>2</v>
      </c>
      <c r="B32" s="261"/>
      <c r="C32" s="261" t="s">
        <v>2</v>
      </c>
      <c r="D32" s="261" t="s">
        <v>2</v>
      </c>
      <c r="E32" s="261" t="s">
        <v>2</v>
      </c>
      <c r="F32" s="261" t="s">
        <v>2</v>
      </c>
      <c r="G32" s="262"/>
      <c r="H32" s="262"/>
      <c r="I32" s="262"/>
      <c r="J32" s="262"/>
      <c r="K32" s="262" t="s">
        <v>2</v>
      </c>
      <c r="L32" s="263"/>
    </row>
    <row r="33" ht="18.75" customHeight="1" spans="1:12">
      <c r="A33" s="299" t="s">
        <v>2</v>
      </c>
      <c r="B33" s="261"/>
      <c r="C33" s="261" t="s">
        <v>2</v>
      </c>
      <c r="D33" s="261" t="s">
        <v>2</v>
      </c>
      <c r="E33" s="261" t="s">
        <v>2</v>
      </c>
      <c r="F33" s="261" t="s">
        <v>2</v>
      </c>
      <c r="G33" s="262"/>
      <c r="H33" s="262"/>
      <c r="I33" s="262"/>
      <c r="J33" s="262"/>
      <c r="K33" s="262" t="s">
        <v>2</v>
      </c>
      <c r="L33" s="263"/>
    </row>
    <row r="34" customHeight="1" spans="1:12">
      <c r="A34" s="299" t="s">
        <v>2</v>
      </c>
      <c r="B34" s="270"/>
      <c r="C34" s="300"/>
      <c r="D34" s="301"/>
      <c r="E34" s="300"/>
      <c r="F34" s="300"/>
      <c r="G34" s="300"/>
      <c r="H34" s="300"/>
      <c r="I34" s="300"/>
      <c r="J34" s="262"/>
      <c r="K34" s="262" t="s">
        <v>2</v>
      </c>
      <c r="L34" s="263"/>
    </row>
    <row r="35" ht="19.5" customHeight="1" spans="1:12">
      <c r="A35" s="299" t="s">
        <v>2</v>
      </c>
      <c r="B35" s="302" t="s">
        <v>22</v>
      </c>
      <c r="K35" s="262" t="s">
        <v>2</v>
      </c>
      <c r="L35" s="263"/>
    </row>
    <row r="36" ht="18.75" customHeight="1" spans="1:12">
      <c r="A36" s="303" t="s">
        <v>2</v>
      </c>
      <c r="B36" s="304"/>
      <c r="C36" s="304" t="s">
        <v>2</v>
      </c>
      <c r="D36" s="304" t="s">
        <v>2</v>
      </c>
      <c r="E36" s="304" t="s">
        <v>2</v>
      </c>
      <c r="F36" s="304" t="s">
        <v>2</v>
      </c>
      <c r="G36" s="305"/>
      <c r="H36" s="305"/>
      <c r="I36" s="305"/>
      <c r="J36" s="305"/>
      <c r="K36" s="305" t="s">
        <v>2</v>
      </c>
      <c r="L36" s="306"/>
    </row>
  </sheetData>
  <mergeCells count="34">
    <mergeCell ref="A2:K2"/>
    <mergeCell ref="A3:K3"/>
    <mergeCell ref="A4:K4"/>
    <mergeCell ref="A11:K11"/>
    <mergeCell ref="A12:K12"/>
    <mergeCell ref="A13:K13"/>
    <mergeCell ref="C15:D15"/>
    <mergeCell ref="E15:G15"/>
    <mergeCell ref="C16:D16"/>
    <mergeCell ref="E16:I16"/>
    <mergeCell ref="C17:D17"/>
    <mergeCell ref="C18:D18"/>
    <mergeCell ref="C21:D21"/>
    <mergeCell ref="B23:C23"/>
    <mergeCell ref="D23:E23"/>
    <mergeCell ref="F23:J23"/>
    <mergeCell ref="B24:C24"/>
    <mergeCell ref="D24:E24"/>
    <mergeCell ref="F24:J24"/>
    <mergeCell ref="B25:C25"/>
    <mergeCell ref="D25:E25"/>
    <mergeCell ref="F25:J25"/>
    <mergeCell ref="B26:C26"/>
    <mergeCell ref="D26:E26"/>
    <mergeCell ref="F26:J26"/>
    <mergeCell ref="B27:C27"/>
    <mergeCell ref="D27:E27"/>
    <mergeCell ref="F27:J27"/>
    <mergeCell ref="B28:C28"/>
    <mergeCell ref="D28:E28"/>
    <mergeCell ref="F28:J28"/>
    <mergeCell ref="B35:J35"/>
    <mergeCell ref="E18:I20"/>
    <mergeCell ref="C6:D9"/>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
  <sheetViews>
    <sheetView workbookViewId="0">
      <selection activeCell="A1" sqref="A1"/>
    </sheetView>
  </sheetViews>
  <sheetFormatPr defaultColWidth="9" defaultRowHeight="15" outlineLevelCol="5"/>
  <cols>
    <col min="1" max="1" width="38.5714285714286" customWidth="1"/>
    <col min="2" max="2" width="23.7142857142857" customWidth="1"/>
    <col min="3" max="3" width="45.4285714285714" customWidth="1"/>
    <col min="4" max="4" width="9.14285714285714" customWidth="1"/>
    <col min="6" max="6" width="19.5714285714286" customWidth="1"/>
    <col min="7" max="7" width="9.14285714285714" customWidth="1"/>
  </cols>
  <sheetData>
    <row r="1" ht="16.5" spans="1:3">
      <c r="A1" s="229" t="s">
        <v>23</v>
      </c>
      <c r="B1" s="230" t="s">
        <v>24</v>
      </c>
    </row>
    <row r="2" ht="90" spans="1:3">
      <c r="A2" s="229" t="s">
        <v>25</v>
      </c>
      <c r="B2" s="231" t="s">
        <v>26</v>
      </c>
    </row>
    <row r="3" ht="60" spans="1:3">
      <c r="A3" s="229" t="s">
        <v>27</v>
      </c>
      <c r="B3" s="231" t="s">
        <v>28</v>
      </c>
    </row>
    <row r="4" ht="16.5" spans="1:3">
      <c r="A4" s="232" t="s">
        <v>29</v>
      </c>
    </row>
    <row r="5" ht="16.5" spans="1:3">
      <c r="A5" s="233" t="s">
        <v>30</v>
      </c>
      <c r="B5" s="233" t="s">
        <v>31</v>
      </c>
      <c r="C5" s="233" t="s">
        <v>32</v>
      </c>
    </row>
    <row r="6" ht="16.5" spans="1:3">
      <c r="A6" s="229" t="s">
        <v>33</v>
      </c>
      <c r="B6" s="229" t="s">
        <v>7</v>
      </c>
      <c r="C6" s="229" t="s">
        <v>34</v>
      </c>
    </row>
    <row r="7" ht="33" spans="1:3">
      <c r="A7" s="234" t="s">
        <v>35</v>
      </c>
      <c r="B7" s="229" t="s">
        <v>7</v>
      </c>
      <c r="C7" s="229" t="s">
        <v>36</v>
      </c>
    </row>
    <row r="8" ht="16.5" spans="1:3">
      <c r="A8" s="229" t="s">
        <v>37</v>
      </c>
      <c r="B8" s="229" t="s">
        <v>7</v>
      </c>
      <c r="C8" s="234" t="s">
        <v>38</v>
      </c>
    </row>
    <row r="9" ht="16.5" spans="1:3">
      <c r="A9" s="229" t="s">
        <v>39</v>
      </c>
      <c r="B9" s="229" t="s">
        <v>7</v>
      </c>
      <c r="C9" s="229" t="s">
        <v>40</v>
      </c>
    </row>
    <row r="10" ht="33" spans="1:3">
      <c r="A10" s="234" t="s">
        <v>41</v>
      </c>
      <c r="B10" s="229" t="s">
        <v>7</v>
      </c>
      <c r="C10" s="234" t="s">
        <v>42</v>
      </c>
    </row>
    <row r="12" ht="16.5" spans="1:3">
      <c r="A12" s="232" t="s">
        <v>43</v>
      </c>
    </row>
    <row r="13" ht="16.5" spans="1:3">
      <c r="A13" s="233" t="s">
        <v>44</v>
      </c>
      <c r="B13" s="233" t="s">
        <v>31</v>
      </c>
      <c r="C13" s="233" t="s">
        <v>32</v>
      </c>
    </row>
    <row r="14" ht="16.5" spans="1:3">
      <c r="A14" s="229" t="s">
        <v>45</v>
      </c>
      <c r="B14" s="229" t="s">
        <v>7</v>
      </c>
      <c r="C14" s="229" t="s">
        <v>7</v>
      </c>
    </row>
    <row r="15" ht="33" spans="1:3">
      <c r="A15" s="234" t="s">
        <v>46</v>
      </c>
      <c r="B15" s="229" t="s">
        <v>7</v>
      </c>
      <c r="C15" s="229" t="s">
        <v>7</v>
      </c>
    </row>
    <row r="16" ht="16.5" spans="1:3">
      <c r="A16" s="229" t="s">
        <v>47</v>
      </c>
      <c r="B16" s="229" t="s">
        <v>7</v>
      </c>
      <c r="C16" s="229" t="s">
        <v>7</v>
      </c>
    </row>
    <row r="17" ht="16.5" spans="1:3">
      <c r="A17" s="229" t="s">
        <v>48</v>
      </c>
      <c r="B17" s="229" t="s">
        <v>7</v>
      </c>
      <c r="C17" s="229" t="s">
        <v>7</v>
      </c>
    </row>
    <row r="18" ht="16.5" spans="1:3">
      <c r="A18" s="229" t="s">
        <v>49</v>
      </c>
      <c r="B18" s="229" t="s">
        <v>7</v>
      </c>
      <c r="C18" s="229" t="s">
        <v>7</v>
      </c>
    </row>
    <row r="19" ht="33" spans="1:3">
      <c r="A19" s="234" t="s">
        <v>50</v>
      </c>
      <c r="B19" s="229" t="s">
        <v>7</v>
      </c>
      <c r="C19" s="229" t="s">
        <v>7</v>
      </c>
    </row>
    <row r="20" ht="16.5" spans="1:3">
      <c r="A20" s="229" t="s">
        <v>51</v>
      </c>
      <c r="B20" s="229" t="s">
        <v>7</v>
      </c>
      <c r="C20" s="229" t="s">
        <v>7</v>
      </c>
    </row>
    <row r="21" ht="33" spans="1:3">
      <c r="A21" s="234" t="s">
        <v>52</v>
      </c>
      <c r="B21" s="229" t="s">
        <v>7</v>
      </c>
      <c r="C21" s="229" t="s">
        <v>7</v>
      </c>
    </row>
    <row r="22" ht="33" spans="1:3">
      <c r="A22" s="234" t="s">
        <v>53</v>
      </c>
      <c r="B22" s="229" t="s">
        <v>7</v>
      </c>
      <c r="C22" s="229" t="s">
        <v>7</v>
      </c>
    </row>
    <row r="23" ht="16.5" spans="1:3">
      <c r="A23" s="229" t="s">
        <v>54</v>
      </c>
      <c r="B23" s="229" t="s">
        <v>7</v>
      </c>
      <c r="C23" s="229" t="s">
        <v>7</v>
      </c>
    </row>
  </sheetData>
  <mergeCells count="2">
    <mergeCell ref="A4:F4"/>
    <mergeCell ref="A12:F1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3"/>
  <sheetViews>
    <sheetView workbookViewId="0">
      <selection activeCell="A1" sqref="A1:J1"/>
    </sheetView>
  </sheetViews>
  <sheetFormatPr defaultColWidth="9" defaultRowHeight="15"/>
  <cols>
    <col min="1" max="1" width="9.14285714285714" customWidth="1"/>
    <col min="7" max="7" width="44.7142857142857" customWidth="1"/>
    <col min="8" max="8" width="9.14285714285714" customWidth="1"/>
  </cols>
  <sheetData>
    <row r="1" ht="19.5" spans="1:10">
      <c r="A1" s="220" t="s">
        <v>55</v>
      </c>
      <c r="B1" s="221"/>
      <c r="C1" s="221"/>
      <c r="D1" s="221"/>
      <c r="E1" s="221"/>
      <c r="F1" s="221"/>
      <c r="G1" s="221"/>
      <c r="H1" s="221"/>
      <c r="I1" s="221"/>
      <c r="J1" s="222"/>
    </row>
    <row r="2" ht="45" spans="1:10">
      <c r="A2" s="223" t="s">
        <v>56</v>
      </c>
      <c r="I2" s="224" t="s">
        <v>57</v>
      </c>
    </row>
    <row r="4" ht="18.75" spans="1:10">
      <c r="A4" s="225" t="s">
        <v>58</v>
      </c>
      <c r="B4" s="226" t="s">
        <v>59</v>
      </c>
      <c r="I4" s="227" t="str">
        <f>HYPERLINK("#'Phần_1-Công việc chung'!A1","click here")</f>
        <v>click here</v>
      </c>
    </row>
    <row r="5" ht="18.75" spans="1:10">
      <c r="A5" s="307" t="s">
        <v>60</v>
      </c>
      <c r="B5" s="307" t="s">
        <v>61</v>
      </c>
      <c r="I5" s="227" t="str">
        <f>HYPERLINK("#'Phần_1-Công việc chung'!A1","click here")</f>
        <v>click here</v>
      </c>
    </row>
    <row r="6" ht="18.75" spans="1:10">
      <c r="A6" s="307" t="s">
        <v>62</v>
      </c>
      <c r="B6" s="308" t="s">
        <v>63</v>
      </c>
    </row>
    <row r="7" ht="18.75" spans="1:10">
      <c r="A7" s="307" t="s">
        <v>64</v>
      </c>
      <c r="B7" s="307" t="s">
        <v>65</v>
      </c>
      <c r="I7" s="227" t="str">
        <f>HYPERLINK("#'Phần_1-Kế hoạch kiểm thử'!A1","click here")</f>
        <v>click here</v>
      </c>
    </row>
    <row r="8" ht="18.75" spans="1:10">
      <c r="A8" s="307" t="s">
        <v>66</v>
      </c>
      <c r="B8" s="307" t="s">
        <v>67</v>
      </c>
      <c r="I8" s="227" t="str">
        <f>HYPERLINK("#'Phần_1-Review kế hoạch test'!A1","click here")</f>
        <v>click here</v>
      </c>
    </row>
    <row r="9" ht="18.75" spans="1:10">
      <c r="A9" s="307" t="s">
        <v>68</v>
      </c>
      <c r="B9" s="307" t="s">
        <v>69</v>
      </c>
      <c r="I9" s="227" t="str">
        <f>HYPERLINK("#'Phần_1-SRS Review Checklist'!A1","click here")</f>
        <v>click here</v>
      </c>
    </row>
    <row r="10" ht="18.75" spans="1:10">
      <c r="A10" s="307" t="s">
        <v>70</v>
      </c>
      <c r="B10" s="307" t="s">
        <v>71</v>
      </c>
      <c r="I10" s="227" t="str">
        <f>HYPERLINK("#'Phần_1-Review TL thiết kế'!A1","click here")</f>
        <v>click here</v>
      </c>
    </row>
    <row r="11" ht="18.75" spans="1:10">
      <c r="A11" s="307" t="s">
        <v>72</v>
      </c>
      <c r="B11" s="307" t="s">
        <v>73</v>
      </c>
      <c r="I11" s="227" t="str">
        <f>HYPERLINK("#'Phần_1-Review TL HD cài đặt'!A1","click here")</f>
        <v>click here</v>
      </c>
    </row>
    <row r="13" ht="18.75" spans="1:10">
      <c r="A13" s="225" t="s">
        <v>74</v>
      </c>
      <c r="B13" s="226" t="s">
        <v>75</v>
      </c>
    </row>
    <row r="14" ht="18.75" spans="1:10">
      <c r="A14" s="307" t="s">
        <v>60</v>
      </c>
      <c r="C14" s="307" t="s">
        <v>45</v>
      </c>
    </row>
    <row r="15" ht="18.75" spans="1:10">
      <c r="A15" s="307" t="s">
        <v>76</v>
      </c>
      <c r="C15" s="307" t="s">
        <v>69</v>
      </c>
      <c r="I15" s="227" t="str">
        <f>HYPERLINK("#'PH1-Review SRS'!A1","click here")</f>
        <v>click here</v>
      </c>
    </row>
    <row r="16" ht="18.75" spans="1:10">
      <c r="A16" s="307" t="s">
        <v>77</v>
      </c>
      <c r="C16" s="307" t="s">
        <v>78</v>
      </c>
      <c r="I16" s="227" t="str">
        <f>HYPERLINK("#'PH1-Review Code'!A1","click here")</f>
        <v>click here</v>
      </c>
    </row>
    <row r="17" ht="18.75" spans="1:9">
      <c r="A17" s="307" t="s">
        <v>79</v>
      </c>
      <c r="C17" s="307" t="s">
        <v>80</v>
      </c>
      <c r="I17" s="227" t="str">
        <f>HYPERLINK("#'PH1-Kiểm thử giao diện'!A1","click here")</f>
        <v>click here</v>
      </c>
    </row>
    <row r="18" ht="18.75" spans="1:9">
      <c r="A18" s="307" t="s">
        <v>81</v>
      </c>
      <c r="C18" s="307" t="s">
        <v>82</v>
      </c>
      <c r="I18" s="227" t="str">
        <f>HYPERLINK("#'PH1-Unit test'!A1","click here")</f>
        <v>click here</v>
      </c>
    </row>
    <row r="19" ht="18.75" spans="1:9">
      <c r="A19" s="307" t="s">
        <v>83</v>
      </c>
      <c r="C19" s="307" t="s">
        <v>84</v>
      </c>
      <c r="I19" s="227" t="str">
        <f>HYPERLINK("#'PH1-Kiểm thử API(Postman)'!A1","click here")</f>
        <v>click here</v>
      </c>
    </row>
    <row r="20" ht="18.75" spans="1:9">
      <c r="A20" s="307" t="s">
        <v>85</v>
      </c>
      <c r="C20" s="307" t="s">
        <v>86</v>
      </c>
      <c r="I20" s="227" t="str">
        <f>HYPERLINK("#'PH1-Kiểm thử tự động'!A1","click here")</f>
        <v>click here</v>
      </c>
    </row>
    <row r="21" ht="18.75" spans="1:9">
      <c r="A21" s="307" t="s">
        <v>87</v>
      </c>
      <c r="C21" s="307" t="s">
        <v>88</v>
      </c>
      <c r="I21" s="227" t="str">
        <f>HYPERLINK("#'PH1-Kiểm thử hiệu năng'!A1","click here")</f>
        <v>click here</v>
      </c>
    </row>
    <row r="22" ht="18.75" spans="1:9">
      <c r="A22" s="307" t="s">
        <v>89</v>
      </c>
      <c r="C22" s="307" t="s">
        <v>90</v>
      </c>
      <c r="I22" s="227" t="str">
        <f>HYPERLINK("#'PH1-Đánh giá kết quả'!A1","click here")</f>
        <v>click here</v>
      </c>
    </row>
    <row r="23" ht="18.75" spans="1:9">
      <c r="A23" s="307" t="s">
        <v>62</v>
      </c>
      <c r="C23" s="308" t="s">
        <v>46</v>
      </c>
    </row>
    <row r="24" ht="18.75" spans="1:9">
      <c r="A24" s="307" t="s">
        <v>64</v>
      </c>
      <c r="C24" s="307" t="s">
        <v>69</v>
      </c>
      <c r="I24" s="227" t="str">
        <f>HYPERLINK("#'PH2-Review SRS'!A1","click here")</f>
        <v>click here</v>
      </c>
    </row>
    <row r="25" ht="18.75" spans="1:9">
      <c r="A25" s="307" t="s">
        <v>66</v>
      </c>
      <c r="C25" s="307" t="s">
        <v>78</v>
      </c>
      <c r="I25" s="227" t="str">
        <f>HYPERLINK("#'PH2-Review Code'!A1","click here")</f>
        <v>click here</v>
      </c>
    </row>
    <row r="26" ht="18.75" spans="1:9">
      <c r="A26" s="307" t="s">
        <v>68</v>
      </c>
      <c r="C26" s="307" t="s">
        <v>80</v>
      </c>
      <c r="I26" s="227" t="str">
        <f>HYPERLINK("#'PH2-Kiểm thử giao diện'!A1","click here")</f>
        <v>click here</v>
      </c>
    </row>
    <row r="27" ht="18.75" spans="1:9">
      <c r="A27" s="307" t="s">
        <v>70</v>
      </c>
      <c r="C27" s="307" t="s">
        <v>82</v>
      </c>
      <c r="I27" s="227" t="str">
        <f>HYPERLINK("#'PH2-Unit test'!A1","click here")</f>
        <v>click here</v>
      </c>
    </row>
    <row r="28" ht="18.75" spans="1:9">
      <c r="A28" s="307" t="s">
        <v>72</v>
      </c>
      <c r="C28" s="307" t="s">
        <v>84</v>
      </c>
      <c r="I28" s="227" t="str">
        <f>HYPERLINK("#'PH2-Kiểm thử API(Postman)'!A1","click here")</f>
        <v>click here</v>
      </c>
    </row>
    <row r="29" ht="18.75" spans="1:9">
      <c r="A29" s="307" t="s">
        <v>91</v>
      </c>
      <c r="C29" s="307" t="s">
        <v>86</v>
      </c>
      <c r="I29" s="227" t="str">
        <f>HYPERLINK("#'PH2-Kiểm thử tự động'!A1","click here")</f>
        <v>click here</v>
      </c>
    </row>
    <row r="30" ht="18.75" spans="1:9">
      <c r="A30" s="307" t="s">
        <v>92</v>
      </c>
      <c r="C30" s="307" t="s">
        <v>88</v>
      </c>
      <c r="I30" s="227" t="str">
        <f>HYPERLINK("#'PH2-Kiểm thử hiệu năng'!A1","click here")</f>
        <v>click here</v>
      </c>
    </row>
    <row r="31" ht="18.75" spans="1:9">
      <c r="A31" s="307" t="s">
        <v>93</v>
      </c>
      <c r="C31" s="307" t="s">
        <v>90</v>
      </c>
      <c r="I31" s="227" t="str">
        <f>HYPERLINK("#'PH2-Đánh giá kết quả'!A1","click here")</f>
        <v>click here</v>
      </c>
    </row>
    <row r="32" ht="18.75" spans="1:9">
      <c r="A32" s="307" t="s">
        <v>94</v>
      </c>
      <c r="C32" s="307" t="s">
        <v>47</v>
      </c>
    </row>
    <row r="33" ht="18.75" spans="1:9">
      <c r="A33" s="307" t="s">
        <v>95</v>
      </c>
      <c r="C33" s="307" t="s">
        <v>69</v>
      </c>
      <c r="I33" s="227" t="str">
        <f>HYPERLINK("#'PH3-Review SRS'!A1","click here")</f>
        <v>click here</v>
      </c>
    </row>
    <row r="34" ht="18.75" spans="1:9">
      <c r="A34" s="307" t="s">
        <v>96</v>
      </c>
      <c r="C34" s="307" t="s">
        <v>78</v>
      </c>
      <c r="I34" s="227" t="str">
        <f>HYPERLINK("#'PH3-Review Code'!A1","click here")</f>
        <v>click here</v>
      </c>
    </row>
    <row r="35" ht="18.75" spans="1:9">
      <c r="A35" s="307" t="s">
        <v>97</v>
      </c>
      <c r="C35" s="307" t="s">
        <v>80</v>
      </c>
      <c r="I35" s="227" t="str">
        <f>HYPERLINK("#'PH3-Kiểm thử giao diện'!A1","click here")</f>
        <v>click here</v>
      </c>
    </row>
    <row r="36" ht="18.75" spans="1:9">
      <c r="A36" s="307" t="s">
        <v>98</v>
      </c>
      <c r="C36" s="307" t="s">
        <v>82</v>
      </c>
      <c r="I36" s="227" t="str">
        <f>HYPERLINK("#'PH3-Unit test'!A1","click here")</f>
        <v>click here</v>
      </c>
    </row>
    <row r="37" ht="18.75" spans="1:9">
      <c r="A37" s="307" t="s">
        <v>99</v>
      </c>
      <c r="C37" s="307" t="s">
        <v>84</v>
      </c>
      <c r="I37" s="227" t="str">
        <f>HYPERLINK("#'PH3-Kiểm thử API(Postman)'!A1","click here")</f>
        <v>click here</v>
      </c>
    </row>
    <row r="38" ht="18.75" spans="1:9">
      <c r="A38" s="307" t="s">
        <v>100</v>
      </c>
      <c r="C38" s="307" t="s">
        <v>86</v>
      </c>
      <c r="I38" s="227" t="str">
        <f>HYPERLINK("#'PH3-Kiểm thử tự động'!A1","click here")</f>
        <v>click here</v>
      </c>
    </row>
    <row r="39" ht="18.75" spans="1:9">
      <c r="A39" s="307" t="s">
        <v>101</v>
      </c>
      <c r="C39" s="307" t="s">
        <v>88</v>
      </c>
      <c r="I39" s="227" t="str">
        <f>HYPERLINK("#'PH3-Kiểm thử hiệu năng'!A1","click here")</f>
        <v>click here</v>
      </c>
    </row>
    <row r="40" ht="18.75" spans="1:9">
      <c r="A40" s="307" t="s">
        <v>102</v>
      </c>
      <c r="C40" s="307" t="s">
        <v>90</v>
      </c>
      <c r="I40" s="227" t="str">
        <f>HYPERLINK("#'PH3-Đánh giá kết quả'!A1","click here")</f>
        <v>click here</v>
      </c>
    </row>
    <row r="41" ht="18.75" spans="1:9">
      <c r="A41" s="307" t="s">
        <v>103</v>
      </c>
      <c r="C41" s="307" t="s">
        <v>48</v>
      </c>
    </row>
    <row r="42" ht="18.75" spans="1:9">
      <c r="A42" s="307" t="s">
        <v>104</v>
      </c>
      <c r="C42" s="307" t="s">
        <v>69</v>
      </c>
      <c r="I42" s="227" t="str">
        <f>HYPERLINK("#'PH4-Review SRS'!A1","click here")</f>
        <v>click here</v>
      </c>
    </row>
    <row r="43" ht="18.75" spans="1:9">
      <c r="A43" s="307" t="s">
        <v>105</v>
      </c>
      <c r="C43" s="307" t="s">
        <v>78</v>
      </c>
      <c r="I43" s="227" t="str">
        <f>HYPERLINK("#'PH4-Review Code'!A1","click here")</f>
        <v>click here</v>
      </c>
    </row>
    <row r="44" ht="18.75" spans="1:9">
      <c r="A44" s="307" t="s">
        <v>106</v>
      </c>
      <c r="C44" s="307" t="s">
        <v>80</v>
      </c>
      <c r="I44" s="227" t="str">
        <f>HYPERLINK("#'PH4-Kiểm thử giao diện'!A1","click here")</f>
        <v>click here</v>
      </c>
    </row>
    <row r="45" ht="18.75" spans="1:9">
      <c r="A45" s="307" t="s">
        <v>107</v>
      </c>
      <c r="C45" s="307" t="s">
        <v>82</v>
      </c>
      <c r="I45" s="227" t="str">
        <f>HYPERLINK("#'PH4-Unit test'!A1","click here")</f>
        <v>click here</v>
      </c>
    </row>
    <row r="46" ht="18.75" spans="1:9">
      <c r="A46" s="307" t="s">
        <v>108</v>
      </c>
      <c r="C46" s="307" t="s">
        <v>84</v>
      </c>
      <c r="I46" s="227" t="str">
        <f>HYPERLINK("#'PH4-Kiểm thử API(Postman)'!A1","click here")</f>
        <v>click here</v>
      </c>
    </row>
    <row r="47" ht="18.75" spans="1:9">
      <c r="A47" s="307" t="s">
        <v>109</v>
      </c>
      <c r="C47" s="307" t="s">
        <v>86</v>
      </c>
      <c r="I47" s="227" t="str">
        <f>HYPERLINK("#'PH4-Kiểm thử tự động'!A1","click here")</f>
        <v>click here</v>
      </c>
    </row>
    <row r="48" ht="18.75" spans="1:9">
      <c r="A48" s="307" t="s">
        <v>110</v>
      </c>
      <c r="C48" s="307" t="s">
        <v>88</v>
      </c>
      <c r="I48" s="227" t="str">
        <f>HYPERLINK("#'PH4-Kiểm thử hiệu năng'!A1","click here")</f>
        <v>click here</v>
      </c>
    </row>
    <row r="49" ht="18.75" spans="1:9">
      <c r="A49" s="307" t="s">
        <v>111</v>
      </c>
      <c r="C49" s="307" t="s">
        <v>90</v>
      </c>
      <c r="I49" s="227" t="str">
        <f>HYPERLINK("#'PH4-Đánh giá kết quả'!A1","click here")</f>
        <v>click here</v>
      </c>
    </row>
    <row r="50" ht="18.75" spans="1:9">
      <c r="A50" s="307" t="s">
        <v>112</v>
      </c>
      <c r="C50" s="307" t="s">
        <v>49</v>
      </c>
    </row>
    <row r="51" ht="18.75" spans="1:9">
      <c r="A51" s="307" t="s">
        <v>113</v>
      </c>
      <c r="C51" s="307" t="s">
        <v>69</v>
      </c>
      <c r="I51" s="227" t="str">
        <f>HYPERLINK("#'PH5-Review SRS'!A1","click here")</f>
        <v>click here</v>
      </c>
    </row>
    <row r="52" ht="18.75" spans="1:9">
      <c r="A52" s="307" t="s">
        <v>114</v>
      </c>
      <c r="C52" s="307" t="s">
        <v>78</v>
      </c>
      <c r="I52" s="227" t="str">
        <f>HYPERLINK("#'PH5-Review Code'!A1","click here")</f>
        <v>click here</v>
      </c>
    </row>
    <row r="53" ht="18.75" spans="1:9">
      <c r="A53" s="307" t="s">
        <v>115</v>
      </c>
      <c r="C53" s="307" t="s">
        <v>80</v>
      </c>
      <c r="I53" s="227" t="str">
        <f>HYPERLINK("#'PH5-Kiểm thử giao diện'!A1","click here")</f>
        <v>click here</v>
      </c>
    </row>
    <row r="54" ht="18.75" spans="1:9">
      <c r="A54" s="307" t="s">
        <v>116</v>
      </c>
      <c r="C54" s="307" t="s">
        <v>82</v>
      </c>
      <c r="I54" s="227" t="str">
        <f>HYPERLINK("#'PH5-Unit test'!A1","click here")</f>
        <v>click here</v>
      </c>
    </row>
    <row r="55" ht="18.75" spans="1:9">
      <c r="A55" s="307" t="s">
        <v>117</v>
      </c>
      <c r="C55" s="307" t="s">
        <v>84</v>
      </c>
      <c r="I55" s="227" t="str">
        <f>HYPERLINK("#'PH5-Kiểm thử API(Postman)'!A1","click here")</f>
        <v>click here</v>
      </c>
    </row>
    <row r="56" ht="18.75" spans="1:9">
      <c r="A56" s="307" t="s">
        <v>118</v>
      </c>
      <c r="C56" s="307" t="s">
        <v>86</v>
      </c>
      <c r="I56" s="227" t="str">
        <f>HYPERLINK("#'PH5-Kiểm thử tự động'!A1","click here")</f>
        <v>click here</v>
      </c>
    </row>
    <row r="57" ht="18.75" spans="1:9">
      <c r="A57" s="307" t="s">
        <v>119</v>
      </c>
      <c r="C57" s="307" t="s">
        <v>88</v>
      </c>
      <c r="I57" s="227" t="str">
        <f>HYPERLINK("#'PH5-Kiểm thử hiệu năng'!A1","click here")</f>
        <v>click here</v>
      </c>
    </row>
    <row r="58" ht="18.75" spans="1:9">
      <c r="A58" s="307" t="s">
        <v>120</v>
      </c>
      <c r="C58" s="307" t="s">
        <v>90</v>
      </c>
      <c r="I58" s="227" t="str">
        <f>HYPERLINK("#'PH5-Đánh giá kết quả'!A1","click here")</f>
        <v>click here</v>
      </c>
    </row>
    <row r="59" ht="18.75" spans="1:9">
      <c r="A59" s="307" t="s">
        <v>121</v>
      </c>
      <c r="C59" s="308" t="s">
        <v>50</v>
      </c>
    </row>
    <row r="60" ht="18.75" spans="1:9">
      <c r="A60" s="307" t="s">
        <v>122</v>
      </c>
      <c r="C60" s="307" t="s">
        <v>69</v>
      </c>
      <c r="I60" s="227" t="str">
        <f>HYPERLINK("#'PH6-Review SRS'!A1","click here")</f>
        <v>click here</v>
      </c>
    </row>
    <row r="61" ht="18.75" spans="1:9">
      <c r="A61" s="307" t="s">
        <v>123</v>
      </c>
      <c r="C61" s="307" t="s">
        <v>78</v>
      </c>
      <c r="I61" s="227" t="str">
        <f>HYPERLINK("#'PH6-Review Code'!A1","click here")</f>
        <v>click here</v>
      </c>
    </row>
    <row r="62" ht="18.75" spans="1:9">
      <c r="A62" s="307" t="s">
        <v>124</v>
      </c>
      <c r="C62" s="307" t="s">
        <v>80</v>
      </c>
      <c r="I62" s="227" t="str">
        <f>HYPERLINK("#'PH6-Kiểm thử giao diện'!A1","click here")</f>
        <v>click here</v>
      </c>
    </row>
    <row r="63" ht="18.75" spans="1:9">
      <c r="A63" s="307" t="s">
        <v>125</v>
      </c>
      <c r="C63" s="307" t="s">
        <v>82</v>
      </c>
      <c r="I63" s="227" t="str">
        <f>HYPERLINK("#'PH6-Unit test'!A1","click here")</f>
        <v>click here</v>
      </c>
    </row>
    <row r="64" ht="18.75" spans="1:9">
      <c r="A64" s="307" t="s">
        <v>126</v>
      </c>
      <c r="C64" s="307" t="s">
        <v>84</v>
      </c>
      <c r="I64" s="227" t="str">
        <f>HYPERLINK("#'PH6-Kiểm thử API(Postman)'!A1","click here")</f>
        <v>click here</v>
      </c>
    </row>
    <row r="65" ht="18.75" spans="1:9">
      <c r="A65" s="307" t="s">
        <v>127</v>
      </c>
      <c r="C65" s="307" t="s">
        <v>86</v>
      </c>
      <c r="I65" s="227" t="str">
        <f>HYPERLINK("#'PH6-Kiểm thử tự động'!A1","click here")</f>
        <v>click here</v>
      </c>
    </row>
    <row r="66" ht="18.75" spans="1:9">
      <c r="A66" s="307" t="s">
        <v>128</v>
      </c>
      <c r="C66" s="307" t="s">
        <v>88</v>
      </c>
      <c r="I66" s="227" t="str">
        <f>HYPERLINK("#'PH6-Kiểm thử hiệu năng'!A1","click here")</f>
        <v>click here</v>
      </c>
    </row>
    <row r="67" ht="18.75" spans="1:9">
      <c r="A67" s="307" t="s">
        <v>129</v>
      </c>
      <c r="C67" s="307" t="s">
        <v>90</v>
      </c>
      <c r="I67" s="227" t="str">
        <f>HYPERLINK("#'PH6-Đánh giá kết quả'!A1","click here")</f>
        <v>click here</v>
      </c>
    </row>
    <row r="68" ht="18.75" spans="1:9">
      <c r="A68" s="307" t="s">
        <v>130</v>
      </c>
      <c r="C68" s="307" t="s">
        <v>51</v>
      </c>
    </row>
    <row r="69" ht="18.75" spans="1:9">
      <c r="A69" s="307" t="s">
        <v>131</v>
      </c>
      <c r="C69" s="307" t="s">
        <v>69</v>
      </c>
      <c r="I69" s="227" t="str">
        <f>HYPERLINK("#'PH7-Review SRS'!A1","click here")</f>
        <v>click here</v>
      </c>
    </row>
    <row r="70" ht="18.75" spans="1:9">
      <c r="A70" s="307" t="s">
        <v>132</v>
      </c>
      <c r="C70" s="307" t="s">
        <v>78</v>
      </c>
      <c r="I70" s="227" t="str">
        <f>HYPERLINK("#'PH7-Review Code'!A1","click here")</f>
        <v>click here</v>
      </c>
    </row>
    <row r="71" ht="18.75" spans="1:9">
      <c r="A71" s="307" t="s">
        <v>133</v>
      </c>
      <c r="C71" s="307" t="s">
        <v>80</v>
      </c>
      <c r="I71" s="227" t="str">
        <f>HYPERLINK("#'PH7-Kiểm thử giao diện'!A1","click here")</f>
        <v>click here</v>
      </c>
    </row>
    <row r="72" ht="18.75" spans="1:9">
      <c r="A72" s="307" t="s">
        <v>134</v>
      </c>
      <c r="C72" s="307" t="s">
        <v>82</v>
      </c>
      <c r="I72" s="227" t="str">
        <f>HYPERLINK("#'PH7-Unit test'!A1","click here")</f>
        <v>click here</v>
      </c>
    </row>
    <row r="73" ht="18.75" spans="1:9">
      <c r="A73" s="307" t="s">
        <v>135</v>
      </c>
      <c r="C73" s="307" t="s">
        <v>84</v>
      </c>
      <c r="I73" s="227" t="str">
        <f>HYPERLINK("#'PH7-Kiểm thử API(Postman)'!A1","click here")</f>
        <v>click here</v>
      </c>
    </row>
    <row r="74" ht="18.75" spans="1:9">
      <c r="A74" s="307" t="s">
        <v>136</v>
      </c>
      <c r="C74" s="307" t="s">
        <v>86</v>
      </c>
      <c r="I74" s="227" t="str">
        <f>HYPERLINK("#'PH7-Kiểm thử tự động'!A1","click here")</f>
        <v>click here</v>
      </c>
    </row>
    <row r="75" ht="18.75" spans="1:9">
      <c r="A75" s="307" t="s">
        <v>137</v>
      </c>
      <c r="C75" s="307" t="s">
        <v>88</v>
      </c>
      <c r="I75" s="227" t="str">
        <f>HYPERLINK("#'PH7-Kiểm thử hiệu năng'!A1","click here")</f>
        <v>click here</v>
      </c>
    </row>
    <row r="76" ht="18.75" spans="1:9">
      <c r="A76" s="307" t="s">
        <v>138</v>
      </c>
      <c r="C76" s="307" t="s">
        <v>90</v>
      </c>
      <c r="I76" s="227" t="str">
        <f>HYPERLINK("#'PH7-Đánh giá kết quả'!A1","click here")</f>
        <v>click here</v>
      </c>
    </row>
    <row r="77" ht="18.75" spans="1:9">
      <c r="A77" s="307" t="s">
        <v>139</v>
      </c>
      <c r="C77" s="308" t="s">
        <v>52</v>
      </c>
    </row>
    <row r="78" ht="18.75" spans="1:9">
      <c r="A78" s="307" t="s">
        <v>140</v>
      </c>
      <c r="C78" s="307" t="s">
        <v>69</v>
      </c>
      <c r="I78" s="227" t="str">
        <f>HYPERLINK("#'PH8-Review SRS'!A1","click here")</f>
        <v>click here</v>
      </c>
    </row>
    <row r="79" ht="18.75" spans="1:9">
      <c r="A79" s="307" t="s">
        <v>141</v>
      </c>
      <c r="C79" s="307" t="s">
        <v>78</v>
      </c>
      <c r="I79" s="227" t="str">
        <f>HYPERLINK("#'PH8-Review Code'!A1","click here")</f>
        <v>click here</v>
      </c>
    </row>
    <row r="80" ht="18.75" spans="1:9">
      <c r="A80" s="307" t="s">
        <v>142</v>
      </c>
      <c r="C80" s="307" t="s">
        <v>80</v>
      </c>
      <c r="I80" s="227" t="str">
        <f>HYPERLINK("#'PH8-Kiểm thử giao diện'!A1","click here")</f>
        <v>click here</v>
      </c>
    </row>
    <row r="81" ht="18.75" spans="1:9">
      <c r="A81" s="307" t="s">
        <v>143</v>
      </c>
      <c r="C81" s="307" t="s">
        <v>82</v>
      </c>
      <c r="I81" s="227" t="str">
        <f>HYPERLINK("#'PH8-Unit test'!A1","click here")</f>
        <v>click here</v>
      </c>
    </row>
    <row r="82" ht="18.75" spans="1:9">
      <c r="A82" s="307" t="s">
        <v>144</v>
      </c>
      <c r="C82" s="307" t="s">
        <v>84</v>
      </c>
      <c r="I82" s="227" t="str">
        <f>HYPERLINK("#'PH8-Kiểm thử API(Postman)'!A1","click here")</f>
        <v>click here</v>
      </c>
    </row>
    <row r="83" ht="18.75" spans="1:9">
      <c r="A83" s="307" t="s">
        <v>145</v>
      </c>
      <c r="C83" s="307" t="s">
        <v>86</v>
      </c>
      <c r="I83" s="227" t="str">
        <f>HYPERLINK("#'PH8-Kiểm thử tự động'!A1","click here")</f>
        <v>click here</v>
      </c>
    </row>
    <row r="84" ht="18.75" spans="1:9">
      <c r="A84" s="307" t="s">
        <v>146</v>
      </c>
      <c r="C84" s="307" t="s">
        <v>88</v>
      </c>
      <c r="I84" s="227" t="str">
        <f>HYPERLINK("#'PH8-Kiểm thử hiệu năng'!A1","click here")</f>
        <v>click here</v>
      </c>
    </row>
    <row r="85" ht="18.75" spans="1:9">
      <c r="A85" s="307" t="s">
        <v>147</v>
      </c>
      <c r="C85" s="307" t="s">
        <v>90</v>
      </c>
      <c r="I85" s="227" t="str">
        <f>HYPERLINK("#'PH8-Đánh giá kết quả'!A1","click here")</f>
        <v>click here</v>
      </c>
    </row>
    <row r="86" ht="18.75" spans="1:9">
      <c r="A86" s="307" t="s">
        <v>148</v>
      </c>
      <c r="C86" s="308" t="s">
        <v>53</v>
      </c>
    </row>
    <row r="87" ht="18.75" spans="1:9">
      <c r="A87" s="307" t="s">
        <v>149</v>
      </c>
      <c r="C87" s="307" t="s">
        <v>69</v>
      </c>
      <c r="I87" s="227" t="str">
        <f>HYPERLINK("#'PH9-Review SRS'!A1","click here")</f>
        <v>click here</v>
      </c>
    </row>
    <row r="88" ht="18.75" spans="1:9">
      <c r="A88" s="307" t="s">
        <v>150</v>
      </c>
      <c r="C88" s="307" t="s">
        <v>78</v>
      </c>
      <c r="I88" s="227" t="str">
        <f>HYPERLINK("#'PH9-Review Code'!A1","click here")</f>
        <v>click here</v>
      </c>
    </row>
    <row r="89" ht="18.75" spans="1:9">
      <c r="A89" s="307" t="s">
        <v>151</v>
      </c>
      <c r="C89" s="307" t="s">
        <v>80</v>
      </c>
      <c r="I89" s="227" t="str">
        <f>HYPERLINK("#'PH9-Kiểm thử giao diện'!A1","click here")</f>
        <v>click here</v>
      </c>
    </row>
    <row r="90" ht="18.75" spans="1:9">
      <c r="A90" s="307" t="s">
        <v>152</v>
      </c>
      <c r="C90" s="307" t="s">
        <v>82</v>
      </c>
      <c r="I90" s="227" t="str">
        <f>HYPERLINK("#'PH9-Unit test'!A1","click here")</f>
        <v>click here</v>
      </c>
    </row>
    <row r="91" ht="18.75" spans="1:9">
      <c r="A91" s="307" t="s">
        <v>153</v>
      </c>
      <c r="C91" s="307" t="s">
        <v>84</v>
      </c>
      <c r="I91" s="227" t="str">
        <f>HYPERLINK("#'PH9-Kiểm thử API(Postman)'!A1","click here")</f>
        <v>click here</v>
      </c>
    </row>
    <row r="92" ht="18.75" spans="1:9">
      <c r="A92" s="307" t="s">
        <v>154</v>
      </c>
      <c r="C92" s="307" t="s">
        <v>86</v>
      </c>
      <c r="I92" s="227" t="str">
        <f>HYPERLINK("#'PH9-Kiểm thử tự động'!A1","click here")</f>
        <v>click here</v>
      </c>
    </row>
    <row r="93" ht="18.75" spans="1:9">
      <c r="A93" s="307" t="s">
        <v>155</v>
      </c>
      <c r="C93" s="307" t="s">
        <v>88</v>
      </c>
      <c r="I93" s="227" t="str">
        <f>HYPERLINK("#'PH9-Kiểm thử hiệu năng'!A1","click here")</f>
        <v>click here</v>
      </c>
    </row>
    <row r="94" ht="18.75" spans="1:9">
      <c r="A94" s="307" t="s">
        <v>156</v>
      </c>
      <c r="C94" s="307" t="s">
        <v>90</v>
      </c>
      <c r="I94" s="227" t="str">
        <f>HYPERLINK("#'PH9-Đánh giá kết quả'!A1","click here")</f>
        <v>click here</v>
      </c>
    </row>
    <row r="95" ht="18.75" spans="1:9">
      <c r="A95" s="307" t="s">
        <v>157</v>
      </c>
      <c r="C95" s="307" t="s">
        <v>54</v>
      </c>
    </row>
    <row r="96" ht="18.75" spans="1:9">
      <c r="A96" s="307" t="s">
        <v>158</v>
      </c>
      <c r="C96" s="307" t="s">
        <v>69</v>
      </c>
      <c r="I96" s="227" t="str">
        <f>HYPERLINK("#'PH10-Review SRS'!A1","click here")</f>
        <v>click here</v>
      </c>
    </row>
    <row r="97" ht="18.75" spans="1:9">
      <c r="A97" s="307" t="s">
        <v>159</v>
      </c>
      <c r="C97" s="307" t="s">
        <v>78</v>
      </c>
      <c r="I97" s="227" t="str">
        <f>HYPERLINK("#'PH10-Review Code'!A1","click here")</f>
        <v>click here</v>
      </c>
    </row>
    <row r="98" ht="18.75" spans="1:9">
      <c r="A98" s="307" t="s">
        <v>160</v>
      </c>
      <c r="C98" s="307" t="s">
        <v>80</v>
      </c>
      <c r="I98" s="227" t="str">
        <f>HYPERLINK("#'PH10-Kiểm thử giao diện'!A1","click here")</f>
        <v>click here</v>
      </c>
    </row>
    <row r="99" ht="18.75" spans="1:9">
      <c r="A99" s="307" t="s">
        <v>161</v>
      </c>
      <c r="C99" s="307" t="s">
        <v>82</v>
      </c>
      <c r="I99" s="227" t="str">
        <f>HYPERLINK("#'PH10-Unit test'!A1","click here")</f>
        <v>click here</v>
      </c>
    </row>
    <row r="100" ht="18.75" spans="1:9">
      <c r="A100" s="307" t="s">
        <v>162</v>
      </c>
      <c r="C100" s="307" t="s">
        <v>84</v>
      </c>
      <c r="I100" s="227" t="str">
        <f>HYPERLINK("#'PH10-Kiểm thử API(Postman)'!A1","click here")</f>
        <v>click here</v>
      </c>
    </row>
    <row r="101" ht="18.75" spans="1:9">
      <c r="A101" s="307" t="s">
        <v>163</v>
      </c>
      <c r="C101" s="307" t="s">
        <v>86</v>
      </c>
      <c r="I101" s="227" t="str">
        <f>HYPERLINK("#'PH10-Kiểm thử tự động'!A1","click here")</f>
        <v>click here</v>
      </c>
    </row>
    <row r="102" ht="18.75" spans="1:9">
      <c r="A102" s="307" t="s">
        <v>164</v>
      </c>
      <c r="C102" s="307" t="s">
        <v>88</v>
      </c>
      <c r="I102" s="227" t="str">
        <f>HYPERLINK("#'PH10-Kiểm thử hiệu năng'!A1","click here")</f>
        <v>click here</v>
      </c>
    </row>
    <row r="103" ht="18.75" spans="1:9">
      <c r="A103" s="307" t="s">
        <v>165</v>
      </c>
      <c r="C103" s="307" t="s">
        <v>90</v>
      </c>
      <c r="I103" s="227" t="str">
        <f>HYPERLINK("#'PH10-Đánh giá kết quả'!A1","click here")</f>
        <v>click here</v>
      </c>
    </row>
  </sheetData>
  <mergeCells count="101">
    <mergeCell ref="A1:J1"/>
    <mergeCell ref="A2:G2"/>
    <mergeCell ref="B4:H4"/>
    <mergeCell ref="B5:H5"/>
    <mergeCell ref="B6:H6"/>
    <mergeCell ref="B7:H7"/>
    <mergeCell ref="B8:H8"/>
    <mergeCell ref="B9:H9"/>
    <mergeCell ref="B10:H10"/>
    <mergeCell ref="B11:H11"/>
    <mergeCell ref="B13:H13"/>
    <mergeCell ref="C14:G14"/>
    <mergeCell ref="C15:G15"/>
    <mergeCell ref="C16:G16"/>
    <mergeCell ref="C17:G17"/>
    <mergeCell ref="C18:G18"/>
    <mergeCell ref="C19:G19"/>
    <mergeCell ref="C20:G20"/>
    <mergeCell ref="C21:G21"/>
    <mergeCell ref="C22:G22"/>
    <mergeCell ref="C23:G23"/>
    <mergeCell ref="C24:G24"/>
    <mergeCell ref="C25:G25"/>
    <mergeCell ref="C26:G26"/>
    <mergeCell ref="C27:G27"/>
    <mergeCell ref="C28:G28"/>
    <mergeCell ref="C29:G29"/>
    <mergeCell ref="C30:G30"/>
    <mergeCell ref="C31:G31"/>
    <mergeCell ref="C32:G32"/>
    <mergeCell ref="C33:G33"/>
    <mergeCell ref="C34:G34"/>
    <mergeCell ref="C35:G35"/>
    <mergeCell ref="C36:G36"/>
    <mergeCell ref="C37:G37"/>
    <mergeCell ref="C38:G38"/>
    <mergeCell ref="C39:G39"/>
    <mergeCell ref="C40:G40"/>
    <mergeCell ref="C41:G41"/>
    <mergeCell ref="C42:G42"/>
    <mergeCell ref="C43:G43"/>
    <mergeCell ref="C44:G44"/>
    <mergeCell ref="C45:G45"/>
    <mergeCell ref="C46:G46"/>
    <mergeCell ref="C47:G47"/>
    <mergeCell ref="C48:G48"/>
    <mergeCell ref="C49:G49"/>
    <mergeCell ref="C50:G50"/>
    <mergeCell ref="C51:G51"/>
    <mergeCell ref="C52:G52"/>
    <mergeCell ref="C53:G53"/>
    <mergeCell ref="C54:G54"/>
    <mergeCell ref="C55:G55"/>
    <mergeCell ref="C56:G56"/>
    <mergeCell ref="C57:G57"/>
    <mergeCell ref="C58:G58"/>
    <mergeCell ref="C59:G59"/>
    <mergeCell ref="C60:G60"/>
    <mergeCell ref="C61:G61"/>
    <mergeCell ref="C62:G62"/>
    <mergeCell ref="C63:G63"/>
    <mergeCell ref="C64:G64"/>
    <mergeCell ref="C65:G65"/>
    <mergeCell ref="C66:G66"/>
    <mergeCell ref="C67:G67"/>
    <mergeCell ref="C68:G68"/>
    <mergeCell ref="C69:G69"/>
    <mergeCell ref="C70:G70"/>
    <mergeCell ref="C71:G71"/>
    <mergeCell ref="C72:G72"/>
    <mergeCell ref="C73:G73"/>
    <mergeCell ref="C74:G74"/>
    <mergeCell ref="C75:G75"/>
    <mergeCell ref="C76:G76"/>
    <mergeCell ref="C77:G77"/>
    <mergeCell ref="C78:G78"/>
    <mergeCell ref="C79:G79"/>
    <mergeCell ref="C80:G80"/>
    <mergeCell ref="C81:G81"/>
    <mergeCell ref="C82:G82"/>
    <mergeCell ref="C83:G83"/>
    <mergeCell ref="C84:G84"/>
    <mergeCell ref="C85:G85"/>
    <mergeCell ref="C86:G86"/>
    <mergeCell ref="C87:G87"/>
    <mergeCell ref="C88:G88"/>
    <mergeCell ref="C89:G89"/>
    <mergeCell ref="C90:G90"/>
    <mergeCell ref="C91:G91"/>
    <mergeCell ref="C92:G92"/>
    <mergeCell ref="C93:G93"/>
    <mergeCell ref="C94:G94"/>
    <mergeCell ref="C95:G95"/>
    <mergeCell ref="C96:G96"/>
    <mergeCell ref="C97:G97"/>
    <mergeCell ref="C98:G98"/>
    <mergeCell ref="C99:G99"/>
    <mergeCell ref="C100:G100"/>
    <mergeCell ref="C101:G101"/>
    <mergeCell ref="C102:G102"/>
    <mergeCell ref="C103:G10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M57"/>
  <sheetViews>
    <sheetView workbookViewId="0">
      <selection activeCell="A1" sqref="A1"/>
    </sheetView>
  </sheetViews>
  <sheetFormatPr defaultColWidth="9" defaultRowHeight="15"/>
  <cols>
    <col min="1" max="1" width="9.14285714285714" customWidth="1"/>
    <col min="2" max="2" width="7.14285714285714" customWidth="1"/>
    <col min="3" max="3" width="5.71428571428571" customWidth="1"/>
    <col min="4" max="4" width="7.85714285714286" customWidth="1"/>
    <col min="5" max="5" width="26.1428571428571" customWidth="1"/>
    <col min="6" max="6" width="16" customWidth="1"/>
    <col min="7" max="7" width="20" customWidth="1"/>
    <col min="8" max="8" width="19.5714285714286" customWidth="1"/>
    <col min="9" max="9" width="16.4285714285714" customWidth="1"/>
    <col min="10" max="10" width="15.8571428571429" customWidth="1"/>
    <col min="11" max="11" width="15.2857142857143" customWidth="1"/>
    <col min="12" max="12" width="20.4285714285714" customWidth="1"/>
    <col min="13" max="13" width="20.1428571428571" customWidth="1"/>
    <col min="14" max="14" width="9.14285714285714" customWidth="1"/>
  </cols>
  <sheetData>
    <row r="2" ht="175.5" spans="1:5">
      <c r="A2" s="206" t="s">
        <v>166</v>
      </c>
    </row>
    <row r="3" ht="97.5" spans="1:5">
      <c r="B3" s="206" t="s">
        <v>167</v>
      </c>
    </row>
    <row r="4" ht="136.5" spans="1:5">
      <c r="B4" s="206" t="s">
        <v>168</v>
      </c>
    </row>
    <row r="5" ht="409.5" spans="1:5">
      <c r="C5" s="207" t="s">
        <v>169</v>
      </c>
    </row>
    <row r="6" ht="117" spans="1:5">
      <c r="B6" s="206" t="s">
        <v>170</v>
      </c>
    </row>
    <row r="7" ht="370.5" spans="1:5">
      <c r="C7" s="309" t="s">
        <v>171</v>
      </c>
      <c r="D7" s="209" t="s">
        <v>172</v>
      </c>
    </row>
    <row r="8" ht="409.5" spans="1:5">
      <c r="C8" s="309" t="s">
        <v>171</v>
      </c>
      <c r="D8" s="209" t="s">
        <v>173</v>
      </c>
    </row>
    <row r="9" ht="409.5" spans="1:5">
      <c r="C9" s="309" t="s">
        <v>171</v>
      </c>
      <c r="D9" s="209" t="s">
        <v>174</v>
      </c>
    </row>
    <row r="10" ht="409.5" spans="1:5">
      <c r="C10" s="309" t="s">
        <v>171</v>
      </c>
      <c r="D10" s="209" t="s">
        <v>175</v>
      </c>
    </row>
    <row r="11" ht="409.5" spans="1:5">
      <c r="C11" s="309" t="s">
        <v>171</v>
      </c>
      <c r="D11" s="209" t="s">
        <v>176</v>
      </c>
    </row>
    <row r="12" ht="409.5" spans="1:5">
      <c r="C12" s="309" t="s">
        <v>171</v>
      </c>
      <c r="D12" s="209" t="s">
        <v>177</v>
      </c>
    </row>
    <row r="13" ht="195" spans="1:5">
      <c r="B13" s="206" t="s">
        <v>178</v>
      </c>
    </row>
    <row r="14" ht="175.5" spans="1:5">
      <c r="D14" s="209" t="s">
        <v>179</v>
      </c>
    </row>
    <row r="15" ht="117" spans="1:5">
      <c r="D15" s="309" t="s">
        <v>180</v>
      </c>
      <c r="E15" s="209" t="s">
        <v>181</v>
      </c>
    </row>
    <row r="16" ht="175.5" spans="1:5">
      <c r="D16" s="209" t="s">
        <v>182</v>
      </c>
    </row>
    <row r="17" ht="117" spans="4:5">
      <c r="D17" s="309" t="s">
        <v>180</v>
      </c>
      <c r="E17" s="209" t="s">
        <v>183</v>
      </c>
    </row>
    <row r="18" ht="19.5" spans="4:5">
      <c r="D18" s="210" t="s">
        <v>184</v>
      </c>
    </row>
    <row r="19" ht="117" spans="4:5">
      <c r="D19" s="309" t="s">
        <v>180</v>
      </c>
      <c r="E19" s="209" t="s">
        <v>185</v>
      </c>
    </row>
    <row r="20" ht="19.5" spans="4:5">
      <c r="D20" s="210" t="s">
        <v>186</v>
      </c>
    </row>
    <row r="21" ht="117" spans="4:5">
      <c r="D21" s="309" t="s">
        <v>180</v>
      </c>
      <c r="E21" s="209" t="s">
        <v>187</v>
      </c>
    </row>
    <row r="22" ht="19.5" spans="4:5">
      <c r="D22" s="210" t="s">
        <v>188</v>
      </c>
    </row>
    <row r="23" ht="78" spans="4:5">
      <c r="D23" s="309" t="s">
        <v>180</v>
      </c>
      <c r="E23" s="209" t="s">
        <v>189</v>
      </c>
    </row>
    <row r="24" ht="234" spans="4:5">
      <c r="D24" s="209" t="s">
        <v>190</v>
      </c>
    </row>
    <row r="25" ht="117" spans="4:5">
      <c r="D25" s="309" t="s">
        <v>180</v>
      </c>
      <c r="E25" s="209" t="s">
        <v>191</v>
      </c>
    </row>
    <row r="26" ht="19.5" spans="4:5">
      <c r="D26" s="210" t="s">
        <v>192</v>
      </c>
    </row>
    <row r="27" ht="78" spans="4:5">
      <c r="D27" s="309" t="s">
        <v>180</v>
      </c>
      <c r="E27" s="209" t="s">
        <v>193</v>
      </c>
    </row>
    <row r="28" ht="175.5" spans="4:5">
      <c r="D28" s="209" t="s">
        <v>194</v>
      </c>
    </row>
    <row r="29" ht="97.5" spans="4:5">
      <c r="D29" s="309" t="s">
        <v>180</v>
      </c>
      <c r="E29" s="209" t="s">
        <v>195</v>
      </c>
    </row>
    <row r="30" ht="195" spans="4:5">
      <c r="D30" s="209" t="s">
        <v>196</v>
      </c>
    </row>
    <row r="31" ht="97.5" spans="4:5">
      <c r="D31" s="309" t="s">
        <v>180</v>
      </c>
      <c r="E31" s="209" t="s">
        <v>197</v>
      </c>
    </row>
    <row r="32" ht="195" spans="4:5">
      <c r="D32" s="209" t="s">
        <v>198</v>
      </c>
    </row>
    <row r="33" ht="117" spans="2:13">
      <c r="D33" s="309" t="s">
        <v>180</v>
      </c>
      <c r="E33" s="209" t="s">
        <v>199</v>
      </c>
    </row>
    <row r="34" ht="253.5" spans="2:13">
      <c r="B34" s="203" t="s">
        <v>200</v>
      </c>
    </row>
    <row r="35" ht="19.5" spans="2:13">
      <c r="C35" s="211" t="s">
        <v>201</v>
      </c>
    </row>
    <row r="36" ht="409.5" spans="2:13">
      <c r="C36" s="309" t="s">
        <v>171</v>
      </c>
      <c r="D36" s="209" t="s">
        <v>202</v>
      </c>
    </row>
    <row r="37" ht="409.5" spans="2:13">
      <c r="C37" s="309" t="s">
        <v>171</v>
      </c>
      <c r="D37" s="209" t="s">
        <v>203</v>
      </c>
    </row>
    <row r="38" ht="331.5" spans="2:13">
      <c r="C38" s="309" t="s">
        <v>171</v>
      </c>
      <c r="D38" s="209" t="s">
        <v>204</v>
      </c>
    </row>
    <row r="39" ht="331.5" spans="2:13">
      <c r="C39" s="309" t="s">
        <v>171</v>
      </c>
      <c r="D39" s="209" t="s">
        <v>205</v>
      </c>
    </row>
    <row r="40" ht="273" spans="2:13">
      <c r="C40" s="309" t="s">
        <v>171</v>
      </c>
      <c r="D40" s="209" t="s">
        <v>206</v>
      </c>
    </row>
    <row r="41" ht="312" spans="2:13">
      <c r="C41" s="207" t="s">
        <v>207</v>
      </c>
    </row>
    <row r="42" ht="409.5" spans="2:13">
      <c r="C42" s="309" t="s">
        <v>171</v>
      </c>
      <c r="D42" s="209" t="s">
        <v>208</v>
      </c>
    </row>
    <row r="43" ht="409.5" spans="2:13">
      <c r="C43" s="309" t="s">
        <v>171</v>
      </c>
      <c r="D43" s="209" t="s">
        <v>209</v>
      </c>
    </row>
    <row r="44" ht="292.5" spans="2:13">
      <c r="C44" s="309" t="s">
        <v>171</v>
      </c>
      <c r="D44" s="209" t="s">
        <v>210</v>
      </c>
    </row>
    <row r="46" ht="60" customHeight="1" spans="2:13">
      <c r="D46" s="212" t="s">
        <v>211</v>
      </c>
      <c r="E46" s="212" t="s">
        <v>212</v>
      </c>
      <c r="F46" s="212" t="s">
        <v>213</v>
      </c>
      <c r="G46" s="212" t="s">
        <v>214</v>
      </c>
      <c r="H46" s="212" t="s">
        <v>215</v>
      </c>
      <c r="I46" s="212" t="s">
        <v>216</v>
      </c>
      <c r="J46" s="212" t="s">
        <v>217</v>
      </c>
      <c r="K46" s="212" t="s">
        <v>218</v>
      </c>
      <c r="L46" s="212" t="s">
        <v>219</v>
      </c>
      <c r="M46" s="212" t="s">
        <v>220</v>
      </c>
    </row>
    <row r="47" ht="32" customHeight="1" spans="2:13">
      <c r="D47" s="213">
        <v>1</v>
      </c>
      <c r="E47" s="214" t="s">
        <v>45</v>
      </c>
      <c r="F47" s="213">
        <f>'PH1-Đánh giá kết quả'!C16</f>
        <v>73</v>
      </c>
      <c r="G47" s="213">
        <f>'PH1-Đánh giá kết quả'!D16</f>
        <v>11</v>
      </c>
      <c r="H47" s="213">
        <f>'PH1-Đánh giá kết quả'!E16</f>
        <v>0</v>
      </c>
      <c r="I47" s="213">
        <v>0</v>
      </c>
      <c r="J47" s="213">
        <f t="shared" ref="J47:J56" si="0">F47+G47+H47+I47</f>
        <v>84</v>
      </c>
      <c r="K47" s="215">
        <f t="shared" ref="K47:K57" si="1">IFERROR(F47/J47,0)</f>
        <v>0.869047619047619</v>
      </c>
      <c r="L47" s="215">
        <f t="shared" ref="L47:L57" si="2">IFERROR(G47/J47,0)</f>
        <v>0.130952380952381</v>
      </c>
      <c r="M47" s="216" t="s">
        <v>7</v>
      </c>
    </row>
    <row r="48" ht="32" customHeight="1" spans="2:13">
      <c r="D48" s="213">
        <v>2</v>
      </c>
      <c r="E48" s="214" t="s">
        <v>46</v>
      </c>
      <c r="F48" s="213">
        <f>'PH2-Đánh giá kết quả'!C16</f>
        <v>111</v>
      </c>
      <c r="G48" s="213">
        <f>'PH2-Đánh giá kết quả'!D16</f>
        <v>22</v>
      </c>
      <c r="H48" s="213">
        <f>'PH2-Đánh giá kết quả'!E16</f>
        <v>0</v>
      </c>
      <c r="I48" s="213">
        <v>0</v>
      </c>
      <c r="J48" s="213">
        <f t="shared" si="0"/>
        <v>133</v>
      </c>
      <c r="K48" s="215">
        <f t="shared" si="1"/>
        <v>0.834586466165414</v>
      </c>
      <c r="L48" s="215">
        <f t="shared" si="2"/>
        <v>0.165413533834586</v>
      </c>
      <c r="M48" s="216" t="s">
        <v>7</v>
      </c>
    </row>
    <row r="49" ht="32" customHeight="1" spans="4:13">
      <c r="D49" s="213">
        <v>3</v>
      </c>
      <c r="E49" s="214" t="s">
        <v>47</v>
      </c>
      <c r="F49" s="213">
        <f>'PH3-Đánh giá kết quả'!C16</f>
        <v>72</v>
      </c>
      <c r="G49" s="213">
        <f>'PH3-Đánh giá kết quả'!D16</f>
        <v>13</v>
      </c>
      <c r="H49" s="213">
        <f>'PH3-Đánh giá kết quả'!E16</f>
        <v>0</v>
      </c>
      <c r="I49" s="213">
        <v>0</v>
      </c>
      <c r="J49" s="213">
        <f t="shared" si="0"/>
        <v>85</v>
      </c>
      <c r="K49" s="215">
        <f t="shared" si="1"/>
        <v>0.847058823529412</v>
      </c>
      <c r="L49" s="215">
        <f t="shared" si="2"/>
        <v>0.152941176470588</v>
      </c>
      <c r="M49" s="216" t="s">
        <v>7</v>
      </c>
    </row>
    <row r="50" ht="32" customHeight="1" spans="4:13">
      <c r="D50" s="213">
        <v>4</v>
      </c>
      <c r="E50" s="214" t="s">
        <v>48</v>
      </c>
      <c r="F50" s="213">
        <f>'PH4-Đánh giá kết quả'!C16</f>
        <v>49</v>
      </c>
      <c r="G50" s="213">
        <f>'PH4-Đánh giá kết quả'!D16</f>
        <v>8</v>
      </c>
      <c r="H50" s="213">
        <f>'PH4-Đánh giá kết quả'!E16</f>
        <v>0</v>
      </c>
      <c r="I50" s="213">
        <v>0</v>
      </c>
      <c r="J50" s="213">
        <f t="shared" si="0"/>
        <v>57</v>
      </c>
      <c r="K50" s="215">
        <f t="shared" si="1"/>
        <v>0.859649122807018</v>
      </c>
      <c r="L50" s="215">
        <f t="shared" si="2"/>
        <v>0.140350877192982</v>
      </c>
      <c r="M50" s="216" t="s">
        <v>7</v>
      </c>
    </row>
    <row r="51" ht="32" customHeight="1" spans="4:13">
      <c r="D51" s="213">
        <v>5</v>
      </c>
      <c r="E51" s="214" t="s">
        <v>49</v>
      </c>
      <c r="F51" s="213">
        <f>'PH5-Đánh giá kết quả'!C16</f>
        <v>58</v>
      </c>
      <c r="G51" s="213">
        <f>'PH5-Đánh giá kết quả'!D16</f>
        <v>10</v>
      </c>
      <c r="H51" s="213">
        <f>'PH5-Đánh giá kết quả'!E16</f>
        <v>0</v>
      </c>
      <c r="I51" s="213">
        <v>0</v>
      </c>
      <c r="J51" s="213">
        <f t="shared" si="0"/>
        <v>68</v>
      </c>
      <c r="K51" s="215">
        <f t="shared" si="1"/>
        <v>0.852941176470588</v>
      </c>
      <c r="L51" s="215">
        <f t="shared" si="2"/>
        <v>0.147058823529412</v>
      </c>
      <c r="M51" s="216" t="s">
        <v>7</v>
      </c>
    </row>
    <row r="52" ht="32" customHeight="1" spans="4:13">
      <c r="D52" s="213">
        <v>6</v>
      </c>
      <c r="E52" s="214" t="s">
        <v>50</v>
      </c>
      <c r="F52" s="213">
        <f>'PH6-Đánh giá kết quả'!C16</f>
        <v>65</v>
      </c>
      <c r="G52" s="213">
        <f>'PH6-Đánh giá kết quả'!D16</f>
        <v>9</v>
      </c>
      <c r="H52" s="213">
        <f>'PH6-Đánh giá kết quả'!E16</f>
        <v>0</v>
      </c>
      <c r="I52" s="213">
        <v>0</v>
      </c>
      <c r="J52" s="213">
        <f t="shared" si="0"/>
        <v>74</v>
      </c>
      <c r="K52" s="215">
        <f t="shared" si="1"/>
        <v>0.878378378378378</v>
      </c>
      <c r="L52" s="215">
        <f t="shared" si="2"/>
        <v>0.121621621621622</v>
      </c>
      <c r="M52" s="216" t="s">
        <v>7</v>
      </c>
    </row>
    <row r="53" ht="32" customHeight="1" spans="4:13">
      <c r="D53" s="213">
        <v>7</v>
      </c>
      <c r="E53" s="214" t="s">
        <v>51</v>
      </c>
      <c r="F53" s="213">
        <f>'PH7-Đánh giá kết quả'!C16</f>
        <v>27</v>
      </c>
      <c r="G53" s="213">
        <f>'PH7-Đánh giá kết quả'!D16</f>
        <v>10</v>
      </c>
      <c r="H53" s="213">
        <f>'PH7-Đánh giá kết quả'!E16</f>
        <v>0</v>
      </c>
      <c r="I53" s="213">
        <v>0</v>
      </c>
      <c r="J53" s="213">
        <f t="shared" si="0"/>
        <v>37</v>
      </c>
      <c r="K53" s="215">
        <f t="shared" si="1"/>
        <v>0.72972972972973</v>
      </c>
      <c r="L53" s="215">
        <f t="shared" si="2"/>
        <v>0.27027027027027</v>
      </c>
      <c r="M53" s="216" t="s">
        <v>7</v>
      </c>
    </row>
    <row r="54" ht="32" customHeight="1" spans="4:13">
      <c r="D54" s="213">
        <v>8</v>
      </c>
      <c r="E54" s="214" t="s">
        <v>52</v>
      </c>
      <c r="F54" s="213">
        <f>'PH8-Đánh giá kết quả'!C16</f>
        <v>67</v>
      </c>
      <c r="G54" s="213">
        <f>'PH8-Đánh giá kết quả'!D16</f>
        <v>6</v>
      </c>
      <c r="H54" s="213">
        <f>'PH8-Đánh giá kết quả'!E16</f>
        <v>0</v>
      </c>
      <c r="I54" s="213">
        <v>0</v>
      </c>
      <c r="J54" s="213">
        <f t="shared" si="0"/>
        <v>73</v>
      </c>
      <c r="K54" s="215">
        <f t="shared" si="1"/>
        <v>0.917808219178082</v>
      </c>
      <c r="L54" s="215">
        <f t="shared" si="2"/>
        <v>0.0821917808219178</v>
      </c>
      <c r="M54" s="216" t="s">
        <v>7</v>
      </c>
    </row>
    <row r="55" ht="32" customHeight="1" spans="4:13">
      <c r="D55" s="213">
        <v>9</v>
      </c>
      <c r="E55" s="214" t="s">
        <v>53</v>
      </c>
      <c r="F55" s="213">
        <f>'PH9-Đánh giá kết quả'!C16</f>
        <v>57</v>
      </c>
      <c r="G55" s="213">
        <f>'PH9-Đánh giá kết quả'!D16</f>
        <v>10</v>
      </c>
      <c r="H55" s="213">
        <f>'PH9-Đánh giá kết quả'!E16</f>
        <v>0</v>
      </c>
      <c r="I55" s="213">
        <v>0</v>
      </c>
      <c r="J55" s="213">
        <f t="shared" si="0"/>
        <v>67</v>
      </c>
      <c r="K55" s="215">
        <f t="shared" si="1"/>
        <v>0.850746268656716</v>
      </c>
      <c r="L55" s="215">
        <f t="shared" si="2"/>
        <v>0.149253731343284</v>
      </c>
      <c r="M55" s="216" t="s">
        <v>7</v>
      </c>
    </row>
    <row r="56" ht="32" customHeight="1" spans="4:13">
      <c r="D56" s="213">
        <v>10</v>
      </c>
      <c r="E56" s="214" t="s">
        <v>54</v>
      </c>
      <c r="F56" s="213">
        <f>'PH10-Đánh giá kết quả'!C16</f>
        <v>90</v>
      </c>
      <c r="G56" s="213">
        <f>'PH10-Đánh giá kết quả'!D16</f>
        <v>12</v>
      </c>
      <c r="H56" s="213">
        <f>'PH10-Đánh giá kết quả'!E16</f>
        <v>0</v>
      </c>
      <c r="I56" s="213">
        <v>0</v>
      </c>
      <c r="J56" s="213">
        <f t="shared" si="0"/>
        <v>102</v>
      </c>
      <c r="K56" s="215">
        <f t="shared" si="1"/>
        <v>0.882352941176471</v>
      </c>
      <c r="L56" s="215">
        <f t="shared" si="2"/>
        <v>0.117647058823529</v>
      </c>
      <c r="M56" s="216" t="s">
        <v>7</v>
      </c>
    </row>
    <row r="57" spans="4:13">
      <c r="D57" s="217" t="s">
        <v>221</v>
      </c>
      <c r="E57" s="217" t="s">
        <v>7</v>
      </c>
      <c r="F57" s="218">
        <f>SUM(F47:F56)</f>
        <v>669</v>
      </c>
      <c r="G57" s="218">
        <f>SUM(G47:G56)</f>
        <v>111</v>
      </c>
      <c r="H57" s="218">
        <f>SUM(H47:H56)</f>
        <v>0</v>
      </c>
      <c r="I57" s="218">
        <f>SUM(I47:I56)</f>
        <v>0</v>
      </c>
      <c r="J57" s="218">
        <f>SUM(J47:J56)</f>
        <v>780</v>
      </c>
      <c r="K57" s="219">
        <f t="shared" si="1"/>
        <v>0.857692307692308</v>
      </c>
      <c r="L57" s="219">
        <f t="shared" si="2"/>
        <v>0.142307692307692</v>
      </c>
      <c r="M57" s="217" t="s">
        <v>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3"/>
  <sheetViews>
    <sheetView topLeftCell="A104" workbookViewId="0">
      <selection activeCell="A1" sqref="A1:F1"/>
    </sheetView>
  </sheetViews>
  <sheetFormatPr defaultColWidth="9" defaultRowHeight="15" outlineLevelCol="5"/>
  <cols>
    <col min="1" max="1" width="30" customWidth="1"/>
    <col min="2" max="2" width="28" customWidth="1"/>
    <col min="3" max="6" width="30" customWidth="1"/>
  </cols>
  <sheetData>
    <row r="1" ht="19.5" spans="1:4">
      <c r="A1" s="203" t="s">
        <v>222</v>
      </c>
    </row>
    <row r="3" customHeight="1" spans="1:4">
      <c r="A3" s="204" t="s">
        <v>223</v>
      </c>
      <c r="B3" s="204" t="s">
        <v>30</v>
      </c>
    </row>
    <row r="4" customHeight="1" spans="1:4">
      <c r="A4" s="205" t="s">
        <v>224</v>
      </c>
      <c r="B4" s="205" t="s">
        <v>225</v>
      </c>
    </row>
    <row r="5" customHeight="1" spans="1:4">
      <c r="A5" s="205" t="s">
        <v>226</v>
      </c>
      <c r="B5" s="205" t="s">
        <v>227</v>
      </c>
    </row>
    <row r="6" customHeight="1" spans="1:4">
      <c r="A6" s="205" t="s">
        <v>228</v>
      </c>
      <c r="B6" s="205" t="s">
        <v>229</v>
      </c>
    </row>
    <row r="7" customHeight="1" spans="1:4">
      <c r="A7" s="205" t="s">
        <v>230</v>
      </c>
      <c r="B7" s="205" t="s">
        <v>231</v>
      </c>
    </row>
    <row r="8" customHeight="1" spans="1:4">
      <c r="A8" s="205" t="s">
        <v>232</v>
      </c>
      <c r="B8" s="205" t="s">
        <v>233</v>
      </c>
    </row>
    <row r="9" ht="30" customHeight="1" spans="1:4">
      <c r="A9" s="205" t="s">
        <v>234</v>
      </c>
      <c r="B9" s="205" t="s">
        <v>235</v>
      </c>
    </row>
    <row r="10" customHeight="1" spans="1:4">
      <c r="A10" s="205" t="s">
        <v>236</v>
      </c>
      <c r="B10" s="205" t="s">
        <v>237</v>
      </c>
    </row>
    <row r="11" customHeight="1" spans="1:4">
      <c r="A11" s="205" t="s">
        <v>238</v>
      </c>
      <c r="B11" s="205" t="s">
        <v>237</v>
      </c>
    </row>
    <row r="12" customHeight="1" spans="1:4">
      <c r="A12" s="205" t="s">
        <v>239</v>
      </c>
      <c r="B12" s="205" t="s">
        <v>237</v>
      </c>
    </row>
    <row r="14" customHeight="1" spans="1:4">
      <c r="A14" s="3" t="s">
        <v>240</v>
      </c>
    </row>
    <row r="15" ht="19.5" spans="1:4">
      <c r="A15" s="206" t="s">
        <v>241</v>
      </c>
    </row>
    <row r="16" customHeight="1" spans="1:4">
      <c r="A16" s="204" t="s">
        <v>230</v>
      </c>
      <c r="B16" s="204" t="s">
        <v>242</v>
      </c>
      <c r="C16" s="204" t="s">
        <v>243</v>
      </c>
      <c r="D16" s="204" t="s">
        <v>220</v>
      </c>
    </row>
    <row r="17" customHeight="1" spans="1:4">
      <c r="A17" s="205" t="s">
        <v>231</v>
      </c>
      <c r="B17" s="205" t="s">
        <v>233</v>
      </c>
      <c r="C17" s="205" t="s">
        <v>244</v>
      </c>
      <c r="D17" s="205" t="s">
        <v>237</v>
      </c>
    </row>
    <row r="19" ht="19.5" spans="1:4">
      <c r="A19" s="206" t="s">
        <v>245</v>
      </c>
    </row>
    <row r="20" customHeight="1" spans="1:4">
      <c r="A20" s="204" t="s">
        <v>224</v>
      </c>
      <c r="B20" s="204" t="s">
        <v>242</v>
      </c>
      <c r="C20" s="204" t="s">
        <v>246</v>
      </c>
    </row>
    <row r="21" ht="30" customHeight="1" spans="1:4">
      <c r="A21" s="205" t="s">
        <v>247</v>
      </c>
      <c r="B21" s="205" t="s">
        <v>248</v>
      </c>
      <c r="C21" s="205" t="s">
        <v>249</v>
      </c>
    </row>
    <row r="22" customHeight="1" spans="1:4">
      <c r="A22" s="205" t="s">
        <v>250</v>
      </c>
      <c r="B22" s="205" t="s">
        <v>251</v>
      </c>
      <c r="C22" s="205" t="s">
        <v>252</v>
      </c>
    </row>
    <row r="23" customHeight="1" spans="1:4">
      <c r="A23" s="205" t="s">
        <v>253</v>
      </c>
      <c r="B23" s="205" t="s">
        <v>254</v>
      </c>
      <c r="C23" s="205" t="s">
        <v>255</v>
      </c>
    </row>
    <row r="24" ht="30" customHeight="1" spans="1:4">
      <c r="A24" s="205" t="s">
        <v>256</v>
      </c>
      <c r="B24" s="205" t="s">
        <v>257</v>
      </c>
      <c r="C24" s="205" t="s">
        <v>258</v>
      </c>
    </row>
    <row r="25" ht="30" customHeight="1" spans="1:4">
      <c r="A25" s="205" t="s">
        <v>259</v>
      </c>
      <c r="B25" s="205" t="s">
        <v>257</v>
      </c>
      <c r="C25" s="205" t="s">
        <v>42</v>
      </c>
    </row>
    <row r="26" ht="30" customHeight="1" spans="1:4">
      <c r="A26" s="205" t="s">
        <v>260</v>
      </c>
      <c r="B26" s="205" t="s">
        <v>257</v>
      </c>
      <c r="C26" s="205" t="s">
        <v>261</v>
      </c>
    </row>
    <row r="28" ht="19.5" spans="1:4">
      <c r="A28" s="206" t="s">
        <v>262</v>
      </c>
    </row>
    <row r="29" ht="19.5" spans="1:4">
      <c r="A29" s="206" t="s">
        <v>263</v>
      </c>
    </row>
    <row r="30" customHeight="1" spans="1:4">
      <c r="A30" s="3" t="s">
        <v>264</v>
      </c>
    </row>
    <row r="31" customHeight="1" spans="1:4">
      <c r="A31" s="3" t="s">
        <v>265</v>
      </c>
    </row>
    <row r="32" ht="19.5" spans="1:4">
      <c r="A32" s="206" t="s">
        <v>266</v>
      </c>
    </row>
    <row r="33" customHeight="1" spans="1:3">
      <c r="A33" s="3" t="s">
        <v>267</v>
      </c>
    </row>
    <row r="34" ht="19.5" spans="1:3">
      <c r="A34" s="206" t="s">
        <v>268</v>
      </c>
    </row>
    <row r="35" customHeight="1" spans="1:3">
      <c r="A35" s="3" t="s">
        <v>269</v>
      </c>
    </row>
    <row r="36" ht="19.5" spans="1:3">
      <c r="A36" s="206" t="s">
        <v>270</v>
      </c>
    </row>
    <row r="37" ht="19.5" spans="1:3">
      <c r="A37" s="206" t="s">
        <v>271</v>
      </c>
    </row>
    <row r="38" customHeight="1" spans="1:3">
      <c r="A38" s="204" t="s">
        <v>272</v>
      </c>
      <c r="B38" s="204" t="s">
        <v>273</v>
      </c>
      <c r="C38" s="204" t="s">
        <v>274</v>
      </c>
    </row>
    <row r="39" ht="30" customHeight="1" spans="1:3">
      <c r="A39" s="205" t="s">
        <v>275</v>
      </c>
      <c r="B39" s="205" t="s">
        <v>276</v>
      </c>
      <c r="C39" s="205" t="s">
        <v>277</v>
      </c>
    </row>
    <row r="40" ht="30" customHeight="1" spans="1:3">
      <c r="A40" s="205" t="s">
        <v>278</v>
      </c>
      <c r="B40" s="205" t="s">
        <v>279</v>
      </c>
      <c r="C40" s="205" t="s">
        <v>280</v>
      </c>
    </row>
    <row r="41" ht="30" customHeight="1" spans="1:3">
      <c r="A41" s="205" t="s">
        <v>281</v>
      </c>
      <c r="B41" s="205" t="s">
        <v>282</v>
      </c>
      <c r="C41" s="205" t="s">
        <v>283</v>
      </c>
    </row>
    <row r="42" ht="30" customHeight="1" spans="1:3">
      <c r="A42" s="205" t="s">
        <v>284</v>
      </c>
      <c r="B42" s="205" t="s">
        <v>285</v>
      </c>
      <c r="C42" s="205" t="s">
        <v>286</v>
      </c>
    </row>
    <row r="43" ht="30" customHeight="1" spans="1:3">
      <c r="A43" s="205" t="s">
        <v>287</v>
      </c>
      <c r="B43" s="205" t="s">
        <v>288</v>
      </c>
      <c r="C43" s="205" t="s">
        <v>289</v>
      </c>
    </row>
    <row r="44" ht="30" customHeight="1" spans="1:3">
      <c r="A44" s="205" t="s">
        <v>290</v>
      </c>
      <c r="B44" s="205" t="s">
        <v>291</v>
      </c>
      <c r="C44" s="205" t="s">
        <v>292</v>
      </c>
    </row>
    <row r="45" ht="30" customHeight="1" spans="1:3">
      <c r="A45" s="205" t="s">
        <v>293</v>
      </c>
      <c r="B45" s="205" t="s">
        <v>294</v>
      </c>
      <c r="C45" s="205" t="s">
        <v>295</v>
      </c>
    </row>
    <row r="46" ht="30" customHeight="1" spans="1:3">
      <c r="A46" s="205" t="s">
        <v>296</v>
      </c>
      <c r="B46" s="205" t="s">
        <v>297</v>
      </c>
      <c r="C46" s="205" t="s">
        <v>298</v>
      </c>
    </row>
    <row r="47" ht="30" customHeight="1" spans="1:3">
      <c r="A47" s="205" t="s">
        <v>299</v>
      </c>
      <c r="B47" s="205" t="s">
        <v>300</v>
      </c>
      <c r="C47" s="205" t="s">
        <v>301</v>
      </c>
    </row>
    <row r="48" ht="30" customHeight="1" spans="1:3">
      <c r="A48" s="205" t="s">
        <v>302</v>
      </c>
      <c r="B48" s="205" t="s">
        <v>303</v>
      </c>
      <c r="C48" s="205" t="s">
        <v>304</v>
      </c>
    </row>
    <row r="50" ht="19.5" spans="1:5">
      <c r="A50" s="206" t="s">
        <v>305</v>
      </c>
    </row>
    <row r="51" customHeight="1" spans="1:5">
      <c r="A51" s="3" t="s">
        <v>306</v>
      </c>
    </row>
    <row r="52" customHeight="1" spans="1:5">
      <c r="A52" s="3" t="s">
        <v>307</v>
      </c>
    </row>
    <row r="53" customHeight="1" spans="1:5">
      <c r="A53" s="3" t="s">
        <v>308</v>
      </c>
    </row>
    <row r="54" customHeight="1" spans="1:5">
      <c r="A54" s="3" t="s">
        <v>309</v>
      </c>
    </row>
    <row r="55" ht="19.5" spans="1:5">
      <c r="A55" s="206" t="s">
        <v>310</v>
      </c>
    </row>
    <row r="56" ht="19.5" spans="1:5">
      <c r="A56" s="206" t="s">
        <v>311</v>
      </c>
    </row>
    <row r="57" customHeight="1" spans="1:5">
      <c r="A57" s="204" t="s">
        <v>312</v>
      </c>
      <c r="B57" s="204" t="s">
        <v>313</v>
      </c>
      <c r="C57" s="204" t="s">
        <v>314</v>
      </c>
      <c r="D57" s="204" t="s">
        <v>315</v>
      </c>
    </row>
    <row r="58" ht="45" customHeight="1" spans="1:5">
      <c r="A58" s="205" t="s">
        <v>82</v>
      </c>
      <c r="B58" s="205" t="s">
        <v>316</v>
      </c>
      <c r="C58" s="205" t="s">
        <v>317</v>
      </c>
      <c r="D58" s="205" t="s">
        <v>318</v>
      </c>
    </row>
    <row r="59" ht="45" customHeight="1" spans="1:5">
      <c r="A59" s="205" t="s">
        <v>319</v>
      </c>
      <c r="B59" s="205" t="s">
        <v>320</v>
      </c>
      <c r="C59" s="205" t="s">
        <v>321</v>
      </c>
      <c r="D59" s="205" t="s">
        <v>322</v>
      </c>
    </row>
    <row r="60" ht="30" customHeight="1" spans="1:5">
      <c r="A60" s="205" t="s">
        <v>323</v>
      </c>
      <c r="B60" s="205" t="s">
        <v>324</v>
      </c>
      <c r="C60" s="205" t="s">
        <v>325</v>
      </c>
      <c r="D60" s="205" t="s">
        <v>326</v>
      </c>
    </row>
    <row r="61" ht="30" customHeight="1" spans="1:5">
      <c r="A61" s="205" t="s">
        <v>327</v>
      </c>
      <c r="B61" s="205" t="s">
        <v>328</v>
      </c>
      <c r="C61" s="205" t="s">
        <v>329</v>
      </c>
      <c r="D61" s="205" t="s">
        <v>330</v>
      </c>
    </row>
    <row r="63" ht="19.5" spans="1:5">
      <c r="A63" s="206" t="s">
        <v>331</v>
      </c>
    </row>
    <row r="64" customHeight="1" spans="1:5">
      <c r="A64" s="204" t="s">
        <v>332</v>
      </c>
      <c r="B64" s="204" t="s">
        <v>313</v>
      </c>
      <c r="C64" s="204" t="s">
        <v>314</v>
      </c>
      <c r="D64" s="204" t="s">
        <v>315</v>
      </c>
      <c r="E64" s="204" t="s">
        <v>333</v>
      </c>
    </row>
    <row r="65" ht="30" customHeight="1" spans="1:5">
      <c r="A65" s="205" t="s">
        <v>334</v>
      </c>
      <c r="B65" s="205" t="s">
        <v>335</v>
      </c>
      <c r="C65" s="205" t="s">
        <v>336</v>
      </c>
      <c r="D65" s="205" t="s">
        <v>337</v>
      </c>
      <c r="E65" s="205" t="s">
        <v>338</v>
      </c>
    </row>
    <row r="66" ht="30" customHeight="1" spans="1:5">
      <c r="A66" s="205" t="s">
        <v>339</v>
      </c>
      <c r="B66" s="205" t="s">
        <v>340</v>
      </c>
      <c r="C66" s="205" t="s">
        <v>341</v>
      </c>
      <c r="D66" s="205" t="s">
        <v>342</v>
      </c>
      <c r="E66" s="205" t="s">
        <v>343</v>
      </c>
    </row>
    <row r="67" ht="30" customHeight="1" spans="1:5">
      <c r="A67" s="205" t="s">
        <v>344</v>
      </c>
      <c r="B67" s="205" t="s">
        <v>345</v>
      </c>
      <c r="C67" s="205" t="s">
        <v>346</v>
      </c>
      <c r="D67" s="205" t="s">
        <v>347</v>
      </c>
      <c r="E67" s="205" t="s">
        <v>348</v>
      </c>
    </row>
    <row r="68" ht="30" customHeight="1" spans="1:5">
      <c r="A68" s="205" t="s">
        <v>349</v>
      </c>
      <c r="B68" s="205" t="s">
        <v>350</v>
      </c>
      <c r="C68" s="205" t="s">
        <v>351</v>
      </c>
      <c r="D68" s="205" t="s">
        <v>352</v>
      </c>
      <c r="E68" s="205" t="s">
        <v>353</v>
      </c>
    </row>
    <row r="69" ht="30" customHeight="1" spans="1:5">
      <c r="A69" s="205" t="s">
        <v>354</v>
      </c>
      <c r="B69" s="205" t="s">
        <v>355</v>
      </c>
      <c r="C69" s="205" t="s">
        <v>356</v>
      </c>
      <c r="D69" s="205" t="s">
        <v>357</v>
      </c>
      <c r="E69" s="205" t="s">
        <v>358</v>
      </c>
    </row>
    <row r="70" ht="30" customHeight="1" spans="1:5">
      <c r="A70" s="205" t="s">
        <v>359</v>
      </c>
      <c r="B70" s="205" t="s">
        <v>360</v>
      </c>
      <c r="C70" s="205" t="s">
        <v>361</v>
      </c>
      <c r="D70" s="205" t="s">
        <v>362</v>
      </c>
      <c r="E70" s="205" t="s">
        <v>7</v>
      </c>
    </row>
    <row r="72" ht="19.5" spans="1:5">
      <c r="A72" s="206" t="s">
        <v>363</v>
      </c>
    </row>
    <row r="73" customHeight="1" spans="1:5">
      <c r="A73" s="3" t="s">
        <v>364</v>
      </c>
    </row>
    <row r="74" customHeight="1" spans="1:5">
      <c r="A74" s="3" t="s">
        <v>365</v>
      </c>
    </row>
    <row r="75" customHeight="1" spans="1:5">
      <c r="A75" s="3" t="s">
        <v>366</v>
      </c>
    </row>
    <row r="76" ht="19.5" spans="1:5">
      <c r="A76" s="203" t="s">
        <v>367</v>
      </c>
    </row>
    <row r="77" customHeight="1" spans="1:5">
      <c r="A77" s="3" t="s">
        <v>368</v>
      </c>
    </row>
    <row r="78" ht="30" customHeight="1" spans="1:5">
      <c r="A78" s="3" t="s">
        <v>369</v>
      </c>
    </row>
    <row r="79" customHeight="1" spans="1:5">
      <c r="A79" s="3" t="s">
        <v>370</v>
      </c>
    </row>
    <row r="80" customHeight="1" spans="1:5">
      <c r="A80" s="3" t="s">
        <v>371</v>
      </c>
    </row>
    <row r="81" ht="19.5" spans="1:3">
      <c r="A81" s="206" t="s">
        <v>372</v>
      </c>
    </row>
    <row r="82" customHeight="1" spans="1:3">
      <c r="A82" s="3" t="s">
        <v>373</v>
      </c>
    </row>
    <row r="83" customHeight="1" spans="1:3">
      <c r="A83" s="3" t="s">
        <v>374</v>
      </c>
    </row>
    <row r="84" customHeight="1" spans="1:3">
      <c r="A84" s="3" t="s">
        <v>375</v>
      </c>
    </row>
    <row r="85" ht="19.5" spans="1:3">
      <c r="A85" s="206" t="s">
        <v>376</v>
      </c>
    </row>
    <row r="86" ht="30" customHeight="1" spans="1:3">
      <c r="A86" s="204" t="s">
        <v>377</v>
      </c>
      <c r="B86" s="204" t="s">
        <v>378</v>
      </c>
      <c r="C86" s="204" t="s">
        <v>379</v>
      </c>
    </row>
    <row r="87" ht="45" customHeight="1" spans="1:3">
      <c r="A87" s="205" t="s">
        <v>380</v>
      </c>
      <c r="B87" s="205" t="s">
        <v>381</v>
      </c>
      <c r="C87" s="205" t="s">
        <v>382</v>
      </c>
    </row>
    <row r="88" ht="30" customHeight="1" spans="1:3">
      <c r="A88" s="205" t="s">
        <v>383</v>
      </c>
      <c r="B88" s="205" t="s">
        <v>384</v>
      </c>
      <c r="C88" s="205" t="s">
        <v>385</v>
      </c>
    </row>
    <row r="89" ht="30" customHeight="1" spans="1:3">
      <c r="A89" s="205" t="s">
        <v>386</v>
      </c>
      <c r="B89" s="205" t="s">
        <v>381</v>
      </c>
      <c r="C89" s="205" t="s">
        <v>387</v>
      </c>
    </row>
    <row r="90" ht="30" customHeight="1" spans="1:3">
      <c r="A90" s="205" t="s">
        <v>388</v>
      </c>
      <c r="B90" s="205" t="s">
        <v>384</v>
      </c>
      <c r="C90" s="205" t="s">
        <v>389</v>
      </c>
    </row>
    <row r="91" ht="30" customHeight="1" spans="1:3">
      <c r="A91" s="205" t="s">
        <v>390</v>
      </c>
      <c r="B91" s="205" t="s">
        <v>384</v>
      </c>
      <c r="C91" s="205" t="s">
        <v>391</v>
      </c>
    </row>
    <row r="92" ht="30" customHeight="1" spans="1:3">
      <c r="A92" s="205" t="s">
        <v>392</v>
      </c>
      <c r="B92" s="205" t="s">
        <v>393</v>
      </c>
      <c r="C92" s="205" t="s">
        <v>394</v>
      </c>
    </row>
    <row r="94" ht="19.5" spans="1:3">
      <c r="A94" s="206" t="s">
        <v>395</v>
      </c>
    </row>
    <row r="95" customHeight="1" spans="1:3">
      <c r="A95" s="3" t="s">
        <v>396</v>
      </c>
    </row>
    <row r="96" customHeight="1" spans="1:3">
      <c r="A96" s="3" t="s">
        <v>397</v>
      </c>
    </row>
    <row r="97" ht="19.5" spans="1:3">
      <c r="A97" s="206" t="s">
        <v>398</v>
      </c>
    </row>
    <row r="98" customHeight="1" spans="1:3">
      <c r="A98" s="204" t="s">
        <v>399</v>
      </c>
      <c r="B98" s="204" t="s">
        <v>400</v>
      </c>
    </row>
    <row r="99" customHeight="1" spans="1:3">
      <c r="A99" s="205" t="s">
        <v>401</v>
      </c>
      <c r="B99" s="205" t="s">
        <v>233</v>
      </c>
    </row>
    <row r="100" customHeight="1" spans="1:3">
      <c r="A100" s="205" t="s">
        <v>402</v>
      </c>
      <c r="B100" s="205" t="s">
        <v>233</v>
      </c>
    </row>
    <row r="101" customHeight="1" spans="1:3">
      <c r="A101" s="205" t="s">
        <v>403</v>
      </c>
      <c r="B101" s="205" t="s">
        <v>233</v>
      </c>
    </row>
    <row r="102" customHeight="1" spans="1:3">
      <c r="A102" s="205" t="s">
        <v>404</v>
      </c>
      <c r="B102" s="205" t="s">
        <v>405</v>
      </c>
    </row>
    <row r="103" customHeight="1" spans="1:3">
      <c r="A103" s="205" t="s">
        <v>406</v>
      </c>
      <c r="B103" s="205" t="s">
        <v>407</v>
      </c>
    </row>
    <row r="105" ht="19.5" spans="1:3">
      <c r="A105" s="206" t="s">
        <v>408</v>
      </c>
    </row>
    <row r="106" customHeight="1" spans="1:3">
      <c r="A106" s="204" t="s">
        <v>409</v>
      </c>
      <c r="B106" s="204" t="s">
        <v>410</v>
      </c>
      <c r="C106" s="204" t="s">
        <v>220</v>
      </c>
    </row>
    <row r="107" ht="30" customHeight="1" spans="1:3">
      <c r="A107" s="205" t="s">
        <v>411</v>
      </c>
      <c r="B107" s="205" t="s">
        <v>412</v>
      </c>
      <c r="C107" s="205" t="s">
        <v>237</v>
      </c>
    </row>
    <row r="108" ht="30" customHeight="1" spans="1:3">
      <c r="A108" s="205" t="s">
        <v>413</v>
      </c>
      <c r="B108" s="205" t="s">
        <v>414</v>
      </c>
      <c r="C108" s="205" t="s">
        <v>237</v>
      </c>
    </row>
    <row r="110" customHeight="1" spans="1:3">
      <c r="A110" s="3" t="s">
        <v>415</v>
      </c>
    </row>
    <row r="111" ht="19.5" spans="1:3">
      <c r="A111" s="206" t="s">
        <v>416</v>
      </c>
    </row>
    <row r="112" customHeight="1" spans="1:3">
      <c r="A112" s="3" t="s">
        <v>417</v>
      </c>
    </row>
    <row r="113" customHeight="1" spans="1:1">
      <c r="A113" s="3" t="s">
        <v>418</v>
      </c>
    </row>
  </sheetData>
  <mergeCells count="45">
    <mergeCell ref="A1:F1"/>
    <mergeCell ref="A14:F14"/>
    <mergeCell ref="A15:F15"/>
    <mergeCell ref="A19:F19"/>
    <mergeCell ref="A28:F28"/>
    <mergeCell ref="A29:F29"/>
    <mergeCell ref="A30:F30"/>
    <mergeCell ref="A31:F31"/>
    <mergeCell ref="A32:F32"/>
    <mergeCell ref="A33:F33"/>
    <mergeCell ref="A34:F34"/>
    <mergeCell ref="A35:F35"/>
    <mergeCell ref="A36:F36"/>
    <mergeCell ref="A37:F37"/>
    <mergeCell ref="A50:F50"/>
    <mergeCell ref="A51:F51"/>
    <mergeCell ref="A52:F52"/>
    <mergeCell ref="A53:F53"/>
    <mergeCell ref="A54:F54"/>
    <mergeCell ref="A55:F55"/>
    <mergeCell ref="A56:F56"/>
    <mergeCell ref="A63:F63"/>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94:F94"/>
    <mergeCell ref="A95:F95"/>
    <mergeCell ref="A96:F96"/>
    <mergeCell ref="A97:F97"/>
    <mergeCell ref="A105:F105"/>
    <mergeCell ref="A110:F110"/>
    <mergeCell ref="A111:F111"/>
    <mergeCell ref="A112:F112"/>
    <mergeCell ref="A113:F11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2"/>
  <sheetViews>
    <sheetView workbookViewId="0">
      <pane xSplit="1" ySplit="11" topLeftCell="B12" activePane="bottomRight" state="frozen"/>
      <selection/>
      <selection pane="topRight"/>
      <selection pane="bottomLeft"/>
      <selection pane="bottomRight" activeCell="A1" sqref="A1:F1"/>
    </sheetView>
  </sheetViews>
  <sheetFormatPr defaultColWidth="9" defaultRowHeight="15" outlineLevelCol="5"/>
  <cols>
    <col min="1" max="1" width="71" customWidth="1"/>
    <col min="2" max="2" width="13.4285714285714" customWidth="1"/>
    <col min="3" max="3" width="12.2857142857143" customWidth="1"/>
    <col min="4" max="4" width="12" customWidth="1"/>
    <col min="5" max="5" width="12.8571428571429" customWidth="1"/>
    <col min="6" max="6" width="14.2857142857143" customWidth="1"/>
  </cols>
  <sheetData>
    <row r="1" ht="24" customHeight="1" spans="1:6">
      <c r="A1" s="193" t="s">
        <v>419</v>
      </c>
      <c r="B1" s="194"/>
      <c r="C1" s="194"/>
      <c r="D1" s="194"/>
      <c r="E1" s="194"/>
      <c r="F1" s="194"/>
    </row>
    <row r="3" customHeight="1" spans="1:6">
      <c r="A3" s="195" t="s">
        <v>226</v>
      </c>
      <c r="B3" s="165" t="s">
        <v>227</v>
      </c>
      <c r="C3" s="147"/>
      <c r="D3" s="147"/>
      <c r="E3" s="147"/>
      <c r="F3" s="166"/>
    </row>
    <row r="4" customHeight="1" spans="1:6">
      <c r="A4" s="195" t="s">
        <v>420</v>
      </c>
      <c r="B4" s="165" t="s">
        <v>231</v>
      </c>
      <c r="C4" s="147"/>
      <c r="D4" s="147"/>
      <c r="E4" s="147"/>
      <c r="F4" s="166"/>
    </row>
    <row r="5" customHeight="1" spans="1:6">
      <c r="A5" s="195" t="s">
        <v>238</v>
      </c>
      <c r="B5" s="165" t="s">
        <v>7</v>
      </c>
      <c r="C5" s="147"/>
      <c r="D5" s="147"/>
      <c r="E5" s="147"/>
      <c r="F5" s="166"/>
    </row>
    <row r="6" customHeight="1" spans="1:6">
      <c r="A6" s="195" t="s">
        <v>421</v>
      </c>
      <c r="B6" s="165" t="s">
        <v>233</v>
      </c>
      <c r="C6" s="147"/>
      <c r="D6" s="147"/>
      <c r="E6" s="147"/>
      <c r="F6" s="166"/>
    </row>
    <row r="7" customHeight="1" spans="1:6">
      <c r="A7" s="195" t="s">
        <v>422</v>
      </c>
      <c r="B7" s="165" t="s">
        <v>60</v>
      </c>
      <c r="C7" s="147"/>
      <c r="D7" s="147"/>
      <c r="E7" s="147"/>
      <c r="F7" s="166"/>
    </row>
    <row r="8" ht="30" customHeight="1" spans="1:6">
      <c r="A8" s="195" t="s">
        <v>423</v>
      </c>
      <c r="B8" s="167" t="s">
        <v>424</v>
      </c>
      <c r="C8" s="147"/>
      <c r="D8" s="147"/>
      <c r="E8" s="147"/>
      <c r="F8" s="166"/>
    </row>
    <row r="9" customHeight="1" spans="1:6">
      <c r="A9" s="195" t="s">
        <v>425</v>
      </c>
      <c r="B9" s="165" t="s">
        <v>62</v>
      </c>
      <c r="C9" s="147"/>
      <c r="D9" s="147"/>
      <c r="E9" s="147"/>
      <c r="F9" s="166"/>
    </row>
    <row r="11" spans="1:6">
      <c r="A11" s="196" t="s">
        <v>426</v>
      </c>
      <c r="B11" s="197" t="s">
        <v>427</v>
      </c>
      <c r="C11" s="197" t="s">
        <v>428</v>
      </c>
      <c r="D11" s="197" t="s">
        <v>429</v>
      </c>
      <c r="E11" s="197" t="s">
        <v>430</v>
      </c>
      <c r="F11" s="197" t="s">
        <v>431</v>
      </c>
    </row>
    <row r="12" spans="1:6">
      <c r="A12" s="196" t="s">
        <v>432</v>
      </c>
      <c r="B12" s="196"/>
      <c r="C12" s="196"/>
      <c r="D12" s="196"/>
      <c r="E12" s="196"/>
      <c r="F12" s="196"/>
    </row>
    <row r="13" ht="300" customHeight="1" spans="1:6">
      <c r="A13" s="198" t="s">
        <v>433</v>
      </c>
      <c r="B13" s="199"/>
      <c r="C13" s="199" t="s">
        <v>434</v>
      </c>
      <c r="D13" s="199"/>
      <c r="E13" s="198" t="s">
        <v>435</v>
      </c>
      <c r="F13" s="199" t="s">
        <v>436</v>
      </c>
    </row>
    <row r="14" ht="180" customHeight="1" spans="1:6">
      <c r="A14" s="198" t="s">
        <v>437</v>
      </c>
      <c r="B14" s="199"/>
      <c r="C14" s="199" t="s">
        <v>434</v>
      </c>
      <c r="D14" s="199"/>
      <c r="E14" s="198" t="s">
        <v>438</v>
      </c>
      <c r="F14" s="199" t="s">
        <v>436</v>
      </c>
    </row>
    <row r="15" ht="255" customHeight="1" spans="1:6">
      <c r="A15" s="198" t="s">
        <v>439</v>
      </c>
      <c r="B15" s="199" t="s">
        <v>434</v>
      </c>
      <c r="C15" s="199"/>
      <c r="D15" s="199"/>
      <c r="E15" s="198" t="s">
        <v>440</v>
      </c>
      <c r="F15" s="199" t="s">
        <v>436</v>
      </c>
    </row>
    <row r="16" ht="225" customHeight="1" spans="1:6">
      <c r="A16" s="198" t="s">
        <v>441</v>
      </c>
      <c r="B16" s="199"/>
      <c r="C16" s="199" t="s">
        <v>434</v>
      </c>
      <c r="D16" s="199"/>
      <c r="E16" s="198" t="s">
        <v>442</v>
      </c>
      <c r="F16" s="199" t="s">
        <v>436</v>
      </c>
    </row>
    <row r="17" ht="120" customHeight="1" spans="1:6">
      <c r="A17" s="198" t="s">
        <v>443</v>
      </c>
      <c r="B17" s="199"/>
      <c r="C17" s="199" t="s">
        <v>434</v>
      </c>
      <c r="D17" s="199"/>
      <c r="E17" s="198" t="s">
        <v>444</v>
      </c>
      <c r="F17" s="199" t="s">
        <v>436</v>
      </c>
    </row>
    <row r="18" ht="180" customHeight="1" spans="1:6">
      <c r="A18" s="198" t="s">
        <v>445</v>
      </c>
      <c r="B18" s="199"/>
      <c r="C18" s="199" t="s">
        <v>434</v>
      </c>
      <c r="D18" s="199"/>
      <c r="E18" s="198" t="s">
        <v>446</v>
      </c>
      <c r="F18" s="199" t="s">
        <v>436</v>
      </c>
    </row>
    <row r="19" ht="120" customHeight="1" spans="1:6">
      <c r="A19" s="198" t="s">
        <v>447</v>
      </c>
      <c r="B19" s="199" t="s">
        <v>434</v>
      </c>
      <c r="C19" s="199"/>
      <c r="D19" s="199"/>
      <c r="E19" s="198" t="s">
        <v>448</v>
      </c>
      <c r="F19" s="199" t="s">
        <v>436</v>
      </c>
    </row>
    <row r="20" ht="75" customHeight="1" spans="1:6">
      <c r="A20" s="198" t="s">
        <v>449</v>
      </c>
      <c r="B20" s="199"/>
      <c r="C20" s="199"/>
      <c r="D20" s="199" t="s">
        <v>434</v>
      </c>
      <c r="E20" s="198" t="s">
        <v>450</v>
      </c>
      <c r="F20" s="199" t="s">
        <v>436</v>
      </c>
    </row>
    <row r="21" ht="90" customHeight="1" spans="1:6">
      <c r="A21" s="198" t="s">
        <v>451</v>
      </c>
      <c r="B21" s="199"/>
      <c r="C21" s="199"/>
      <c r="D21" s="199" t="s">
        <v>434</v>
      </c>
      <c r="E21" s="198" t="s">
        <v>452</v>
      </c>
      <c r="F21" s="199" t="s">
        <v>436</v>
      </c>
    </row>
    <row r="22" ht="345" customHeight="1" spans="1:6">
      <c r="A22" s="198" t="s">
        <v>453</v>
      </c>
      <c r="B22" s="199" t="s">
        <v>434</v>
      </c>
      <c r="C22" s="199"/>
      <c r="D22" s="199"/>
      <c r="E22" s="198" t="s">
        <v>454</v>
      </c>
      <c r="F22" s="199" t="s">
        <v>436</v>
      </c>
    </row>
    <row r="23" spans="1:6">
      <c r="A23" s="196" t="s">
        <v>455</v>
      </c>
      <c r="B23" s="196"/>
      <c r="C23" s="196"/>
      <c r="D23" s="196"/>
      <c r="E23" s="196"/>
      <c r="F23" s="196"/>
    </row>
    <row r="24" ht="240" customHeight="1" spans="1:6">
      <c r="A24" s="198" t="s">
        <v>456</v>
      </c>
      <c r="B24" s="199" t="s">
        <v>434</v>
      </c>
      <c r="C24" s="199"/>
      <c r="D24" s="199"/>
      <c r="E24" s="198" t="s">
        <v>457</v>
      </c>
      <c r="F24" s="199" t="s">
        <v>436</v>
      </c>
    </row>
    <row r="25" ht="165" customHeight="1" spans="1:6">
      <c r="A25" s="198" t="s">
        <v>458</v>
      </c>
      <c r="B25" s="199" t="s">
        <v>434</v>
      </c>
      <c r="C25" s="199"/>
      <c r="D25" s="199"/>
      <c r="E25" s="198" t="s">
        <v>459</v>
      </c>
      <c r="F25" s="199" t="s">
        <v>436</v>
      </c>
    </row>
    <row r="26" spans="1:6">
      <c r="A26" s="196" t="s">
        <v>460</v>
      </c>
      <c r="B26" s="196"/>
      <c r="C26" s="196"/>
      <c r="D26" s="196"/>
      <c r="E26" s="196"/>
      <c r="F26" s="196"/>
    </row>
    <row r="27" ht="75" customHeight="1" spans="1:6">
      <c r="A27" s="198" t="s">
        <v>461</v>
      </c>
      <c r="B27" s="199" t="s">
        <v>434</v>
      </c>
      <c r="C27" s="199"/>
      <c r="D27" s="199"/>
      <c r="E27" s="198" t="s">
        <v>462</v>
      </c>
      <c r="F27" s="199" t="s">
        <v>7</v>
      </c>
    </row>
    <row r="28" ht="210" customHeight="1" spans="1:6">
      <c r="A28" s="198" t="s">
        <v>463</v>
      </c>
      <c r="B28" s="199" t="s">
        <v>434</v>
      </c>
      <c r="C28" s="199"/>
      <c r="D28" s="199"/>
      <c r="E28" s="198" t="s">
        <v>464</v>
      </c>
      <c r="F28" s="199" t="s">
        <v>436</v>
      </c>
    </row>
    <row r="29" ht="105" customHeight="1" spans="1:6">
      <c r="A29" s="198" t="s">
        <v>465</v>
      </c>
      <c r="B29" s="199" t="s">
        <v>434</v>
      </c>
      <c r="C29" s="199"/>
      <c r="D29" s="199"/>
      <c r="E29" s="198" t="s">
        <v>466</v>
      </c>
      <c r="F29" s="199" t="s">
        <v>436</v>
      </c>
    </row>
    <row r="30" ht="180" customHeight="1" spans="1:6">
      <c r="A30" s="198" t="s">
        <v>82</v>
      </c>
      <c r="B30" s="199" t="s">
        <v>434</v>
      </c>
      <c r="C30" s="199"/>
      <c r="D30" s="199"/>
      <c r="E30" s="198" t="s">
        <v>467</v>
      </c>
      <c r="F30" s="199" t="s">
        <v>7</v>
      </c>
    </row>
    <row r="31" ht="135" customHeight="1" spans="1:6">
      <c r="A31" s="198" t="s">
        <v>319</v>
      </c>
      <c r="B31" s="199" t="s">
        <v>434</v>
      </c>
      <c r="C31" s="199"/>
      <c r="D31" s="199"/>
      <c r="E31" s="198" t="s">
        <v>468</v>
      </c>
      <c r="F31" s="199" t="s">
        <v>7</v>
      </c>
    </row>
    <row r="32" ht="90" customHeight="1" spans="1:6">
      <c r="A32" s="198" t="s">
        <v>323</v>
      </c>
      <c r="B32" s="199" t="s">
        <v>434</v>
      </c>
      <c r="C32" s="199"/>
      <c r="D32" s="199"/>
      <c r="E32" s="198" t="s">
        <v>469</v>
      </c>
      <c r="F32" s="199" t="s">
        <v>7</v>
      </c>
    </row>
    <row r="33" ht="210" customHeight="1" spans="1:6">
      <c r="A33" s="198" t="s">
        <v>470</v>
      </c>
      <c r="B33" s="199" t="s">
        <v>434</v>
      </c>
      <c r="C33" s="199"/>
      <c r="D33" s="199"/>
      <c r="E33" s="198" t="s">
        <v>471</v>
      </c>
      <c r="F33" s="199" t="s">
        <v>7</v>
      </c>
    </row>
    <row r="34" ht="315" customHeight="1" spans="1:6">
      <c r="A34" s="198" t="s">
        <v>472</v>
      </c>
      <c r="B34" s="199" t="s">
        <v>434</v>
      </c>
      <c r="C34" s="199"/>
      <c r="D34" s="199"/>
      <c r="E34" s="198" t="s">
        <v>473</v>
      </c>
      <c r="F34" s="199" t="s">
        <v>436</v>
      </c>
    </row>
    <row r="35" ht="60" customHeight="1" spans="1:6">
      <c r="A35" s="198" t="s">
        <v>474</v>
      </c>
      <c r="B35" s="199" t="s">
        <v>434</v>
      </c>
      <c r="C35" s="199"/>
      <c r="D35" s="199"/>
      <c r="E35" s="198" t="s">
        <v>475</v>
      </c>
      <c r="F35" s="199" t="s">
        <v>436</v>
      </c>
    </row>
    <row r="36" ht="165" customHeight="1" spans="1:6">
      <c r="A36" s="198" t="s">
        <v>476</v>
      </c>
      <c r="B36" s="199" t="s">
        <v>434</v>
      </c>
      <c r="C36" s="199"/>
      <c r="D36" s="199"/>
      <c r="E36" s="198" t="s">
        <v>477</v>
      </c>
      <c r="F36" s="199" t="s">
        <v>436</v>
      </c>
    </row>
    <row r="37" ht="135" customHeight="1" spans="1:6">
      <c r="A37" s="198" t="s">
        <v>378</v>
      </c>
      <c r="B37" s="199" t="s">
        <v>434</v>
      </c>
      <c r="C37" s="199"/>
      <c r="D37" s="199"/>
      <c r="E37" s="198" t="s">
        <v>478</v>
      </c>
      <c r="F37" s="199" t="s">
        <v>436</v>
      </c>
    </row>
    <row r="38" ht="210" customHeight="1" spans="1:6">
      <c r="A38" s="198" t="s">
        <v>479</v>
      </c>
      <c r="B38" s="199" t="s">
        <v>434</v>
      </c>
      <c r="C38" s="199"/>
      <c r="D38" s="199"/>
      <c r="E38" s="198" t="s">
        <v>480</v>
      </c>
      <c r="F38" s="199" t="s">
        <v>7</v>
      </c>
    </row>
    <row r="39" ht="240" customHeight="1" spans="1:6">
      <c r="A39" s="198" t="s">
        <v>481</v>
      </c>
      <c r="B39" s="199" t="s">
        <v>434</v>
      </c>
      <c r="C39" s="199"/>
      <c r="D39" s="199"/>
      <c r="E39" s="198" t="s">
        <v>482</v>
      </c>
      <c r="F39" s="199" t="s">
        <v>436</v>
      </c>
    </row>
    <row r="40" ht="45" customHeight="1" spans="1:6">
      <c r="A40" s="198" t="s">
        <v>483</v>
      </c>
      <c r="B40" s="199" t="s">
        <v>434</v>
      </c>
      <c r="C40" s="199"/>
      <c r="D40" s="199"/>
      <c r="E40" s="198" t="s">
        <v>484</v>
      </c>
      <c r="F40" s="199" t="s">
        <v>7</v>
      </c>
    </row>
    <row r="41" ht="90" customHeight="1" spans="1:6">
      <c r="A41" s="198" t="s">
        <v>334</v>
      </c>
      <c r="B41" s="199" t="s">
        <v>434</v>
      </c>
      <c r="C41" s="199"/>
      <c r="D41" s="199"/>
      <c r="E41" s="198" t="s">
        <v>485</v>
      </c>
      <c r="F41" s="199" t="s">
        <v>436</v>
      </c>
    </row>
    <row r="42" ht="90" customHeight="1" spans="1:6">
      <c r="A42" s="198" t="s">
        <v>339</v>
      </c>
      <c r="B42" s="199" t="s">
        <v>434</v>
      </c>
      <c r="C42" s="199"/>
      <c r="D42" s="199"/>
      <c r="E42" s="198" t="s">
        <v>486</v>
      </c>
      <c r="F42" s="199" t="s">
        <v>7</v>
      </c>
    </row>
    <row r="43" ht="120" customHeight="1" spans="1:6">
      <c r="A43" s="198" t="s">
        <v>344</v>
      </c>
      <c r="B43" s="199" t="s">
        <v>434</v>
      </c>
      <c r="C43" s="199"/>
      <c r="D43" s="199"/>
      <c r="E43" s="198" t="s">
        <v>487</v>
      </c>
      <c r="F43" s="199" t="s">
        <v>7</v>
      </c>
    </row>
    <row r="44" ht="225" customHeight="1" spans="1:6">
      <c r="A44" s="198" t="s">
        <v>349</v>
      </c>
      <c r="B44" s="199" t="s">
        <v>434</v>
      </c>
      <c r="C44" s="199"/>
      <c r="D44" s="199"/>
      <c r="E44" s="198" t="s">
        <v>488</v>
      </c>
      <c r="F44" s="199" t="s">
        <v>7</v>
      </c>
    </row>
    <row r="45" ht="90" customHeight="1" spans="1:6">
      <c r="A45" s="198" t="s">
        <v>354</v>
      </c>
      <c r="B45" s="199" t="s">
        <v>434</v>
      </c>
      <c r="C45" s="199"/>
      <c r="D45" s="199"/>
      <c r="E45" s="198" t="s">
        <v>489</v>
      </c>
      <c r="F45" s="199" t="s">
        <v>7</v>
      </c>
    </row>
    <row r="46" ht="225" customHeight="1" spans="1:6">
      <c r="A46" s="198" t="s">
        <v>359</v>
      </c>
      <c r="B46" s="199" t="s">
        <v>434</v>
      </c>
      <c r="C46" s="199"/>
      <c r="D46" s="199"/>
      <c r="E46" s="198" t="s">
        <v>490</v>
      </c>
      <c r="F46" s="199" t="s">
        <v>7</v>
      </c>
    </row>
    <row r="47" ht="30" customHeight="1" spans="1:6">
      <c r="A47" s="198" t="s">
        <v>491</v>
      </c>
      <c r="B47" s="199" t="s">
        <v>434</v>
      </c>
      <c r="C47" s="199"/>
      <c r="D47" s="199"/>
      <c r="E47" s="198" t="s">
        <v>492</v>
      </c>
      <c r="F47" s="199" t="s">
        <v>7</v>
      </c>
    </row>
    <row r="48" ht="60" customHeight="1" spans="1:6">
      <c r="A48" s="198" t="s">
        <v>493</v>
      </c>
      <c r="B48" s="199" t="s">
        <v>434</v>
      </c>
      <c r="C48" s="199"/>
      <c r="D48" s="199"/>
      <c r="E48" s="198" t="s">
        <v>494</v>
      </c>
      <c r="F48" s="199" t="s">
        <v>436</v>
      </c>
    </row>
    <row r="49" ht="165" customHeight="1" spans="1:6">
      <c r="A49" s="198" t="s">
        <v>495</v>
      </c>
      <c r="B49" s="199" t="s">
        <v>434</v>
      </c>
      <c r="C49" s="199"/>
      <c r="D49" s="199"/>
      <c r="E49" s="198" t="s">
        <v>496</v>
      </c>
      <c r="F49" s="199" t="s">
        <v>436</v>
      </c>
    </row>
    <row r="50" ht="75" customHeight="1" spans="1:6">
      <c r="A50" s="198" t="s">
        <v>497</v>
      </c>
      <c r="B50" s="199" t="s">
        <v>434</v>
      </c>
      <c r="C50" s="199"/>
      <c r="D50" s="199"/>
      <c r="E50" s="198" t="s">
        <v>498</v>
      </c>
      <c r="F50" s="199" t="s">
        <v>436</v>
      </c>
    </row>
    <row r="51" ht="105" customHeight="1" spans="1:6">
      <c r="A51" s="198" t="s">
        <v>499</v>
      </c>
      <c r="B51" s="199" t="s">
        <v>434</v>
      </c>
      <c r="C51" s="199"/>
      <c r="D51" s="199"/>
      <c r="E51" s="198" t="s">
        <v>500</v>
      </c>
      <c r="F51" s="199" t="s">
        <v>7</v>
      </c>
    </row>
    <row r="52" ht="45" customHeight="1" spans="1:6">
      <c r="A52" s="198" t="s">
        <v>501</v>
      </c>
      <c r="B52" s="199" t="s">
        <v>434</v>
      </c>
      <c r="C52" s="199"/>
      <c r="D52" s="199"/>
      <c r="E52" s="198" t="s">
        <v>502</v>
      </c>
      <c r="F52" s="199" t="s">
        <v>436</v>
      </c>
    </row>
    <row r="53" ht="90" customHeight="1" spans="1:6">
      <c r="A53" s="198" t="s">
        <v>314</v>
      </c>
      <c r="B53" s="199" t="s">
        <v>434</v>
      </c>
      <c r="C53" s="199"/>
      <c r="D53" s="199"/>
      <c r="E53" s="198" t="s">
        <v>503</v>
      </c>
      <c r="F53" s="199" t="s">
        <v>436</v>
      </c>
    </row>
    <row r="54" ht="150" customHeight="1" spans="1:6">
      <c r="A54" s="198" t="s">
        <v>315</v>
      </c>
      <c r="B54" s="199" t="s">
        <v>434</v>
      </c>
      <c r="C54" s="199"/>
      <c r="D54" s="199"/>
      <c r="E54" s="198" t="s">
        <v>504</v>
      </c>
      <c r="F54" s="199" t="s">
        <v>436</v>
      </c>
    </row>
    <row r="55" ht="165" customHeight="1" spans="1:6">
      <c r="A55" s="198" t="s">
        <v>505</v>
      </c>
      <c r="B55" s="199" t="s">
        <v>434</v>
      </c>
      <c r="C55" s="199"/>
      <c r="D55" s="199"/>
      <c r="E55" s="198" t="s">
        <v>506</v>
      </c>
      <c r="F55" s="199" t="s">
        <v>436</v>
      </c>
    </row>
    <row r="56" ht="285" customHeight="1" spans="1:6">
      <c r="A56" s="198" t="s">
        <v>507</v>
      </c>
      <c r="B56" s="199" t="s">
        <v>434</v>
      </c>
      <c r="C56" s="199"/>
      <c r="D56" s="199"/>
      <c r="E56" s="198" t="s">
        <v>508</v>
      </c>
      <c r="F56" s="199" t="s">
        <v>436</v>
      </c>
    </row>
    <row r="57" ht="165" customHeight="1" spans="1:6">
      <c r="A57" s="198" t="s">
        <v>509</v>
      </c>
      <c r="B57" s="199" t="s">
        <v>434</v>
      </c>
      <c r="C57" s="199"/>
      <c r="D57" s="199"/>
      <c r="E57" s="198" t="s">
        <v>510</v>
      </c>
      <c r="F57" s="199" t="s">
        <v>436</v>
      </c>
    </row>
    <row r="58" ht="255" customHeight="1" spans="1:6">
      <c r="A58" s="198" t="s">
        <v>511</v>
      </c>
      <c r="B58" s="199"/>
      <c r="C58" s="199" t="s">
        <v>434</v>
      </c>
      <c r="D58" s="199"/>
      <c r="E58" s="198" t="s">
        <v>512</v>
      </c>
      <c r="F58" s="199" t="s">
        <v>436</v>
      </c>
    </row>
    <row r="59" ht="150" customHeight="1" spans="1:6">
      <c r="A59" s="198" t="s">
        <v>513</v>
      </c>
      <c r="B59" s="199" t="s">
        <v>434</v>
      </c>
      <c r="C59" s="199"/>
      <c r="D59" s="199"/>
      <c r="E59" s="198" t="s">
        <v>514</v>
      </c>
      <c r="F59" s="199" t="s">
        <v>436</v>
      </c>
    </row>
    <row r="60" ht="150" customHeight="1" spans="1:6">
      <c r="A60" s="198" t="s">
        <v>515</v>
      </c>
      <c r="B60" s="199"/>
      <c r="C60" s="199" t="s">
        <v>434</v>
      </c>
      <c r="D60" s="199"/>
      <c r="E60" s="198" t="s">
        <v>516</v>
      </c>
      <c r="F60" s="199" t="s">
        <v>436</v>
      </c>
    </row>
    <row r="61" ht="150" customHeight="1" spans="1:6">
      <c r="A61" s="198" t="s">
        <v>517</v>
      </c>
      <c r="B61" s="199" t="s">
        <v>434</v>
      </c>
      <c r="C61" s="199"/>
      <c r="D61" s="199"/>
      <c r="E61" s="198" t="s">
        <v>518</v>
      </c>
      <c r="F61" s="199" t="s">
        <v>436</v>
      </c>
    </row>
    <row r="62" spans="1:6">
      <c r="A62" s="196" t="s">
        <v>519</v>
      </c>
      <c r="B62" s="197">
        <f>COUNTIF(B12:B61,"x")</f>
        <v>38</v>
      </c>
      <c r="C62" s="197">
        <f>COUNTIF(C12:C61,"x")</f>
        <v>7</v>
      </c>
      <c r="D62" s="197">
        <f>COUNTIF(D12:D61,"x")</f>
        <v>2</v>
      </c>
    </row>
    <row r="64" spans="1:6">
      <c r="A64" s="196" t="s">
        <v>520</v>
      </c>
      <c r="B64" s="200"/>
      <c r="C64" s="200"/>
      <c r="D64" s="200"/>
      <c r="E64" s="200"/>
      <c r="F64" s="201"/>
    </row>
    <row r="65" ht="90" customHeight="1" spans="1:6">
      <c r="A65" s="198" t="s">
        <v>521</v>
      </c>
      <c r="B65" s="200"/>
      <c r="C65" s="200"/>
      <c r="D65" s="200"/>
      <c r="E65" s="200"/>
      <c r="F65" s="201"/>
    </row>
    <row r="66" spans="1:6">
      <c r="A66" s="196" t="s">
        <v>522</v>
      </c>
      <c r="B66" s="200"/>
      <c r="C66" s="200"/>
      <c r="D66" s="200"/>
      <c r="E66" s="200"/>
      <c r="F66" s="201"/>
    </row>
    <row r="67" ht="165" customHeight="1" spans="1:6">
      <c r="A67" s="198" t="s">
        <v>523</v>
      </c>
      <c r="B67" s="200"/>
      <c r="C67" s="200"/>
      <c r="D67" s="200"/>
      <c r="E67" s="200"/>
      <c r="F67" s="201"/>
    </row>
    <row r="68" spans="1:6">
      <c r="A68" s="202" t="s">
        <v>524</v>
      </c>
      <c r="B68" s="200"/>
      <c r="C68" s="200"/>
      <c r="D68" s="200"/>
      <c r="E68" s="200"/>
      <c r="F68" s="201"/>
    </row>
    <row r="69" spans="1:6">
      <c r="A69" s="202" t="s">
        <v>525</v>
      </c>
      <c r="B69" s="200"/>
      <c r="C69" s="200"/>
      <c r="D69" s="200"/>
      <c r="E69" s="200"/>
      <c r="F69" s="201"/>
    </row>
    <row r="70" spans="1:6">
      <c r="A70" s="202" t="s">
        <v>526</v>
      </c>
      <c r="B70" s="200"/>
      <c r="C70" s="200"/>
      <c r="D70" s="200"/>
      <c r="E70" s="200"/>
      <c r="F70" s="201"/>
    </row>
    <row r="71" spans="1:6">
      <c r="A71" s="196" t="s">
        <v>7</v>
      </c>
      <c r="B71" s="200"/>
      <c r="C71" s="200"/>
      <c r="D71" s="200"/>
      <c r="E71" s="200"/>
      <c r="F71" s="201"/>
    </row>
    <row r="72" ht="30" customHeight="1" spans="1:6">
      <c r="A72" s="198" t="s">
        <v>527</v>
      </c>
      <c r="B72" s="200"/>
      <c r="C72" s="200"/>
      <c r="D72" s="200"/>
      <c r="E72" s="200"/>
      <c r="F72" s="201"/>
    </row>
  </sheetData>
  <mergeCells count="17">
    <mergeCell ref="A1:F1"/>
    <mergeCell ref="B3:F3"/>
    <mergeCell ref="B4:F4"/>
    <mergeCell ref="B5:F5"/>
    <mergeCell ref="B6:F6"/>
    <mergeCell ref="B7:F7"/>
    <mergeCell ref="B8:F8"/>
    <mergeCell ref="B9:F9"/>
    <mergeCell ref="A64:F64"/>
    <mergeCell ref="A65:F65"/>
    <mergeCell ref="A66:F66"/>
    <mergeCell ref="A67:F67"/>
    <mergeCell ref="A68:F68"/>
    <mergeCell ref="A69:F69"/>
    <mergeCell ref="A70:F70"/>
    <mergeCell ref="A71:F71"/>
    <mergeCell ref="A72:F7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
  <sheetViews>
    <sheetView workbookViewId="0">
      <pane xSplit="1" ySplit="12" topLeftCell="B13" activePane="bottomRight" state="frozen"/>
      <selection/>
      <selection pane="topRight"/>
      <selection pane="bottomLeft"/>
      <selection pane="bottomRight" activeCell="A1" sqref="A1:F1"/>
    </sheetView>
  </sheetViews>
  <sheetFormatPr defaultColWidth="9" defaultRowHeight="15" outlineLevelCol="5"/>
  <cols>
    <col min="1" max="1" width="52" customWidth="1"/>
    <col min="2" max="4" width="13" customWidth="1"/>
    <col min="5" max="5" width="57.1428571428571" customWidth="1"/>
    <col min="6" max="6" width="30.2857142857143" customWidth="1"/>
  </cols>
  <sheetData>
    <row r="1" ht="24" customHeight="1" spans="1:6">
      <c r="A1" s="185" t="s">
        <v>69</v>
      </c>
      <c r="B1" s="129"/>
      <c r="C1" s="129"/>
      <c r="D1" s="129"/>
      <c r="E1" s="129"/>
      <c r="F1" s="130"/>
    </row>
    <row r="3" customHeight="1" spans="1:6">
      <c r="A3" s="186" t="s">
        <v>226</v>
      </c>
      <c r="B3" s="165" t="s">
        <v>227</v>
      </c>
      <c r="C3" s="147"/>
      <c r="D3" s="147"/>
      <c r="E3" s="147"/>
      <c r="F3" s="166"/>
    </row>
    <row r="4" customHeight="1" spans="1:6">
      <c r="A4" s="186" t="s">
        <v>528</v>
      </c>
      <c r="B4" s="165" t="s">
        <v>231</v>
      </c>
      <c r="C4" s="147"/>
      <c r="D4" s="147"/>
      <c r="E4" s="147"/>
      <c r="F4" s="166"/>
    </row>
    <row r="5" customHeight="1" spans="1:6">
      <c r="A5" s="186" t="s">
        <v>529</v>
      </c>
      <c r="B5" s="165" t="s">
        <v>530</v>
      </c>
      <c r="C5" s="147"/>
      <c r="D5" s="147"/>
      <c r="E5" s="147"/>
      <c r="F5" s="166"/>
    </row>
    <row r="6" customHeight="1" spans="1:6">
      <c r="A6" s="186" t="s">
        <v>422</v>
      </c>
      <c r="B6" s="165" t="s">
        <v>60</v>
      </c>
      <c r="C6" s="147"/>
      <c r="D6" s="147"/>
      <c r="E6" s="147"/>
      <c r="F6" s="166"/>
    </row>
    <row r="7" customHeight="1" spans="1:6">
      <c r="A7" s="186" t="s">
        <v>238</v>
      </c>
      <c r="B7" s="165" t="s">
        <v>7</v>
      </c>
      <c r="C7" s="147"/>
      <c r="D7" s="147"/>
      <c r="E7" s="147"/>
      <c r="F7" s="166"/>
    </row>
    <row r="8" customHeight="1" spans="1:6">
      <c r="A8" s="186" t="s">
        <v>421</v>
      </c>
      <c r="B8" s="165" t="s">
        <v>233</v>
      </c>
      <c r="C8" s="147"/>
      <c r="D8" s="147"/>
      <c r="E8" s="147"/>
      <c r="F8" s="166"/>
    </row>
    <row r="9" ht="60" customHeight="1" spans="1:6">
      <c r="A9" s="186" t="s">
        <v>423</v>
      </c>
      <c r="B9" s="167" t="s">
        <v>531</v>
      </c>
      <c r="C9" s="147"/>
      <c r="D9" s="147"/>
      <c r="E9" s="147"/>
      <c r="F9" s="166"/>
    </row>
    <row r="10" customHeight="1" spans="1:6">
      <c r="A10" s="186" t="s">
        <v>532</v>
      </c>
      <c r="B10" s="165" t="s">
        <v>139</v>
      </c>
      <c r="C10" s="147"/>
      <c r="D10" s="147"/>
      <c r="E10" s="147"/>
      <c r="F10" s="166"/>
    </row>
    <row r="12" spans="1:6">
      <c r="A12" s="187" t="s">
        <v>426</v>
      </c>
      <c r="B12" s="188" t="s">
        <v>427</v>
      </c>
      <c r="C12" s="188" t="s">
        <v>428</v>
      </c>
      <c r="D12" s="188" t="s">
        <v>429</v>
      </c>
      <c r="E12" s="188" t="s">
        <v>430</v>
      </c>
      <c r="F12" s="188" t="s">
        <v>431</v>
      </c>
    </row>
    <row r="13" spans="1:6">
      <c r="A13" s="189" t="s">
        <v>432</v>
      </c>
      <c r="B13" s="189"/>
      <c r="C13" s="189"/>
      <c r="D13" s="189"/>
      <c r="E13" s="189"/>
      <c r="F13" s="189"/>
    </row>
    <row r="14" ht="75" customHeight="1" spans="1:6">
      <c r="A14" s="190" t="s">
        <v>433</v>
      </c>
      <c r="B14" s="191"/>
      <c r="C14" s="191" t="s">
        <v>434</v>
      </c>
      <c r="D14" s="191"/>
      <c r="E14" s="190" t="s">
        <v>533</v>
      </c>
      <c r="F14" s="191" t="s">
        <v>436</v>
      </c>
    </row>
    <row r="15" ht="75" customHeight="1" spans="1:6">
      <c r="A15" s="190" t="s">
        <v>437</v>
      </c>
      <c r="B15" s="191"/>
      <c r="C15" s="191" t="s">
        <v>434</v>
      </c>
      <c r="D15" s="191"/>
      <c r="E15" s="190" t="s">
        <v>534</v>
      </c>
      <c r="F15" s="191" t="s">
        <v>436</v>
      </c>
    </row>
    <row r="16" ht="60" customHeight="1" spans="1:6">
      <c r="A16" s="190" t="s">
        <v>535</v>
      </c>
      <c r="B16" s="191"/>
      <c r="C16" s="191" t="s">
        <v>434</v>
      </c>
      <c r="D16" s="191"/>
      <c r="E16" s="190" t="s">
        <v>536</v>
      </c>
      <c r="F16" s="191" t="s">
        <v>436</v>
      </c>
    </row>
    <row r="17" ht="30" customHeight="1" spans="1:6">
      <c r="A17" s="190" t="s">
        <v>537</v>
      </c>
      <c r="B17" s="191"/>
      <c r="C17" s="191" t="s">
        <v>434</v>
      </c>
      <c r="D17" s="191"/>
      <c r="E17" s="190" t="s">
        <v>538</v>
      </c>
      <c r="F17" s="191" t="s">
        <v>436</v>
      </c>
    </row>
    <row r="18" ht="30" customHeight="1" spans="1:6">
      <c r="A18" s="190" t="s">
        <v>539</v>
      </c>
      <c r="B18" s="191"/>
      <c r="C18" s="191" t="s">
        <v>434</v>
      </c>
      <c r="D18" s="191"/>
      <c r="E18" s="190" t="s">
        <v>540</v>
      </c>
      <c r="F18" s="191" t="s">
        <v>436</v>
      </c>
    </row>
    <row r="19" ht="30" customHeight="1" spans="1:6">
      <c r="A19" s="190" t="s">
        <v>541</v>
      </c>
      <c r="B19" s="191"/>
      <c r="C19" s="191" t="s">
        <v>434</v>
      </c>
      <c r="D19" s="191"/>
      <c r="E19" s="190" t="s">
        <v>542</v>
      </c>
      <c r="F19" s="191" t="s">
        <v>436</v>
      </c>
    </row>
    <row r="20" ht="60" customHeight="1" spans="1:6">
      <c r="A20" s="190" t="s">
        <v>543</v>
      </c>
      <c r="B20" s="191"/>
      <c r="C20" s="191" t="s">
        <v>434</v>
      </c>
      <c r="D20" s="191"/>
      <c r="E20" s="190" t="s">
        <v>544</v>
      </c>
      <c r="F20" s="191" t="s">
        <v>436</v>
      </c>
    </row>
    <row r="21" ht="45" customHeight="1" spans="1:6">
      <c r="A21" s="190" t="s">
        <v>449</v>
      </c>
      <c r="B21" s="191"/>
      <c r="C21" s="191"/>
      <c r="D21" s="191" t="s">
        <v>434</v>
      </c>
      <c r="E21" s="190" t="s">
        <v>545</v>
      </c>
      <c r="F21" s="191" t="s">
        <v>7</v>
      </c>
    </row>
    <row r="22" ht="30" customHeight="1" spans="1:6">
      <c r="A22" s="190" t="s">
        <v>451</v>
      </c>
      <c r="B22" s="191"/>
      <c r="C22" s="191"/>
      <c r="D22" s="191" t="s">
        <v>434</v>
      </c>
      <c r="E22" s="190" t="s">
        <v>546</v>
      </c>
      <c r="F22" s="191" t="s">
        <v>436</v>
      </c>
    </row>
    <row r="23" spans="1:6">
      <c r="A23" s="189" t="s">
        <v>547</v>
      </c>
      <c r="B23" s="189"/>
      <c r="C23" s="189"/>
      <c r="D23" s="189"/>
      <c r="E23" s="189"/>
      <c r="F23" s="189"/>
    </row>
    <row r="24" ht="60" customHeight="1" spans="1:6">
      <c r="A24" s="190" t="s">
        <v>548</v>
      </c>
      <c r="B24" s="191"/>
      <c r="C24" s="191" t="s">
        <v>434</v>
      </c>
      <c r="D24" s="191"/>
      <c r="E24" s="190" t="s">
        <v>549</v>
      </c>
      <c r="F24" s="191" t="s">
        <v>436</v>
      </c>
    </row>
    <row r="25" ht="90" customHeight="1" spans="1:6">
      <c r="A25" s="190" t="s">
        <v>550</v>
      </c>
      <c r="B25" s="191" t="s">
        <v>434</v>
      </c>
      <c r="C25" s="191"/>
      <c r="D25" s="191"/>
      <c r="E25" s="190" t="s">
        <v>551</v>
      </c>
      <c r="F25" s="191" t="s">
        <v>7</v>
      </c>
    </row>
    <row r="26" ht="90" customHeight="1" spans="1:6">
      <c r="A26" s="190" t="s">
        <v>552</v>
      </c>
      <c r="B26" s="191" t="s">
        <v>434</v>
      </c>
      <c r="C26" s="191"/>
      <c r="D26" s="191"/>
      <c r="E26" s="190" t="s">
        <v>553</v>
      </c>
      <c r="F26" s="191" t="s">
        <v>436</v>
      </c>
    </row>
    <row r="27" ht="45" customHeight="1" spans="1:6">
      <c r="A27" s="190" t="s">
        <v>554</v>
      </c>
      <c r="B27" s="191"/>
      <c r="C27" s="191" t="s">
        <v>434</v>
      </c>
      <c r="D27" s="191"/>
      <c r="E27" s="190" t="s">
        <v>555</v>
      </c>
      <c r="F27" s="191" t="s">
        <v>7</v>
      </c>
    </row>
    <row r="28" ht="30" customHeight="1" spans="1:6">
      <c r="A28" s="190" t="s">
        <v>556</v>
      </c>
      <c r="B28" s="191"/>
      <c r="C28" s="191"/>
      <c r="D28" s="191" t="s">
        <v>434</v>
      </c>
      <c r="E28" s="190" t="s">
        <v>557</v>
      </c>
      <c r="F28" s="191" t="s">
        <v>7</v>
      </c>
    </row>
    <row r="29" customHeight="1" spans="1:6">
      <c r="A29" s="190" t="s">
        <v>224</v>
      </c>
      <c r="B29" s="191"/>
      <c r="C29" s="191"/>
      <c r="D29" s="191" t="s">
        <v>434</v>
      </c>
      <c r="E29" s="190" t="s">
        <v>557</v>
      </c>
      <c r="F29" s="191" t="s">
        <v>7</v>
      </c>
    </row>
    <row r="30" customHeight="1" spans="1:6">
      <c r="A30" s="190" t="s">
        <v>558</v>
      </c>
      <c r="B30" s="191"/>
      <c r="C30" s="191"/>
      <c r="D30" s="191" t="s">
        <v>434</v>
      </c>
      <c r="E30" s="190" t="s">
        <v>557</v>
      </c>
      <c r="F30" s="191" t="s">
        <v>7</v>
      </c>
    </row>
    <row r="31" customHeight="1" spans="1:6">
      <c r="A31" s="190" t="s">
        <v>246</v>
      </c>
      <c r="B31" s="191"/>
      <c r="C31" s="191"/>
      <c r="D31" s="191" t="s">
        <v>434</v>
      </c>
      <c r="E31" s="190" t="s">
        <v>557</v>
      </c>
      <c r="F31" s="191" t="s">
        <v>7</v>
      </c>
    </row>
    <row r="32" ht="75" customHeight="1" spans="1:6">
      <c r="A32" s="190" t="s">
        <v>559</v>
      </c>
      <c r="B32" s="191"/>
      <c r="C32" s="191" t="s">
        <v>434</v>
      </c>
      <c r="D32" s="191"/>
      <c r="E32" s="190" t="s">
        <v>560</v>
      </c>
      <c r="F32" s="191" t="s">
        <v>436</v>
      </c>
    </row>
    <row r="33" ht="60" customHeight="1" spans="1:6">
      <c r="A33" s="190" t="s">
        <v>561</v>
      </c>
      <c r="B33" s="191" t="s">
        <v>434</v>
      </c>
      <c r="C33" s="191"/>
      <c r="D33" s="191"/>
      <c r="E33" s="190" t="s">
        <v>562</v>
      </c>
      <c r="F33" s="191" t="s">
        <v>436</v>
      </c>
    </row>
    <row r="34" spans="1:6">
      <c r="A34" s="189" t="s">
        <v>563</v>
      </c>
      <c r="B34" s="189"/>
      <c r="C34" s="189"/>
      <c r="D34" s="189"/>
      <c r="E34" s="189"/>
      <c r="F34" s="189"/>
    </row>
    <row r="35" ht="105" customHeight="1" spans="1:6">
      <c r="A35" s="190" t="s">
        <v>564</v>
      </c>
      <c r="B35" s="191" t="s">
        <v>434</v>
      </c>
      <c r="C35" s="191"/>
      <c r="D35" s="191"/>
      <c r="E35" s="190" t="s">
        <v>565</v>
      </c>
      <c r="F35" s="191" t="s">
        <v>436</v>
      </c>
    </row>
    <row r="36" ht="60" customHeight="1" spans="1:6">
      <c r="A36" s="190" t="s">
        <v>566</v>
      </c>
      <c r="B36" s="191" t="s">
        <v>434</v>
      </c>
      <c r="C36" s="191"/>
      <c r="D36" s="191"/>
      <c r="E36" s="190" t="s">
        <v>567</v>
      </c>
      <c r="F36" s="191" t="s">
        <v>436</v>
      </c>
    </row>
    <row r="37" ht="30" customHeight="1" spans="1:6">
      <c r="A37" s="190" t="s">
        <v>568</v>
      </c>
      <c r="B37" s="191"/>
      <c r="C37" s="191" t="s">
        <v>434</v>
      </c>
      <c r="D37" s="191"/>
      <c r="E37" s="190" t="s">
        <v>569</v>
      </c>
      <c r="F37" s="191" t="s">
        <v>436</v>
      </c>
    </row>
    <row r="38" ht="75" customHeight="1" spans="1:6">
      <c r="A38" s="190" t="s">
        <v>570</v>
      </c>
      <c r="B38" s="191" t="s">
        <v>434</v>
      </c>
      <c r="C38" s="191"/>
      <c r="D38" s="191"/>
      <c r="E38" s="190" t="s">
        <v>571</v>
      </c>
      <c r="F38" s="191" t="s">
        <v>7</v>
      </c>
    </row>
    <row r="39" ht="105" customHeight="1" spans="1:6">
      <c r="A39" s="190" t="s">
        <v>572</v>
      </c>
      <c r="B39" s="191"/>
      <c r="C39" s="191" t="s">
        <v>434</v>
      </c>
      <c r="D39" s="191"/>
      <c r="E39" s="190" t="s">
        <v>573</v>
      </c>
      <c r="F39" s="191" t="s">
        <v>7</v>
      </c>
    </row>
    <row r="40" ht="30" customHeight="1" spans="1:6">
      <c r="A40" s="190" t="s">
        <v>574</v>
      </c>
      <c r="B40" s="191" t="s">
        <v>434</v>
      </c>
      <c r="C40" s="191"/>
      <c r="D40" s="191"/>
      <c r="E40" s="190" t="s">
        <v>575</v>
      </c>
      <c r="F40" s="191" t="s">
        <v>7</v>
      </c>
    </row>
    <row r="41" ht="90" customHeight="1" spans="1:6">
      <c r="A41" s="190" t="s">
        <v>576</v>
      </c>
      <c r="B41" s="191" t="s">
        <v>434</v>
      </c>
      <c r="C41" s="191"/>
      <c r="D41" s="191"/>
      <c r="E41" s="190" t="s">
        <v>577</v>
      </c>
      <c r="F41" s="191" t="s">
        <v>7</v>
      </c>
    </row>
    <row r="42" ht="60" customHeight="1" spans="1:6">
      <c r="A42" s="190" t="s">
        <v>578</v>
      </c>
      <c r="B42" s="191" t="s">
        <v>434</v>
      </c>
      <c r="C42" s="191"/>
      <c r="D42" s="191"/>
      <c r="E42" s="190" t="s">
        <v>579</v>
      </c>
      <c r="F42" s="191" t="s">
        <v>7</v>
      </c>
    </row>
    <row r="43" ht="30" customHeight="1" spans="1:6">
      <c r="A43" s="190" t="s">
        <v>580</v>
      </c>
      <c r="B43" s="191"/>
      <c r="C43" s="191" t="s">
        <v>434</v>
      </c>
      <c r="D43" s="191"/>
      <c r="E43" s="190" t="s">
        <v>581</v>
      </c>
      <c r="F43" s="191" t="s">
        <v>436</v>
      </c>
    </row>
    <row r="44" ht="90" customHeight="1" spans="1:6">
      <c r="A44" s="190" t="s">
        <v>582</v>
      </c>
      <c r="B44" s="191" t="s">
        <v>434</v>
      </c>
      <c r="C44" s="191"/>
      <c r="D44" s="191"/>
      <c r="E44" s="190" t="s">
        <v>583</v>
      </c>
      <c r="F44" s="191" t="s">
        <v>7</v>
      </c>
    </row>
    <row r="45" ht="75" customHeight="1" spans="1:6">
      <c r="A45" s="190" t="s">
        <v>584</v>
      </c>
      <c r="B45" s="191" t="s">
        <v>434</v>
      </c>
      <c r="C45" s="191"/>
      <c r="D45" s="191"/>
      <c r="E45" s="190" t="s">
        <v>585</v>
      </c>
      <c r="F45" s="191" t="s">
        <v>7</v>
      </c>
    </row>
    <row r="46" spans="1:6">
      <c r="A46" s="190" t="s">
        <v>586</v>
      </c>
      <c r="B46" s="189"/>
      <c r="C46" s="189"/>
      <c r="D46" s="189"/>
      <c r="E46" s="189"/>
      <c r="F46" s="189"/>
    </row>
    <row r="47" ht="45" customHeight="1" spans="1:6">
      <c r="A47" s="190" t="s">
        <v>587</v>
      </c>
      <c r="B47" s="191"/>
      <c r="C47" s="191" t="s">
        <v>434</v>
      </c>
      <c r="D47" s="191"/>
      <c r="E47" s="190" t="s">
        <v>588</v>
      </c>
      <c r="F47" s="191" t="s">
        <v>436</v>
      </c>
    </row>
    <row r="48" ht="120" customHeight="1" spans="1:6">
      <c r="A48" s="190" t="s">
        <v>589</v>
      </c>
      <c r="B48" s="191"/>
      <c r="C48" s="191" t="s">
        <v>434</v>
      </c>
      <c r="D48" s="191"/>
      <c r="E48" s="190" t="s">
        <v>590</v>
      </c>
      <c r="F48" s="191" t="s">
        <v>436</v>
      </c>
    </row>
    <row r="49" ht="60" customHeight="1" spans="1:6">
      <c r="A49" s="190" t="s">
        <v>591</v>
      </c>
      <c r="B49" s="191"/>
      <c r="C49" s="191" t="s">
        <v>434</v>
      </c>
      <c r="D49" s="191"/>
      <c r="E49" s="190" t="s">
        <v>592</v>
      </c>
      <c r="F49" s="191" t="s">
        <v>436</v>
      </c>
    </row>
    <row r="50" ht="30" customHeight="1" spans="1:6">
      <c r="A50" s="190" t="s">
        <v>593</v>
      </c>
      <c r="B50" s="191"/>
      <c r="C50" s="191" t="s">
        <v>434</v>
      </c>
      <c r="D50" s="191"/>
      <c r="E50" s="190" t="s">
        <v>594</v>
      </c>
      <c r="F50" s="191" t="s">
        <v>436</v>
      </c>
    </row>
    <row r="51" ht="75" customHeight="1" spans="1:6">
      <c r="A51" s="190" t="s">
        <v>595</v>
      </c>
      <c r="B51" s="191"/>
      <c r="C51" s="191" t="s">
        <v>434</v>
      </c>
      <c r="D51" s="191"/>
      <c r="E51" s="190" t="s">
        <v>596</v>
      </c>
      <c r="F51" s="191" t="s">
        <v>7</v>
      </c>
    </row>
    <row r="52" ht="45" customHeight="1" spans="1:6">
      <c r="A52" s="190" t="s">
        <v>597</v>
      </c>
      <c r="B52" s="191"/>
      <c r="C52" s="191" t="s">
        <v>434</v>
      </c>
      <c r="D52" s="191"/>
      <c r="E52" s="190" t="s">
        <v>598</v>
      </c>
      <c r="F52" s="191" t="s">
        <v>436</v>
      </c>
    </row>
    <row r="53" ht="105" customHeight="1" spans="1:6">
      <c r="A53" s="190" t="s">
        <v>599</v>
      </c>
      <c r="B53" s="191"/>
      <c r="C53" s="191" t="s">
        <v>434</v>
      </c>
      <c r="D53" s="191"/>
      <c r="E53" s="190" t="s">
        <v>600</v>
      </c>
      <c r="F53" s="191" t="s">
        <v>7</v>
      </c>
    </row>
    <row r="54" ht="45" customHeight="1" spans="1:6">
      <c r="A54" s="190" t="s">
        <v>601</v>
      </c>
      <c r="B54" s="191"/>
      <c r="C54" s="191" t="s">
        <v>434</v>
      </c>
      <c r="D54" s="191"/>
      <c r="E54" s="190" t="s">
        <v>602</v>
      </c>
      <c r="F54" s="191" t="s">
        <v>7</v>
      </c>
    </row>
    <row r="55" ht="90" customHeight="1" spans="1:6">
      <c r="A55" s="190" t="s">
        <v>603</v>
      </c>
      <c r="B55" s="191"/>
      <c r="C55" s="191" t="s">
        <v>434</v>
      </c>
      <c r="D55" s="191"/>
      <c r="E55" s="190" t="s">
        <v>604</v>
      </c>
      <c r="F55" s="191" t="s">
        <v>7</v>
      </c>
    </row>
    <row r="56" ht="60" customHeight="1" spans="1:6">
      <c r="A56" s="190" t="s">
        <v>605</v>
      </c>
      <c r="B56" s="191"/>
      <c r="C56" s="191" t="s">
        <v>434</v>
      </c>
      <c r="D56" s="191"/>
      <c r="E56" s="190" t="s">
        <v>606</v>
      </c>
      <c r="F56" s="191" t="s">
        <v>7</v>
      </c>
    </row>
    <row r="57" ht="90" customHeight="1" spans="1:6">
      <c r="A57" s="190" t="s">
        <v>607</v>
      </c>
      <c r="B57" s="191"/>
      <c r="C57" s="191" t="s">
        <v>434</v>
      </c>
      <c r="D57" s="191"/>
      <c r="E57" s="190" t="s">
        <v>608</v>
      </c>
      <c r="F57" s="191" t="s">
        <v>7</v>
      </c>
    </row>
    <row r="58" ht="90" customHeight="1" spans="1:6">
      <c r="A58" s="190" t="s">
        <v>609</v>
      </c>
      <c r="B58" s="191" t="s">
        <v>434</v>
      </c>
      <c r="C58" s="191"/>
      <c r="D58" s="191"/>
      <c r="E58" s="190" t="s">
        <v>610</v>
      </c>
      <c r="F58" s="191" t="s">
        <v>7</v>
      </c>
    </row>
    <row r="59" spans="1:6">
      <c r="A59" s="190" t="s">
        <v>611</v>
      </c>
      <c r="B59" s="189"/>
      <c r="C59" s="189"/>
      <c r="D59" s="189"/>
      <c r="E59" s="189"/>
      <c r="F59" s="189"/>
    </row>
    <row r="60" ht="60" customHeight="1" spans="1:6">
      <c r="A60" s="190" t="s">
        <v>612</v>
      </c>
      <c r="B60" s="191"/>
      <c r="C60" s="191" t="s">
        <v>434</v>
      </c>
      <c r="D60" s="191"/>
      <c r="E60" s="190" t="s">
        <v>613</v>
      </c>
      <c r="F60" s="191" t="s">
        <v>436</v>
      </c>
    </row>
    <row r="61" ht="75" customHeight="1" spans="1:6">
      <c r="A61" s="190" t="s">
        <v>614</v>
      </c>
      <c r="B61" s="191" t="s">
        <v>434</v>
      </c>
      <c r="C61" s="191"/>
      <c r="D61" s="191"/>
      <c r="E61" s="190" t="s">
        <v>615</v>
      </c>
      <c r="F61" s="191" t="s">
        <v>436</v>
      </c>
    </row>
    <row r="62" ht="120" customHeight="1" spans="1:6">
      <c r="A62" s="190" t="s">
        <v>616</v>
      </c>
      <c r="B62" s="191" t="s">
        <v>434</v>
      </c>
      <c r="C62" s="191"/>
      <c r="D62" s="191"/>
      <c r="E62" s="190" t="s">
        <v>617</v>
      </c>
      <c r="F62" s="191" t="s">
        <v>7</v>
      </c>
    </row>
    <row r="63" ht="75" customHeight="1" spans="1:6">
      <c r="A63" s="190" t="s">
        <v>618</v>
      </c>
      <c r="B63" s="191" t="s">
        <v>434</v>
      </c>
      <c r="C63" s="191"/>
      <c r="D63" s="191"/>
      <c r="E63" s="190" t="s">
        <v>619</v>
      </c>
      <c r="F63" s="191" t="s">
        <v>436</v>
      </c>
    </row>
    <row r="64" ht="75" customHeight="1" spans="1:6">
      <c r="A64" s="190" t="s">
        <v>620</v>
      </c>
      <c r="B64" s="191" t="s">
        <v>434</v>
      </c>
      <c r="C64" s="191"/>
      <c r="D64" s="191"/>
      <c r="E64" s="190" t="s">
        <v>621</v>
      </c>
      <c r="F64" s="191" t="s">
        <v>7</v>
      </c>
    </row>
    <row r="65" ht="75" customHeight="1" spans="1:6">
      <c r="A65" s="190" t="s">
        <v>622</v>
      </c>
      <c r="B65" s="191" t="s">
        <v>434</v>
      </c>
      <c r="C65" s="191"/>
      <c r="D65" s="191"/>
      <c r="E65" s="190" t="s">
        <v>623</v>
      </c>
      <c r="F65" s="191" t="s">
        <v>7</v>
      </c>
    </row>
    <row r="66" ht="25.5" spans="1:6">
      <c r="A66" s="190" t="s">
        <v>624</v>
      </c>
      <c r="B66" s="189"/>
      <c r="C66" s="189"/>
      <c r="D66" s="189"/>
      <c r="E66" s="189"/>
      <c r="F66" s="189"/>
    </row>
    <row r="67" ht="90" customHeight="1" spans="1:6">
      <c r="A67" s="190" t="s">
        <v>625</v>
      </c>
      <c r="B67" s="191" t="s">
        <v>434</v>
      </c>
      <c r="C67" s="191"/>
      <c r="D67" s="191"/>
      <c r="E67" s="190" t="s">
        <v>626</v>
      </c>
      <c r="F67" s="191" t="s">
        <v>436</v>
      </c>
    </row>
    <row r="68" ht="60" customHeight="1" spans="1:6">
      <c r="A68" s="190" t="s">
        <v>627</v>
      </c>
      <c r="B68" s="191" t="s">
        <v>434</v>
      </c>
      <c r="C68" s="191"/>
      <c r="D68" s="191"/>
      <c r="E68" s="190" t="s">
        <v>628</v>
      </c>
      <c r="F68" s="191" t="s">
        <v>7</v>
      </c>
    </row>
    <row r="69" ht="30" customHeight="1" spans="1:6">
      <c r="A69" s="190" t="s">
        <v>629</v>
      </c>
      <c r="B69" s="191"/>
      <c r="C69" s="191" t="s">
        <v>434</v>
      </c>
      <c r="D69" s="191"/>
      <c r="E69" s="190" t="s">
        <v>630</v>
      </c>
      <c r="F69" s="191" t="s">
        <v>7</v>
      </c>
    </row>
    <row r="70" ht="30" customHeight="1" spans="1:6">
      <c r="A70" s="190" t="s">
        <v>631</v>
      </c>
      <c r="B70" s="191"/>
      <c r="C70" s="191" t="s">
        <v>434</v>
      </c>
      <c r="D70" s="191"/>
      <c r="E70" s="190" t="s">
        <v>632</v>
      </c>
      <c r="F70" s="191" t="s">
        <v>7</v>
      </c>
    </row>
    <row r="71" ht="60" customHeight="1" spans="1:6">
      <c r="A71" s="190" t="s">
        <v>633</v>
      </c>
      <c r="B71" s="191" t="s">
        <v>434</v>
      </c>
      <c r="C71" s="191"/>
      <c r="D71" s="191"/>
      <c r="E71" s="190" t="s">
        <v>634</v>
      </c>
      <c r="F71" s="191" t="s">
        <v>7</v>
      </c>
    </row>
    <row r="72" ht="45" customHeight="1" spans="1:6">
      <c r="A72" s="190" t="s">
        <v>635</v>
      </c>
      <c r="B72" s="191"/>
      <c r="C72" s="191" t="s">
        <v>434</v>
      </c>
      <c r="D72" s="191"/>
      <c r="E72" s="190" t="s">
        <v>636</v>
      </c>
      <c r="F72" s="191" t="s">
        <v>7</v>
      </c>
    </row>
    <row r="73" ht="45" customHeight="1" spans="1:6">
      <c r="A73" s="190" t="s">
        <v>637</v>
      </c>
      <c r="B73" s="191"/>
      <c r="C73" s="191" t="s">
        <v>434</v>
      </c>
      <c r="D73" s="191"/>
      <c r="E73" s="190" t="s">
        <v>638</v>
      </c>
      <c r="F73" s="191" t="s">
        <v>436</v>
      </c>
    </row>
    <row r="74" ht="45" customHeight="1" spans="1:6">
      <c r="A74" s="190" t="s">
        <v>639</v>
      </c>
      <c r="B74" s="191"/>
      <c r="C74" s="191" t="s">
        <v>434</v>
      </c>
      <c r="D74" s="191"/>
      <c r="E74" s="190" t="s">
        <v>640</v>
      </c>
      <c r="F74" s="191" t="s">
        <v>7</v>
      </c>
    </row>
    <row r="75" ht="75" customHeight="1" spans="1:6">
      <c r="A75" s="190" t="s">
        <v>641</v>
      </c>
      <c r="B75" s="191" t="s">
        <v>434</v>
      </c>
      <c r="C75" s="191"/>
      <c r="D75" s="191"/>
      <c r="E75" s="190" t="s">
        <v>642</v>
      </c>
      <c r="F75" s="191" t="s">
        <v>436</v>
      </c>
    </row>
    <row r="76" customHeight="1" spans="1:6">
      <c r="A76" s="190" t="s">
        <v>643</v>
      </c>
      <c r="B76" s="191" t="s">
        <v>434</v>
      </c>
      <c r="C76" s="191"/>
      <c r="D76" s="191"/>
      <c r="E76" s="190" t="s">
        <v>644</v>
      </c>
      <c r="F76" s="191" t="s">
        <v>7</v>
      </c>
    </row>
    <row r="77" ht="75" customHeight="1" spans="1:6">
      <c r="A77" s="190" t="s">
        <v>645</v>
      </c>
      <c r="B77" s="191" t="s">
        <v>434</v>
      </c>
      <c r="C77" s="191"/>
      <c r="D77" s="191"/>
      <c r="E77" s="190" t="s">
        <v>646</v>
      </c>
      <c r="F77" s="191" t="s">
        <v>436</v>
      </c>
    </row>
    <row r="78" ht="30" customHeight="1" spans="1:6">
      <c r="A78" s="190" t="s">
        <v>647</v>
      </c>
      <c r="B78" s="191"/>
      <c r="C78" s="191"/>
      <c r="D78" s="191" t="s">
        <v>434</v>
      </c>
      <c r="E78" s="190" t="s">
        <v>648</v>
      </c>
      <c r="F78" s="191" t="s">
        <v>7</v>
      </c>
    </row>
    <row r="79" customHeight="1" spans="1:6">
      <c r="A79" s="190" t="s">
        <v>649</v>
      </c>
      <c r="B79" s="191" t="s">
        <v>434</v>
      </c>
      <c r="C79" s="191"/>
      <c r="D79" s="191"/>
      <c r="E79" s="190" t="s">
        <v>644</v>
      </c>
      <c r="F79" s="191" t="s">
        <v>7</v>
      </c>
    </row>
    <row r="80" ht="75" customHeight="1" spans="1:6">
      <c r="A80" s="190" t="s">
        <v>650</v>
      </c>
      <c r="B80" s="191" t="s">
        <v>434</v>
      </c>
      <c r="C80" s="191"/>
      <c r="D80" s="191"/>
      <c r="E80" s="190" t="s">
        <v>651</v>
      </c>
      <c r="F80" s="191" t="s">
        <v>436</v>
      </c>
    </row>
    <row r="81" ht="75" customHeight="1" spans="1:6">
      <c r="A81" s="190" t="s">
        <v>652</v>
      </c>
      <c r="B81" s="191" t="s">
        <v>434</v>
      </c>
      <c r="C81" s="191"/>
      <c r="D81" s="191"/>
      <c r="E81" s="190" t="s">
        <v>653</v>
      </c>
      <c r="F81" s="191" t="s">
        <v>436</v>
      </c>
    </row>
    <row r="82" ht="60" customHeight="1" spans="1:6">
      <c r="A82" s="190" t="s">
        <v>654</v>
      </c>
      <c r="B82" s="191" t="s">
        <v>434</v>
      </c>
      <c r="C82" s="191"/>
      <c r="D82" s="191"/>
      <c r="E82" s="190" t="s">
        <v>655</v>
      </c>
      <c r="F82" s="191" t="s">
        <v>7</v>
      </c>
    </row>
    <row r="83" ht="60" customHeight="1" spans="1:6">
      <c r="A83" s="190" t="s">
        <v>656</v>
      </c>
      <c r="B83" s="191"/>
      <c r="C83" s="191" t="s">
        <v>434</v>
      </c>
      <c r="D83" s="191"/>
      <c r="E83" s="190" t="s">
        <v>657</v>
      </c>
      <c r="F83" s="191" t="s">
        <v>7</v>
      </c>
    </row>
    <row r="84" ht="45" customHeight="1" spans="1:6">
      <c r="A84" s="190" t="s">
        <v>658</v>
      </c>
      <c r="B84" s="191" t="s">
        <v>434</v>
      </c>
      <c r="C84" s="191"/>
      <c r="D84" s="191"/>
      <c r="E84" s="190" t="s">
        <v>659</v>
      </c>
      <c r="F84" s="191" t="s">
        <v>7</v>
      </c>
    </row>
    <row r="85" ht="60" customHeight="1" spans="1:6">
      <c r="A85" s="190" t="s">
        <v>660</v>
      </c>
      <c r="B85" s="191"/>
      <c r="C85" s="191" t="s">
        <v>434</v>
      </c>
      <c r="D85" s="191"/>
      <c r="E85" s="190" t="s">
        <v>661</v>
      </c>
      <c r="F85" s="191" t="s">
        <v>436</v>
      </c>
    </row>
    <row r="86" ht="45" customHeight="1" spans="1:6">
      <c r="A86" s="190" t="s">
        <v>662</v>
      </c>
      <c r="B86" s="191" t="s">
        <v>434</v>
      </c>
      <c r="C86" s="191"/>
      <c r="D86" s="191"/>
      <c r="E86" s="190" t="s">
        <v>663</v>
      </c>
      <c r="F86" s="191" t="s">
        <v>7</v>
      </c>
    </row>
    <row r="87" customHeight="1" spans="1:6">
      <c r="A87" s="190" t="s">
        <v>660</v>
      </c>
      <c r="B87" s="191"/>
      <c r="C87" s="191" t="s">
        <v>434</v>
      </c>
      <c r="D87" s="191"/>
      <c r="E87" s="190" t="s">
        <v>664</v>
      </c>
      <c r="F87" s="191" t="s">
        <v>436</v>
      </c>
    </row>
    <row r="88" ht="30" customHeight="1" spans="1:6">
      <c r="A88" s="190" t="s">
        <v>665</v>
      </c>
      <c r="B88" s="191" t="s">
        <v>434</v>
      </c>
      <c r="C88" s="191"/>
      <c r="D88" s="191"/>
      <c r="E88" s="190" t="s">
        <v>666</v>
      </c>
      <c r="F88" s="191" t="s">
        <v>7</v>
      </c>
    </row>
    <row r="89" ht="60" customHeight="1" spans="1:6">
      <c r="A89" s="190" t="s">
        <v>660</v>
      </c>
      <c r="B89" s="191"/>
      <c r="C89" s="191" t="s">
        <v>434</v>
      </c>
      <c r="D89" s="191"/>
      <c r="E89" s="190" t="s">
        <v>667</v>
      </c>
      <c r="F89" s="191" t="s">
        <v>436</v>
      </c>
    </row>
    <row r="90" spans="1:6">
      <c r="A90" s="189" t="s">
        <v>519</v>
      </c>
      <c r="B90" s="191">
        <f>COUNTIF(B13:B89,"x")</f>
        <v>30</v>
      </c>
      <c r="C90" s="191">
        <f>COUNTIF(C13:C89,"x")</f>
        <v>34</v>
      </c>
      <c r="D90" s="191">
        <f>COUNTIF(D13:D89,"x")</f>
        <v>7</v>
      </c>
    </row>
    <row r="92" spans="1:6">
      <c r="A92" s="187" t="s">
        <v>520</v>
      </c>
      <c r="B92" s="140"/>
      <c r="C92" s="140"/>
      <c r="D92" s="140"/>
      <c r="E92" s="140"/>
      <c r="F92" s="192"/>
    </row>
    <row r="93" ht="195" customHeight="1" spans="1:6">
      <c r="A93" s="190" t="s">
        <v>668</v>
      </c>
      <c r="B93" s="140"/>
      <c r="C93" s="140"/>
      <c r="D93" s="140"/>
      <c r="E93" s="140"/>
      <c r="F93" s="192"/>
    </row>
    <row r="94" spans="1:6">
      <c r="A94" s="187" t="s">
        <v>522</v>
      </c>
      <c r="B94" s="140"/>
      <c r="C94" s="140"/>
      <c r="D94" s="140"/>
      <c r="E94" s="140"/>
      <c r="F94" s="192"/>
    </row>
    <row r="95" ht="150" customHeight="1" spans="1:6">
      <c r="A95" s="190" t="s">
        <v>669</v>
      </c>
      <c r="B95" s="140"/>
      <c r="C95" s="140"/>
      <c r="D95" s="140"/>
      <c r="E95" s="140"/>
      <c r="F95" s="192"/>
    </row>
    <row r="96" spans="1:6">
      <c r="A96" s="189" t="s">
        <v>524</v>
      </c>
      <c r="B96" s="140"/>
      <c r="C96" s="140"/>
      <c r="D96" s="140"/>
      <c r="E96" s="140"/>
      <c r="F96" s="192"/>
    </row>
    <row r="97" spans="1:6">
      <c r="A97" s="189" t="s">
        <v>525</v>
      </c>
      <c r="B97" s="140"/>
      <c r="C97" s="140"/>
      <c r="D97" s="140"/>
      <c r="E97" s="140"/>
      <c r="F97" s="192"/>
    </row>
    <row r="98" spans="1:6">
      <c r="A98" s="189" t="s">
        <v>526</v>
      </c>
      <c r="B98" s="140"/>
      <c r="C98" s="140"/>
      <c r="D98" s="140"/>
      <c r="E98" s="140"/>
      <c r="F98" s="192"/>
    </row>
    <row r="99" spans="1:6">
      <c r="A99" s="187" t="s">
        <v>7</v>
      </c>
      <c r="B99" s="140"/>
      <c r="C99" s="140"/>
      <c r="D99" s="140"/>
      <c r="E99" s="140"/>
      <c r="F99" s="192"/>
    </row>
    <row r="100" ht="30" customHeight="1" spans="1:6">
      <c r="A100" s="190" t="s">
        <v>670</v>
      </c>
      <c r="B100" s="140"/>
      <c r="C100" s="140"/>
      <c r="D100" s="140"/>
      <c r="E100" s="140"/>
      <c r="F100" s="192"/>
    </row>
  </sheetData>
  <mergeCells count="18">
    <mergeCell ref="A1:F1"/>
    <mergeCell ref="B3:F3"/>
    <mergeCell ref="B4:F4"/>
    <mergeCell ref="B5:F5"/>
    <mergeCell ref="B6:F6"/>
    <mergeCell ref="B7:F7"/>
    <mergeCell ref="B8:F8"/>
    <mergeCell ref="B9:F9"/>
    <mergeCell ref="B10:F10"/>
    <mergeCell ref="A92:F92"/>
    <mergeCell ref="A93:F93"/>
    <mergeCell ref="A94:F94"/>
    <mergeCell ref="A95:F95"/>
    <mergeCell ref="A96:F96"/>
    <mergeCell ref="A97:F97"/>
    <mergeCell ref="A98:F98"/>
    <mergeCell ref="A99:F99"/>
    <mergeCell ref="A100:F100"/>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8"/>
  <sheetViews>
    <sheetView workbookViewId="0">
      <pane xSplit="1" ySplit="11" topLeftCell="B12" activePane="bottomRight" state="frozen"/>
      <selection/>
      <selection pane="topRight"/>
      <selection pane="bottomLeft"/>
      <selection pane="bottomRight" activeCell="A1" sqref="A1:F1"/>
    </sheetView>
  </sheetViews>
  <sheetFormatPr defaultColWidth="9" defaultRowHeight="15" outlineLevelCol="5"/>
  <cols>
    <col min="1" max="1" width="66.1428571428571" customWidth="1"/>
    <col min="2" max="2" width="5.57142857142857" customWidth="1"/>
    <col min="3" max="3" width="9" customWidth="1"/>
    <col min="4" max="4" width="6.28571428571429" customWidth="1"/>
    <col min="5" max="5" width="56.5714285714286" customWidth="1"/>
    <col min="6" max="6" width="11.4285714285714" customWidth="1"/>
  </cols>
  <sheetData>
    <row r="1" ht="24" customHeight="1" spans="1:6">
      <c r="A1" s="174" t="s">
        <v>671</v>
      </c>
    </row>
    <row r="3" customHeight="1" spans="1:6">
      <c r="A3" s="175" t="s">
        <v>226</v>
      </c>
      <c r="B3" s="176" t="s">
        <v>227</v>
      </c>
    </row>
    <row r="4" customHeight="1" spans="1:6">
      <c r="A4" s="175" t="s">
        <v>528</v>
      </c>
      <c r="B4" s="176" t="s">
        <v>231</v>
      </c>
    </row>
    <row r="5" customHeight="1" spans="1:6">
      <c r="A5" s="175" t="s">
        <v>422</v>
      </c>
      <c r="B5" s="176" t="s">
        <v>60</v>
      </c>
    </row>
    <row r="6" customHeight="1" spans="1:6">
      <c r="A6" s="175" t="s">
        <v>238</v>
      </c>
      <c r="B6" s="176" t="s">
        <v>7</v>
      </c>
    </row>
    <row r="7" customHeight="1" spans="1:6">
      <c r="A7" s="175" t="s">
        <v>421</v>
      </c>
      <c r="B7" s="176" t="s">
        <v>233</v>
      </c>
    </row>
    <row r="8" ht="45" customHeight="1" spans="1:6">
      <c r="A8" s="175" t="s">
        <v>423</v>
      </c>
      <c r="B8" s="177" t="s">
        <v>672</v>
      </c>
    </row>
    <row r="9" customHeight="1" spans="1:6">
      <c r="A9" s="175" t="s">
        <v>532</v>
      </c>
      <c r="B9" s="176" t="s">
        <v>157</v>
      </c>
    </row>
    <row r="11" spans="1:6">
      <c r="A11" s="178" t="s">
        <v>426</v>
      </c>
      <c r="B11" s="179" t="s">
        <v>427</v>
      </c>
      <c r="C11" s="179" t="s">
        <v>428</v>
      </c>
      <c r="D11" s="179" t="s">
        <v>429</v>
      </c>
      <c r="E11" s="179" t="s">
        <v>430</v>
      </c>
      <c r="F11" s="179" t="s">
        <v>431</v>
      </c>
    </row>
    <row r="12" spans="1:6">
      <c r="A12" s="178" t="s">
        <v>432</v>
      </c>
      <c r="B12" s="178"/>
      <c r="C12" s="178"/>
      <c r="D12" s="178"/>
      <c r="E12" s="178"/>
      <c r="F12" s="178"/>
    </row>
    <row r="13" ht="45" customHeight="1" spans="1:6">
      <c r="A13" s="180" t="s">
        <v>433</v>
      </c>
      <c r="B13" s="181"/>
      <c r="C13" s="181" t="s">
        <v>434</v>
      </c>
      <c r="D13" s="181"/>
      <c r="E13" s="180" t="s">
        <v>673</v>
      </c>
      <c r="F13" s="181" t="s">
        <v>436</v>
      </c>
    </row>
    <row r="14" ht="75" customHeight="1" spans="1:6">
      <c r="A14" s="180" t="s">
        <v>437</v>
      </c>
      <c r="B14" s="181"/>
      <c r="C14" s="181" t="s">
        <v>434</v>
      </c>
      <c r="D14" s="181"/>
      <c r="E14" s="180" t="s">
        <v>674</v>
      </c>
      <c r="F14" s="181" t="s">
        <v>436</v>
      </c>
    </row>
    <row r="15" ht="45" customHeight="1" spans="1:6">
      <c r="A15" s="180" t="s">
        <v>675</v>
      </c>
      <c r="B15" s="181"/>
      <c r="C15" s="181" t="s">
        <v>434</v>
      </c>
      <c r="D15" s="181"/>
      <c r="E15" s="180" t="s">
        <v>676</v>
      </c>
      <c r="F15" s="181" t="s">
        <v>436</v>
      </c>
    </row>
    <row r="16" customHeight="1" spans="1:6">
      <c r="A16" s="180" t="s">
        <v>441</v>
      </c>
      <c r="B16" s="181"/>
      <c r="C16" s="181" t="s">
        <v>434</v>
      </c>
      <c r="D16" s="181"/>
      <c r="E16" s="180" t="s">
        <v>677</v>
      </c>
      <c r="F16" s="181" t="s">
        <v>436</v>
      </c>
    </row>
    <row r="17" customHeight="1" spans="1:6">
      <c r="A17" s="180" t="s">
        <v>443</v>
      </c>
      <c r="B17" s="181"/>
      <c r="C17" s="181" t="s">
        <v>434</v>
      </c>
      <c r="D17" s="181"/>
      <c r="E17" s="180" t="s">
        <v>678</v>
      </c>
      <c r="F17" s="181" t="s">
        <v>436</v>
      </c>
    </row>
    <row r="18" ht="30" customHeight="1" spans="1:6">
      <c r="A18" s="180" t="s">
        <v>679</v>
      </c>
      <c r="B18" s="181"/>
      <c r="C18" s="181" t="s">
        <v>434</v>
      </c>
      <c r="D18" s="181"/>
      <c r="E18" s="180" t="s">
        <v>680</v>
      </c>
      <c r="F18" s="181" t="s">
        <v>436</v>
      </c>
    </row>
    <row r="19" ht="75" customHeight="1" spans="1:6">
      <c r="A19" s="180" t="s">
        <v>681</v>
      </c>
      <c r="B19" s="181"/>
      <c r="C19" s="181" t="s">
        <v>434</v>
      </c>
      <c r="D19" s="181"/>
      <c r="E19" s="180" t="s">
        <v>682</v>
      </c>
      <c r="F19" s="181" t="s">
        <v>436</v>
      </c>
    </row>
    <row r="20" ht="30" customHeight="1" spans="1:6">
      <c r="A20" s="180" t="s">
        <v>449</v>
      </c>
      <c r="B20" s="181"/>
      <c r="C20" s="181"/>
      <c r="D20" s="181" t="s">
        <v>434</v>
      </c>
      <c r="E20" s="180" t="s">
        <v>683</v>
      </c>
      <c r="F20" s="181" t="s">
        <v>436</v>
      </c>
    </row>
    <row r="21" ht="30" customHeight="1" spans="1:6">
      <c r="A21" s="180" t="s">
        <v>451</v>
      </c>
      <c r="B21" s="181"/>
      <c r="C21" s="181"/>
      <c r="D21" s="181" t="s">
        <v>434</v>
      </c>
      <c r="E21" s="180" t="s">
        <v>684</v>
      </c>
      <c r="F21" s="181" t="s">
        <v>436</v>
      </c>
    </row>
    <row r="22" spans="1:6">
      <c r="A22" s="178" t="s">
        <v>685</v>
      </c>
      <c r="B22" s="178"/>
      <c r="C22" s="178"/>
      <c r="D22" s="178"/>
      <c r="E22" s="178"/>
      <c r="F22" s="178"/>
    </row>
    <row r="23" ht="30" customHeight="1" spans="1:6">
      <c r="A23" s="180" t="s">
        <v>686</v>
      </c>
      <c r="B23" s="181"/>
      <c r="C23" s="181" t="s">
        <v>434</v>
      </c>
      <c r="D23" s="181"/>
      <c r="E23" s="180" t="s">
        <v>687</v>
      </c>
      <c r="F23" s="181" t="s">
        <v>7</v>
      </c>
    </row>
    <row r="24" ht="75" customHeight="1" spans="1:6">
      <c r="A24" s="180" t="s">
        <v>688</v>
      </c>
      <c r="B24" s="181" t="s">
        <v>434</v>
      </c>
      <c r="C24" s="181"/>
      <c r="D24" s="181"/>
      <c r="E24" s="180" t="s">
        <v>689</v>
      </c>
      <c r="F24" s="181" t="s">
        <v>436</v>
      </c>
    </row>
    <row r="25" customHeight="1" spans="1:6">
      <c r="A25" s="180" t="s">
        <v>690</v>
      </c>
      <c r="B25" s="181"/>
      <c r="C25" s="181" t="s">
        <v>434</v>
      </c>
      <c r="D25" s="181"/>
      <c r="E25" s="180" t="s">
        <v>691</v>
      </c>
      <c r="F25" s="181" t="s">
        <v>436</v>
      </c>
    </row>
    <row r="26" ht="30" customHeight="1" spans="1:6">
      <c r="A26" s="180" t="s">
        <v>692</v>
      </c>
      <c r="B26" s="181"/>
      <c r="C26" s="181" t="s">
        <v>434</v>
      </c>
      <c r="D26" s="181"/>
      <c r="E26" s="180" t="s">
        <v>693</v>
      </c>
      <c r="F26" s="181" t="s">
        <v>7</v>
      </c>
    </row>
    <row r="27" ht="75" customHeight="1" spans="1:6">
      <c r="A27" s="180" t="s">
        <v>694</v>
      </c>
      <c r="B27" s="181"/>
      <c r="C27" s="181" t="s">
        <v>434</v>
      </c>
      <c r="D27" s="181"/>
      <c r="E27" s="180" t="s">
        <v>695</v>
      </c>
      <c r="F27" s="181" t="s">
        <v>436</v>
      </c>
    </row>
    <row r="28" ht="30" customHeight="1" spans="1:6">
      <c r="A28" s="180" t="s">
        <v>696</v>
      </c>
      <c r="B28" s="181" t="s">
        <v>434</v>
      </c>
      <c r="C28" s="181"/>
      <c r="D28" s="181"/>
      <c r="E28" s="180" t="s">
        <v>697</v>
      </c>
      <c r="F28" s="181" t="s">
        <v>436</v>
      </c>
    </row>
    <row r="29" ht="45" customHeight="1" spans="1:6">
      <c r="A29" s="180" t="s">
        <v>698</v>
      </c>
      <c r="B29" s="181" t="s">
        <v>434</v>
      </c>
      <c r="C29" s="181"/>
      <c r="D29" s="181"/>
      <c r="E29" s="180" t="s">
        <v>699</v>
      </c>
      <c r="F29" s="181" t="s">
        <v>436</v>
      </c>
    </row>
    <row r="30" ht="60" customHeight="1" spans="1:6">
      <c r="A30" s="180" t="s">
        <v>700</v>
      </c>
      <c r="B30" s="181"/>
      <c r="C30" s="181" t="s">
        <v>434</v>
      </c>
      <c r="D30" s="181"/>
      <c r="E30" s="180" t="s">
        <v>701</v>
      </c>
      <c r="F30" s="181" t="s">
        <v>436</v>
      </c>
    </row>
    <row r="31" ht="45" customHeight="1" spans="1:6">
      <c r="A31" s="180" t="s">
        <v>702</v>
      </c>
      <c r="B31" s="181"/>
      <c r="C31" s="181" t="s">
        <v>434</v>
      </c>
      <c r="D31" s="181"/>
      <c r="E31" s="180" t="s">
        <v>703</v>
      </c>
      <c r="F31" s="181" t="s">
        <v>7</v>
      </c>
    </row>
    <row r="32" customHeight="1" spans="1:6">
      <c r="A32" s="180" t="s">
        <v>556</v>
      </c>
      <c r="B32" s="181"/>
      <c r="C32" s="181"/>
      <c r="D32" s="181" t="s">
        <v>434</v>
      </c>
      <c r="E32" s="180" t="s">
        <v>557</v>
      </c>
      <c r="F32" s="181" t="s">
        <v>7</v>
      </c>
    </row>
    <row r="33" customHeight="1" spans="1:6">
      <c r="A33" s="180" t="s">
        <v>224</v>
      </c>
      <c r="B33" s="181"/>
      <c r="C33" s="181"/>
      <c r="D33" s="181" t="s">
        <v>434</v>
      </c>
      <c r="E33" s="180" t="s">
        <v>557</v>
      </c>
      <c r="F33" s="181" t="s">
        <v>7</v>
      </c>
    </row>
    <row r="34" customHeight="1" spans="1:6">
      <c r="A34" s="180" t="s">
        <v>558</v>
      </c>
      <c r="B34" s="181"/>
      <c r="C34" s="181"/>
      <c r="D34" s="181" t="s">
        <v>434</v>
      </c>
      <c r="E34" s="180" t="s">
        <v>557</v>
      </c>
      <c r="F34" s="181" t="s">
        <v>7</v>
      </c>
    </row>
    <row r="35" customHeight="1" spans="1:6">
      <c r="A35" s="180" t="s">
        <v>246</v>
      </c>
      <c r="B35" s="181"/>
      <c r="C35" s="181"/>
      <c r="D35" s="181" t="s">
        <v>434</v>
      </c>
      <c r="E35" s="180" t="s">
        <v>557</v>
      </c>
      <c r="F35" s="181" t="s">
        <v>7</v>
      </c>
    </row>
    <row r="36" ht="45" customHeight="1" spans="1:6">
      <c r="A36" s="180" t="s">
        <v>561</v>
      </c>
      <c r="B36" s="181" t="s">
        <v>434</v>
      </c>
      <c r="C36" s="181"/>
      <c r="D36" s="181"/>
      <c r="E36" s="180" t="s">
        <v>704</v>
      </c>
      <c r="F36" s="181" t="s">
        <v>436</v>
      </c>
    </row>
    <row r="37" spans="1:6">
      <c r="A37" s="178" t="s">
        <v>705</v>
      </c>
      <c r="B37" s="178"/>
      <c r="C37" s="178"/>
      <c r="D37" s="178"/>
      <c r="E37" s="178"/>
      <c r="F37" s="178"/>
    </row>
    <row r="38" spans="1:6">
      <c r="A38" s="178" t="s">
        <v>706</v>
      </c>
      <c r="B38" s="178"/>
      <c r="C38" s="178"/>
      <c r="D38" s="178"/>
      <c r="E38" s="178"/>
      <c r="F38" s="178"/>
    </row>
    <row r="39" ht="90" customHeight="1" spans="1:6">
      <c r="A39" s="180" t="s">
        <v>707</v>
      </c>
      <c r="B39" s="181" t="s">
        <v>434</v>
      </c>
      <c r="C39" s="181"/>
      <c r="D39" s="181"/>
      <c r="E39" s="180" t="s">
        <v>708</v>
      </c>
      <c r="F39" s="181" t="s">
        <v>7</v>
      </c>
    </row>
    <row r="40" ht="105" customHeight="1" spans="1:6">
      <c r="A40" s="180" t="s">
        <v>709</v>
      </c>
      <c r="B40" s="181"/>
      <c r="C40" s="181" t="s">
        <v>434</v>
      </c>
      <c r="D40" s="181"/>
      <c r="E40" s="180" t="s">
        <v>710</v>
      </c>
      <c r="F40" s="181" t="s">
        <v>436</v>
      </c>
    </row>
    <row r="41" ht="60" customHeight="1" spans="1:6">
      <c r="A41" s="180" t="s">
        <v>711</v>
      </c>
      <c r="B41" s="181" t="s">
        <v>434</v>
      </c>
      <c r="C41" s="181"/>
      <c r="D41" s="181"/>
      <c r="E41" s="180" t="s">
        <v>712</v>
      </c>
      <c r="F41" s="181" t="s">
        <v>436</v>
      </c>
    </row>
    <row r="42" ht="90" customHeight="1" spans="1:6">
      <c r="A42" s="180" t="s">
        <v>713</v>
      </c>
      <c r="B42" s="181" t="s">
        <v>434</v>
      </c>
      <c r="C42" s="181"/>
      <c r="D42" s="181"/>
      <c r="E42" s="180" t="s">
        <v>714</v>
      </c>
      <c r="F42" s="181" t="s">
        <v>436</v>
      </c>
    </row>
    <row r="43" ht="75" customHeight="1" spans="1:6">
      <c r="A43" s="180" t="s">
        <v>715</v>
      </c>
      <c r="B43" s="181"/>
      <c r="C43" s="181" t="s">
        <v>434</v>
      </c>
      <c r="D43" s="181"/>
      <c r="E43" s="180" t="s">
        <v>716</v>
      </c>
      <c r="F43" s="181" t="s">
        <v>436</v>
      </c>
    </row>
    <row r="44" spans="1:6">
      <c r="A44" s="178" t="s">
        <v>717</v>
      </c>
      <c r="B44" s="178"/>
      <c r="C44" s="178"/>
      <c r="D44" s="178"/>
      <c r="E44" s="178"/>
      <c r="F44" s="178"/>
    </row>
    <row r="45" ht="90" customHeight="1" spans="1:6">
      <c r="A45" s="180" t="s">
        <v>718</v>
      </c>
      <c r="B45" s="181" t="s">
        <v>434</v>
      </c>
      <c r="C45" s="181"/>
      <c r="D45" s="181"/>
      <c r="E45" s="180" t="s">
        <v>719</v>
      </c>
      <c r="F45" s="181" t="s">
        <v>436</v>
      </c>
    </row>
    <row r="46" ht="60" customHeight="1" spans="1:6">
      <c r="A46" s="180" t="s">
        <v>720</v>
      </c>
      <c r="B46" s="181" t="s">
        <v>434</v>
      </c>
      <c r="C46" s="181"/>
      <c r="D46" s="181"/>
      <c r="E46" s="180" t="s">
        <v>721</v>
      </c>
      <c r="F46" s="181" t="s">
        <v>436</v>
      </c>
    </row>
    <row r="47" ht="60" customHeight="1" spans="1:6">
      <c r="A47" s="180" t="s">
        <v>722</v>
      </c>
      <c r="B47" s="181" t="s">
        <v>434</v>
      </c>
      <c r="C47" s="181"/>
      <c r="D47" s="181"/>
      <c r="E47" s="180" t="s">
        <v>723</v>
      </c>
      <c r="F47" s="181" t="s">
        <v>436</v>
      </c>
    </row>
    <row r="48" ht="90" customHeight="1" spans="1:6">
      <c r="A48" s="180" t="s">
        <v>724</v>
      </c>
      <c r="B48" s="181" t="s">
        <v>434</v>
      </c>
      <c r="C48" s="181"/>
      <c r="D48" s="181"/>
      <c r="E48" s="180" t="s">
        <v>725</v>
      </c>
      <c r="F48" s="181" t="s">
        <v>436</v>
      </c>
    </row>
    <row r="49" ht="75" customHeight="1" spans="1:6">
      <c r="A49" s="180" t="s">
        <v>726</v>
      </c>
      <c r="B49" s="181" t="s">
        <v>434</v>
      </c>
      <c r="C49" s="181"/>
      <c r="D49" s="181"/>
      <c r="E49" s="180" t="s">
        <v>727</v>
      </c>
      <c r="F49" s="181" t="s">
        <v>436</v>
      </c>
    </row>
    <row r="50" spans="1:6">
      <c r="A50" s="178" t="s">
        <v>728</v>
      </c>
      <c r="B50" s="178"/>
      <c r="C50" s="178"/>
      <c r="D50" s="178"/>
      <c r="E50" s="178"/>
      <c r="F50" s="178"/>
    </row>
    <row r="51" ht="90" customHeight="1" spans="1:6">
      <c r="A51" s="180" t="s">
        <v>729</v>
      </c>
      <c r="B51" s="181" t="s">
        <v>434</v>
      </c>
      <c r="C51" s="181"/>
      <c r="D51" s="181"/>
      <c r="E51" s="180" t="s">
        <v>730</v>
      </c>
      <c r="F51" s="181" t="s">
        <v>436</v>
      </c>
    </row>
    <row r="52" ht="90" customHeight="1" spans="1:6">
      <c r="A52" s="180" t="s">
        <v>731</v>
      </c>
      <c r="B52" s="181" t="s">
        <v>434</v>
      </c>
      <c r="C52" s="181"/>
      <c r="D52" s="181"/>
      <c r="E52" s="180" t="s">
        <v>732</v>
      </c>
      <c r="F52" s="181" t="s">
        <v>7</v>
      </c>
    </row>
    <row r="53" ht="60" customHeight="1" spans="1:6">
      <c r="A53" s="180" t="s">
        <v>733</v>
      </c>
      <c r="B53" s="181" t="s">
        <v>434</v>
      </c>
      <c r="C53" s="181"/>
      <c r="D53" s="181"/>
      <c r="E53" s="180" t="s">
        <v>734</v>
      </c>
      <c r="F53" s="181" t="s">
        <v>7</v>
      </c>
    </row>
    <row r="54" ht="75" customHeight="1" spans="1:6">
      <c r="A54" s="180" t="s">
        <v>735</v>
      </c>
      <c r="B54" s="181" t="s">
        <v>434</v>
      </c>
      <c r="C54" s="181"/>
      <c r="D54" s="181"/>
      <c r="E54" s="180" t="s">
        <v>736</v>
      </c>
      <c r="F54" s="181" t="s">
        <v>7</v>
      </c>
    </row>
    <row r="55" ht="45" customHeight="1" spans="1:6">
      <c r="A55" s="180" t="s">
        <v>737</v>
      </c>
      <c r="B55" s="181" t="s">
        <v>434</v>
      </c>
      <c r="C55" s="181"/>
      <c r="D55" s="181"/>
      <c r="E55" s="180" t="s">
        <v>738</v>
      </c>
      <c r="F55" s="181" t="s">
        <v>7</v>
      </c>
    </row>
    <row r="56" ht="75" customHeight="1" spans="1:6">
      <c r="A56" s="180" t="s">
        <v>739</v>
      </c>
      <c r="B56" s="181" t="s">
        <v>434</v>
      </c>
      <c r="C56" s="181"/>
      <c r="D56" s="181"/>
      <c r="E56" s="180" t="s">
        <v>740</v>
      </c>
      <c r="F56" s="181" t="s">
        <v>436</v>
      </c>
    </row>
    <row r="57" ht="90" customHeight="1" spans="1:6">
      <c r="A57" s="180" t="s">
        <v>741</v>
      </c>
      <c r="B57" s="181" t="s">
        <v>434</v>
      </c>
      <c r="C57" s="181"/>
      <c r="D57" s="181"/>
      <c r="E57" s="180" t="s">
        <v>742</v>
      </c>
      <c r="F57" s="181" t="s">
        <v>436</v>
      </c>
    </row>
    <row r="58" ht="60" customHeight="1" spans="1:6">
      <c r="A58" s="180" t="s">
        <v>743</v>
      </c>
      <c r="B58" s="181" t="s">
        <v>434</v>
      </c>
      <c r="C58" s="181"/>
      <c r="D58" s="181"/>
      <c r="E58" s="180" t="s">
        <v>744</v>
      </c>
      <c r="F58" s="181" t="s">
        <v>7</v>
      </c>
    </row>
    <row r="59" ht="45" customHeight="1" spans="1:6">
      <c r="A59" s="180" t="s">
        <v>745</v>
      </c>
      <c r="B59" s="181" t="s">
        <v>434</v>
      </c>
      <c r="C59" s="181"/>
      <c r="D59" s="181"/>
      <c r="E59" s="180" t="s">
        <v>746</v>
      </c>
      <c r="F59" s="181" t="s">
        <v>7</v>
      </c>
    </row>
    <row r="60" ht="45" customHeight="1" spans="1:6">
      <c r="A60" s="180" t="s">
        <v>747</v>
      </c>
      <c r="B60" s="181" t="s">
        <v>434</v>
      </c>
      <c r="C60" s="181"/>
      <c r="D60" s="181"/>
      <c r="E60" s="180" t="s">
        <v>748</v>
      </c>
      <c r="F60" s="181" t="s">
        <v>7</v>
      </c>
    </row>
    <row r="61" ht="45" customHeight="1" spans="1:6">
      <c r="A61" s="180" t="s">
        <v>749</v>
      </c>
      <c r="B61" s="181" t="s">
        <v>434</v>
      </c>
      <c r="C61" s="181"/>
      <c r="D61" s="181"/>
      <c r="E61" s="180" t="s">
        <v>750</v>
      </c>
      <c r="F61" s="181" t="s">
        <v>7</v>
      </c>
    </row>
    <row r="62" ht="75" customHeight="1" spans="1:6">
      <c r="A62" s="180" t="s">
        <v>751</v>
      </c>
      <c r="B62" s="181" t="s">
        <v>434</v>
      </c>
      <c r="C62" s="181"/>
      <c r="D62" s="181"/>
      <c r="E62" s="180" t="s">
        <v>752</v>
      </c>
      <c r="F62" s="181" t="s">
        <v>7</v>
      </c>
    </row>
    <row r="63" ht="30" customHeight="1" spans="1:6">
      <c r="A63" s="180" t="s">
        <v>753</v>
      </c>
      <c r="B63" s="181" t="s">
        <v>434</v>
      </c>
      <c r="C63" s="181"/>
      <c r="D63" s="181"/>
      <c r="E63" s="180" t="s">
        <v>754</v>
      </c>
      <c r="F63" s="181" t="s">
        <v>436</v>
      </c>
    </row>
    <row r="64" ht="30" customHeight="1" spans="1:6">
      <c r="A64" s="180" t="s">
        <v>743</v>
      </c>
      <c r="B64" s="181" t="s">
        <v>434</v>
      </c>
      <c r="C64" s="181"/>
      <c r="D64" s="181"/>
      <c r="E64" s="180" t="s">
        <v>755</v>
      </c>
      <c r="F64" s="181" t="s">
        <v>7</v>
      </c>
    </row>
    <row r="65" ht="30" customHeight="1" spans="1:6">
      <c r="A65" s="180" t="s">
        <v>745</v>
      </c>
      <c r="B65" s="181" t="s">
        <v>434</v>
      </c>
      <c r="C65" s="181"/>
      <c r="D65" s="181"/>
      <c r="E65" s="180" t="s">
        <v>756</v>
      </c>
      <c r="F65" s="181" t="s">
        <v>7</v>
      </c>
    </row>
    <row r="66" ht="30" customHeight="1" spans="1:6">
      <c r="A66" s="180" t="s">
        <v>747</v>
      </c>
      <c r="B66" s="181" t="s">
        <v>434</v>
      </c>
      <c r="C66" s="181"/>
      <c r="D66" s="181"/>
      <c r="E66" s="180" t="s">
        <v>757</v>
      </c>
      <c r="F66" s="181" t="s">
        <v>7</v>
      </c>
    </row>
    <row r="67" ht="30" customHeight="1" spans="1:6">
      <c r="A67" s="180" t="s">
        <v>749</v>
      </c>
      <c r="B67" s="181" t="s">
        <v>434</v>
      </c>
      <c r="C67" s="181"/>
      <c r="D67" s="181"/>
      <c r="E67" s="180" t="s">
        <v>758</v>
      </c>
      <c r="F67" s="181" t="s">
        <v>7</v>
      </c>
    </row>
    <row r="68" ht="45" customHeight="1" spans="1:6">
      <c r="A68" s="180" t="s">
        <v>751</v>
      </c>
      <c r="B68" s="181" t="s">
        <v>434</v>
      </c>
      <c r="C68" s="181"/>
      <c r="D68" s="181"/>
      <c r="E68" s="180" t="s">
        <v>759</v>
      </c>
      <c r="F68" s="181" t="s">
        <v>7</v>
      </c>
    </row>
    <row r="69" spans="1:6">
      <c r="A69" s="178" t="s">
        <v>760</v>
      </c>
      <c r="B69" s="178"/>
      <c r="C69" s="178"/>
      <c r="D69" s="178"/>
      <c r="E69" s="178"/>
      <c r="F69" s="178"/>
    </row>
    <row r="70" ht="75" customHeight="1" spans="1:6">
      <c r="A70" s="180" t="s">
        <v>761</v>
      </c>
      <c r="B70" s="181"/>
      <c r="C70" s="181" t="s">
        <v>434</v>
      </c>
      <c r="D70" s="181"/>
      <c r="E70" s="180" t="s">
        <v>762</v>
      </c>
      <c r="F70" s="181" t="s">
        <v>436</v>
      </c>
    </row>
    <row r="71" ht="45" customHeight="1" spans="1:6">
      <c r="A71" s="180" t="s">
        <v>763</v>
      </c>
      <c r="B71" s="181"/>
      <c r="C71" s="181" t="s">
        <v>434</v>
      </c>
      <c r="D71" s="181"/>
      <c r="E71" s="180" t="s">
        <v>764</v>
      </c>
      <c r="F71" s="181" t="s">
        <v>7</v>
      </c>
    </row>
    <row r="72" ht="45" customHeight="1" spans="1:6">
      <c r="A72" s="180" t="s">
        <v>765</v>
      </c>
      <c r="B72" s="181" t="s">
        <v>434</v>
      </c>
      <c r="C72" s="181"/>
      <c r="D72" s="181"/>
      <c r="E72" s="180" t="s">
        <v>766</v>
      </c>
      <c r="F72" s="181" t="s">
        <v>7</v>
      </c>
    </row>
    <row r="73" ht="45" customHeight="1" spans="1:6">
      <c r="A73" s="180" t="s">
        <v>767</v>
      </c>
      <c r="B73" s="181"/>
      <c r="C73" s="181" t="s">
        <v>434</v>
      </c>
      <c r="D73" s="181"/>
      <c r="E73" s="180" t="s">
        <v>768</v>
      </c>
      <c r="F73" s="181" t="s">
        <v>7</v>
      </c>
    </row>
    <row r="74" spans="1:6">
      <c r="A74" s="178" t="s">
        <v>769</v>
      </c>
      <c r="B74" s="178"/>
      <c r="C74" s="178"/>
      <c r="D74" s="178"/>
      <c r="E74" s="178"/>
      <c r="F74" s="178"/>
    </row>
    <row r="75" ht="75" customHeight="1" spans="1:6">
      <c r="A75" s="180" t="s">
        <v>770</v>
      </c>
      <c r="B75" s="181" t="s">
        <v>434</v>
      </c>
      <c r="C75" s="181"/>
      <c r="D75" s="181"/>
      <c r="E75" s="180" t="s">
        <v>771</v>
      </c>
      <c r="F75" s="181" t="s">
        <v>7</v>
      </c>
    </row>
    <row r="76" ht="30" customHeight="1" spans="1:6">
      <c r="A76" s="180" t="s">
        <v>772</v>
      </c>
      <c r="B76" s="181"/>
      <c r="C76" s="181" t="s">
        <v>434</v>
      </c>
      <c r="D76" s="181"/>
      <c r="E76" s="180" t="s">
        <v>773</v>
      </c>
      <c r="F76" s="181" t="s">
        <v>7</v>
      </c>
    </row>
    <row r="77" ht="60" customHeight="1" spans="1:6">
      <c r="A77" s="180" t="s">
        <v>774</v>
      </c>
      <c r="B77" s="181" t="s">
        <v>434</v>
      </c>
      <c r="C77" s="181"/>
      <c r="D77" s="181"/>
      <c r="E77" s="180" t="s">
        <v>775</v>
      </c>
      <c r="F77" s="181" t="s">
        <v>7</v>
      </c>
    </row>
    <row r="78" spans="1:6">
      <c r="A78" s="178" t="s">
        <v>776</v>
      </c>
      <c r="B78" s="178"/>
      <c r="C78" s="178"/>
      <c r="D78" s="178"/>
      <c r="E78" s="178"/>
      <c r="F78" s="178"/>
    </row>
    <row r="79" ht="90" customHeight="1" spans="1:6">
      <c r="A79" s="180" t="s">
        <v>777</v>
      </c>
      <c r="B79" s="181" t="s">
        <v>434</v>
      </c>
      <c r="C79" s="181"/>
      <c r="D79" s="181"/>
      <c r="E79" s="180" t="s">
        <v>778</v>
      </c>
      <c r="F79" s="181" t="s">
        <v>436</v>
      </c>
    </row>
    <row r="80" ht="90" customHeight="1" spans="1:6">
      <c r="A80" s="180" t="s">
        <v>779</v>
      </c>
      <c r="B80" s="181" t="s">
        <v>434</v>
      </c>
      <c r="C80" s="181"/>
      <c r="D80" s="181"/>
      <c r="E80" s="180" t="s">
        <v>780</v>
      </c>
      <c r="F80" s="181" t="s">
        <v>436</v>
      </c>
    </row>
    <row r="81" ht="75" customHeight="1" spans="1:6">
      <c r="A81" s="180" t="s">
        <v>781</v>
      </c>
      <c r="B81" s="181" t="s">
        <v>434</v>
      </c>
      <c r="C81" s="181"/>
      <c r="D81" s="181"/>
      <c r="E81" s="180" t="s">
        <v>782</v>
      </c>
      <c r="F81" s="181" t="s">
        <v>436</v>
      </c>
    </row>
    <row r="82" ht="90" customHeight="1" spans="1:6">
      <c r="A82" s="180" t="s">
        <v>783</v>
      </c>
      <c r="B82" s="181" t="s">
        <v>434</v>
      </c>
      <c r="C82" s="181"/>
      <c r="D82" s="181"/>
      <c r="E82" s="180" t="s">
        <v>784</v>
      </c>
      <c r="F82" s="181" t="s">
        <v>436</v>
      </c>
    </row>
    <row r="83" ht="30" customHeight="1" spans="1:6">
      <c r="A83" s="180" t="s">
        <v>785</v>
      </c>
      <c r="B83" s="181" t="s">
        <v>434</v>
      </c>
      <c r="C83" s="181"/>
      <c r="D83" s="181"/>
      <c r="E83" s="180" t="s">
        <v>786</v>
      </c>
      <c r="F83" s="181" t="s">
        <v>7</v>
      </c>
    </row>
    <row r="84" ht="60" customHeight="1" spans="1:6">
      <c r="A84" s="180" t="s">
        <v>787</v>
      </c>
      <c r="B84" s="181" t="s">
        <v>434</v>
      </c>
      <c r="C84" s="181"/>
      <c r="D84" s="181"/>
      <c r="E84" s="180" t="s">
        <v>788</v>
      </c>
      <c r="F84" s="181" t="s">
        <v>436</v>
      </c>
    </row>
    <row r="85" ht="75" customHeight="1" spans="1:6">
      <c r="A85" s="180" t="s">
        <v>789</v>
      </c>
      <c r="B85" s="181" t="s">
        <v>434</v>
      </c>
      <c r="C85" s="181"/>
      <c r="D85" s="181"/>
      <c r="E85" s="180" t="s">
        <v>790</v>
      </c>
      <c r="F85" s="181" t="s">
        <v>7</v>
      </c>
    </row>
    <row r="86" ht="60" customHeight="1" spans="1:6">
      <c r="A86" s="180" t="s">
        <v>791</v>
      </c>
      <c r="B86" s="181" t="s">
        <v>434</v>
      </c>
      <c r="C86" s="181"/>
      <c r="D86" s="181"/>
      <c r="E86" s="180" t="s">
        <v>792</v>
      </c>
      <c r="F86" s="181" t="s">
        <v>436</v>
      </c>
    </row>
    <row r="87" ht="60" customHeight="1" spans="1:6">
      <c r="A87" s="180" t="s">
        <v>793</v>
      </c>
      <c r="B87" s="181"/>
      <c r="C87" s="181"/>
      <c r="D87" s="181" t="s">
        <v>434</v>
      </c>
      <c r="E87" s="180" t="s">
        <v>794</v>
      </c>
      <c r="F87" s="181" t="s">
        <v>7</v>
      </c>
    </row>
    <row r="88" ht="75" customHeight="1" spans="1:6">
      <c r="A88" s="180" t="s">
        <v>795</v>
      </c>
      <c r="B88" s="181"/>
      <c r="C88" s="181" t="s">
        <v>434</v>
      </c>
      <c r="D88" s="181"/>
      <c r="E88" s="180" t="s">
        <v>796</v>
      </c>
      <c r="F88" s="181" t="s">
        <v>436</v>
      </c>
    </row>
    <row r="89" customHeight="1" spans="1:6">
      <c r="A89" s="180" t="s">
        <v>797</v>
      </c>
      <c r="B89" s="181"/>
      <c r="C89" s="181"/>
      <c r="D89" s="181" t="s">
        <v>434</v>
      </c>
      <c r="E89" s="180" t="s">
        <v>798</v>
      </c>
      <c r="F89" s="181" t="s">
        <v>7</v>
      </c>
    </row>
    <row r="90" customHeight="1" spans="1:6">
      <c r="A90" s="180" t="s">
        <v>799</v>
      </c>
      <c r="B90" s="181"/>
      <c r="C90" s="181"/>
      <c r="D90" s="181" t="s">
        <v>434</v>
      </c>
      <c r="E90" s="180" t="s">
        <v>800</v>
      </c>
      <c r="F90" s="181" t="s">
        <v>436</v>
      </c>
    </row>
    <row r="91" customHeight="1" spans="1:6">
      <c r="A91" s="180" t="s">
        <v>787</v>
      </c>
      <c r="B91" s="181"/>
      <c r="C91" s="181"/>
      <c r="D91" s="181" t="s">
        <v>434</v>
      </c>
      <c r="E91" s="180" t="s">
        <v>800</v>
      </c>
      <c r="F91" s="181" t="s">
        <v>436</v>
      </c>
    </row>
    <row r="92" ht="90" customHeight="1" spans="1:6">
      <c r="A92" s="180" t="s">
        <v>801</v>
      </c>
      <c r="B92" s="181" t="s">
        <v>434</v>
      </c>
      <c r="C92" s="181"/>
      <c r="D92" s="181"/>
      <c r="E92" s="180" t="s">
        <v>802</v>
      </c>
      <c r="F92" s="181" t="s">
        <v>436</v>
      </c>
    </row>
    <row r="93" ht="60" customHeight="1" spans="1:6">
      <c r="A93" s="180" t="s">
        <v>803</v>
      </c>
      <c r="B93" s="181" t="s">
        <v>434</v>
      </c>
      <c r="C93" s="181"/>
      <c r="D93" s="181"/>
      <c r="E93" s="180" t="s">
        <v>804</v>
      </c>
      <c r="F93" s="181" t="s">
        <v>7</v>
      </c>
    </row>
    <row r="94" spans="1:6">
      <c r="A94" s="178" t="s">
        <v>805</v>
      </c>
      <c r="B94" s="178"/>
      <c r="C94" s="178"/>
      <c r="D94" s="178"/>
      <c r="E94" s="178"/>
      <c r="F94" s="178"/>
    </row>
    <row r="95" ht="60" customHeight="1" spans="1:6">
      <c r="A95" s="180" t="s">
        <v>806</v>
      </c>
      <c r="B95" s="181" t="s">
        <v>434</v>
      </c>
      <c r="C95" s="181"/>
      <c r="D95" s="181"/>
      <c r="E95" s="180" t="s">
        <v>807</v>
      </c>
      <c r="F95" s="181" t="s">
        <v>7</v>
      </c>
    </row>
    <row r="96" ht="45" customHeight="1" spans="1:6">
      <c r="A96" s="180" t="s">
        <v>808</v>
      </c>
      <c r="B96" s="181" t="s">
        <v>434</v>
      </c>
      <c r="C96" s="181"/>
      <c r="D96" s="181"/>
      <c r="E96" s="180" t="s">
        <v>809</v>
      </c>
      <c r="F96" s="181" t="s">
        <v>7</v>
      </c>
    </row>
    <row r="97" ht="90" customHeight="1" spans="1:6">
      <c r="A97" s="180" t="s">
        <v>810</v>
      </c>
      <c r="B97" s="181" t="s">
        <v>434</v>
      </c>
      <c r="C97" s="181"/>
      <c r="D97" s="181"/>
      <c r="E97" s="180" t="s">
        <v>811</v>
      </c>
      <c r="F97" s="181" t="s">
        <v>7</v>
      </c>
    </row>
    <row r="98" ht="120" customHeight="1" spans="1:6">
      <c r="A98" s="180" t="s">
        <v>812</v>
      </c>
      <c r="B98" s="181"/>
      <c r="C98" s="181" t="s">
        <v>434</v>
      </c>
      <c r="D98" s="181"/>
      <c r="E98" s="180" t="s">
        <v>813</v>
      </c>
      <c r="F98" s="181" t="s">
        <v>436</v>
      </c>
    </row>
    <row r="99" ht="60" customHeight="1" spans="1:6">
      <c r="A99" s="180" t="s">
        <v>814</v>
      </c>
      <c r="B99" s="181"/>
      <c r="C99" s="181" t="s">
        <v>434</v>
      </c>
      <c r="D99" s="181"/>
      <c r="E99" s="180" t="s">
        <v>815</v>
      </c>
      <c r="F99" s="181" t="s">
        <v>7</v>
      </c>
    </row>
    <row r="100" ht="90" customHeight="1" spans="1:6">
      <c r="A100" s="180" t="s">
        <v>816</v>
      </c>
      <c r="B100" s="181" t="s">
        <v>434</v>
      </c>
      <c r="C100" s="181"/>
      <c r="D100" s="181"/>
      <c r="E100" s="180" t="s">
        <v>817</v>
      </c>
      <c r="F100" s="181" t="s">
        <v>7</v>
      </c>
    </row>
    <row r="101" ht="30" customHeight="1" spans="1:6">
      <c r="A101" s="180" t="s">
        <v>818</v>
      </c>
      <c r="B101" s="181" t="s">
        <v>434</v>
      </c>
      <c r="C101" s="181"/>
      <c r="D101" s="181"/>
      <c r="E101" s="180" t="s">
        <v>819</v>
      </c>
      <c r="F101" s="181" t="s">
        <v>7</v>
      </c>
    </row>
    <row r="102" ht="45" customHeight="1" spans="1:6">
      <c r="A102" s="180" t="s">
        <v>820</v>
      </c>
      <c r="B102" s="181" t="s">
        <v>434</v>
      </c>
      <c r="C102" s="181"/>
      <c r="D102" s="181"/>
      <c r="E102" s="180" t="s">
        <v>821</v>
      </c>
      <c r="F102" s="181" t="s">
        <v>436</v>
      </c>
    </row>
    <row r="103" ht="30" customHeight="1" spans="1:6">
      <c r="A103" s="180" t="s">
        <v>822</v>
      </c>
      <c r="B103" s="181" t="s">
        <v>434</v>
      </c>
      <c r="C103" s="181"/>
      <c r="D103" s="181"/>
      <c r="E103" s="180" t="s">
        <v>823</v>
      </c>
      <c r="F103" s="181" t="s">
        <v>436</v>
      </c>
    </row>
    <row r="104" ht="60" customHeight="1" spans="1:6">
      <c r="A104" s="180" t="s">
        <v>824</v>
      </c>
      <c r="B104" s="181" t="s">
        <v>434</v>
      </c>
      <c r="C104" s="181"/>
      <c r="D104" s="181"/>
      <c r="E104" s="180" t="s">
        <v>825</v>
      </c>
      <c r="F104" s="181" t="s">
        <v>436</v>
      </c>
    </row>
    <row r="105" ht="60" customHeight="1" spans="1:6">
      <c r="A105" s="180" t="s">
        <v>826</v>
      </c>
      <c r="B105" s="181" t="s">
        <v>434</v>
      </c>
      <c r="C105" s="181"/>
      <c r="D105" s="181"/>
      <c r="E105" s="180" t="s">
        <v>827</v>
      </c>
      <c r="F105" s="181" t="s">
        <v>7</v>
      </c>
    </row>
    <row r="106" ht="105" customHeight="1" spans="1:6">
      <c r="A106" s="180" t="s">
        <v>828</v>
      </c>
      <c r="B106" s="181"/>
      <c r="C106" s="181" t="s">
        <v>434</v>
      </c>
      <c r="D106" s="181"/>
      <c r="E106" s="180" t="s">
        <v>829</v>
      </c>
      <c r="F106" s="181" t="s">
        <v>436</v>
      </c>
    </row>
    <row r="107" ht="90" customHeight="1" spans="1:6">
      <c r="A107" s="180" t="s">
        <v>830</v>
      </c>
      <c r="B107" s="181" t="s">
        <v>434</v>
      </c>
      <c r="C107" s="181"/>
      <c r="D107" s="181"/>
      <c r="E107" s="180" t="s">
        <v>831</v>
      </c>
      <c r="F107" s="181" t="s">
        <v>436</v>
      </c>
    </row>
    <row r="108" spans="1:6">
      <c r="A108" s="178" t="s">
        <v>832</v>
      </c>
      <c r="B108" s="178"/>
      <c r="C108" s="178"/>
      <c r="D108" s="178"/>
      <c r="E108" s="178"/>
      <c r="F108" s="178"/>
    </row>
    <row r="109" ht="60" customHeight="1" spans="1:6">
      <c r="A109" s="180" t="s">
        <v>833</v>
      </c>
      <c r="B109" s="181" t="s">
        <v>434</v>
      </c>
      <c r="C109" s="181"/>
      <c r="D109" s="181"/>
      <c r="E109" s="180" t="s">
        <v>834</v>
      </c>
      <c r="F109" s="181" t="s">
        <v>436</v>
      </c>
    </row>
    <row r="110" ht="60" customHeight="1" spans="1:6">
      <c r="A110" s="180" t="s">
        <v>835</v>
      </c>
      <c r="B110" s="181" t="s">
        <v>434</v>
      </c>
      <c r="C110" s="181"/>
      <c r="D110" s="181"/>
      <c r="E110" s="180" t="s">
        <v>836</v>
      </c>
      <c r="F110" s="181" t="s">
        <v>436</v>
      </c>
    </row>
    <row r="111" customHeight="1" spans="1:6">
      <c r="A111" s="180" t="s">
        <v>837</v>
      </c>
      <c r="B111" s="181"/>
      <c r="C111" s="181" t="s">
        <v>434</v>
      </c>
      <c r="D111" s="181"/>
      <c r="E111" s="180" t="s">
        <v>838</v>
      </c>
      <c r="F111" s="181" t="s">
        <v>7</v>
      </c>
    </row>
    <row r="112" ht="30" customHeight="1" spans="1:6">
      <c r="A112" s="180" t="s">
        <v>839</v>
      </c>
      <c r="B112" s="181" t="s">
        <v>434</v>
      </c>
      <c r="C112" s="181"/>
      <c r="D112" s="181"/>
      <c r="E112" s="180" t="s">
        <v>840</v>
      </c>
      <c r="F112" s="181" t="s">
        <v>436</v>
      </c>
    </row>
    <row r="113" ht="75" customHeight="1" spans="1:6">
      <c r="A113" s="180" t="s">
        <v>841</v>
      </c>
      <c r="B113" s="181" t="s">
        <v>434</v>
      </c>
      <c r="C113" s="181"/>
      <c r="D113" s="181"/>
      <c r="E113" s="180" t="s">
        <v>842</v>
      </c>
      <c r="F113" s="181" t="s">
        <v>436</v>
      </c>
    </row>
    <row r="114" ht="30" customHeight="1" spans="1:6">
      <c r="A114" s="180" t="s">
        <v>843</v>
      </c>
      <c r="B114" s="181" t="s">
        <v>434</v>
      </c>
      <c r="C114" s="181"/>
      <c r="D114" s="181"/>
      <c r="E114" s="180" t="s">
        <v>844</v>
      </c>
      <c r="F114" s="181" t="s">
        <v>436</v>
      </c>
    </row>
    <row r="115" ht="105" customHeight="1" spans="1:6">
      <c r="A115" s="180" t="s">
        <v>845</v>
      </c>
      <c r="B115" s="181"/>
      <c r="C115" s="181" t="s">
        <v>434</v>
      </c>
      <c r="D115" s="181"/>
      <c r="E115" s="180" t="s">
        <v>846</v>
      </c>
      <c r="F115" s="181" t="s">
        <v>436</v>
      </c>
    </row>
    <row r="116" ht="60" customHeight="1" spans="1:6">
      <c r="A116" s="180" t="s">
        <v>847</v>
      </c>
      <c r="B116" s="181"/>
      <c r="C116" s="181" t="s">
        <v>434</v>
      </c>
      <c r="D116" s="181"/>
      <c r="E116" s="180" t="s">
        <v>848</v>
      </c>
      <c r="F116" s="181" t="s">
        <v>436</v>
      </c>
    </row>
    <row r="117" ht="60" customHeight="1" spans="1:6">
      <c r="A117" s="180" t="s">
        <v>849</v>
      </c>
      <c r="B117" s="181"/>
      <c r="C117" s="181" t="s">
        <v>434</v>
      </c>
      <c r="D117" s="181"/>
      <c r="E117" s="180" t="s">
        <v>850</v>
      </c>
      <c r="F117" s="181" t="s">
        <v>436</v>
      </c>
    </row>
    <row r="118" spans="1:6">
      <c r="A118" s="178" t="s">
        <v>519</v>
      </c>
      <c r="B118" s="179">
        <f>COUNTIF(B12:B117,"x")</f>
        <v>58</v>
      </c>
      <c r="C118" s="179">
        <f>COUNTIF(C12:C117,"x")</f>
        <v>27</v>
      </c>
      <c r="D118" s="179">
        <f>COUNTIF(D12:D117,"x")</f>
        <v>10</v>
      </c>
    </row>
    <row r="120" spans="1:6">
      <c r="A120" s="178" t="s">
        <v>520</v>
      </c>
      <c r="B120" s="182"/>
      <c r="C120" s="182"/>
      <c r="D120" s="182"/>
      <c r="E120" s="182"/>
      <c r="F120" s="183"/>
    </row>
    <row r="121" ht="180" customHeight="1" spans="1:6">
      <c r="A121" s="180" t="s">
        <v>851</v>
      </c>
      <c r="B121" s="182"/>
      <c r="C121" s="182"/>
      <c r="D121" s="182"/>
      <c r="E121" s="182"/>
      <c r="F121" s="183"/>
    </row>
    <row r="122" spans="1:6">
      <c r="A122" s="178" t="s">
        <v>522</v>
      </c>
      <c r="B122" s="182"/>
      <c r="C122" s="182"/>
      <c r="D122" s="182"/>
      <c r="E122" s="182"/>
      <c r="F122" s="183"/>
    </row>
    <row r="123" ht="180" customHeight="1" spans="1:6">
      <c r="A123" s="180" t="s">
        <v>852</v>
      </c>
      <c r="B123" s="182"/>
      <c r="C123" s="182"/>
      <c r="D123" s="182"/>
      <c r="E123" s="182"/>
      <c r="F123" s="183"/>
    </row>
    <row r="124" spans="1:6">
      <c r="A124" s="184" t="s">
        <v>524</v>
      </c>
      <c r="B124" s="182"/>
      <c r="C124" s="182"/>
      <c r="D124" s="182"/>
      <c r="E124" s="182"/>
      <c r="F124" s="183"/>
    </row>
    <row r="125" spans="1:6">
      <c r="A125" s="184" t="s">
        <v>525</v>
      </c>
      <c r="B125" s="182"/>
      <c r="C125" s="182"/>
      <c r="D125" s="182"/>
      <c r="E125" s="182"/>
      <c r="F125" s="183"/>
    </row>
    <row r="126" spans="1:6">
      <c r="A126" s="184" t="s">
        <v>526</v>
      </c>
      <c r="B126" s="182"/>
      <c r="C126" s="182"/>
      <c r="D126" s="182"/>
      <c r="E126" s="182"/>
      <c r="F126" s="183"/>
    </row>
    <row r="127" spans="1:6">
      <c r="A127" s="178" t="s">
        <v>7</v>
      </c>
      <c r="B127" s="182"/>
      <c r="C127" s="182"/>
      <c r="D127" s="182"/>
      <c r="E127" s="182"/>
      <c r="F127" s="183"/>
    </row>
    <row r="128" ht="30" customHeight="1" spans="1:6">
      <c r="A128" s="180" t="s">
        <v>853</v>
      </c>
      <c r="B128" s="182"/>
      <c r="C128" s="182"/>
      <c r="D128" s="182"/>
      <c r="E128" s="182"/>
      <c r="F128" s="183"/>
    </row>
  </sheetData>
  <mergeCells count="17">
    <mergeCell ref="A1:F1"/>
    <mergeCell ref="B3:F3"/>
    <mergeCell ref="B4:F4"/>
    <mergeCell ref="B5:F5"/>
    <mergeCell ref="B6:F6"/>
    <mergeCell ref="B7:F7"/>
    <mergeCell ref="B8:F8"/>
    <mergeCell ref="B9:F9"/>
    <mergeCell ref="A120:F120"/>
    <mergeCell ref="A121:F121"/>
    <mergeCell ref="A122:F122"/>
    <mergeCell ref="A123:F123"/>
    <mergeCell ref="A124:F124"/>
    <mergeCell ref="A125:F125"/>
    <mergeCell ref="A126:F126"/>
    <mergeCell ref="A127:F127"/>
    <mergeCell ref="A128:F128"/>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9"/>
  <sheetViews>
    <sheetView workbookViewId="0">
      <pane xSplit="1" ySplit="11" topLeftCell="B12" activePane="bottomRight" state="frozen"/>
      <selection/>
      <selection pane="topRight"/>
      <selection pane="bottomLeft"/>
      <selection pane="bottomRight" activeCell="A1" sqref="A1:F1"/>
    </sheetView>
  </sheetViews>
  <sheetFormatPr defaultColWidth="9" defaultRowHeight="15" outlineLevelCol="5"/>
  <cols>
    <col min="1" max="1" width="74.1428571428571" customWidth="1"/>
    <col min="2" max="4" width="13" customWidth="1"/>
    <col min="5" max="5" width="35.1428571428571" customWidth="1"/>
    <col min="6" max="6" width="63" customWidth="1"/>
  </cols>
  <sheetData>
    <row r="1" ht="24" customHeight="1" spans="1:6">
      <c r="A1" s="163" t="s">
        <v>854</v>
      </c>
    </row>
    <row r="3" customHeight="1" spans="1:6">
      <c r="A3" s="164" t="s">
        <v>226</v>
      </c>
      <c r="B3" s="165" t="s">
        <v>227</v>
      </c>
      <c r="C3" s="147"/>
      <c r="D3" s="147"/>
      <c r="E3" s="147"/>
      <c r="F3" s="166"/>
    </row>
    <row r="4" customHeight="1" spans="1:6">
      <c r="A4" s="164" t="s">
        <v>528</v>
      </c>
      <c r="B4" s="165" t="s">
        <v>231</v>
      </c>
      <c r="C4" s="147"/>
      <c r="D4" s="147"/>
      <c r="E4" s="147"/>
      <c r="F4" s="166"/>
    </row>
    <row r="5" customHeight="1" spans="1:6">
      <c r="A5" s="164" t="s">
        <v>422</v>
      </c>
      <c r="B5" s="165" t="s">
        <v>60</v>
      </c>
      <c r="C5" s="147"/>
      <c r="D5" s="147"/>
      <c r="E5" s="147"/>
      <c r="F5" s="166"/>
    </row>
    <row r="6" customHeight="1" spans="1:6">
      <c r="A6" s="164" t="s">
        <v>238</v>
      </c>
      <c r="B6" s="165" t="s">
        <v>7</v>
      </c>
      <c r="C6" s="147"/>
      <c r="D6" s="147"/>
      <c r="E6" s="147"/>
      <c r="F6" s="166"/>
    </row>
    <row r="7" customHeight="1" spans="1:6">
      <c r="A7" s="164" t="s">
        <v>421</v>
      </c>
      <c r="B7" s="165" t="s">
        <v>233</v>
      </c>
      <c r="C7" s="147"/>
      <c r="D7" s="147"/>
      <c r="E7" s="147"/>
      <c r="F7" s="166"/>
    </row>
    <row r="8" ht="45" customHeight="1" spans="1:6">
      <c r="A8" s="164" t="s">
        <v>423</v>
      </c>
      <c r="B8" s="167" t="s">
        <v>855</v>
      </c>
      <c r="C8" s="147"/>
      <c r="D8" s="147"/>
      <c r="E8" s="147"/>
      <c r="F8" s="166"/>
    </row>
    <row r="9" customHeight="1" spans="1:6">
      <c r="A9" s="164" t="s">
        <v>532</v>
      </c>
      <c r="B9" s="165" t="s">
        <v>103</v>
      </c>
      <c r="C9" s="147"/>
      <c r="D9" s="147"/>
      <c r="E9" s="147"/>
      <c r="F9" s="166"/>
    </row>
    <row r="11" spans="1:6">
      <c r="A11" s="168" t="s">
        <v>426</v>
      </c>
      <c r="B11" s="169" t="s">
        <v>427</v>
      </c>
      <c r="C11" s="169" t="s">
        <v>428</v>
      </c>
      <c r="D11" s="169" t="s">
        <v>429</v>
      </c>
      <c r="E11" s="169" t="s">
        <v>430</v>
      </c>
      <c r="F11" s="169" t="s">
        <v>431</v>
      </c>
    </row>
    <row r="12" spans="1:6">
      <c r="A12" s="168" t="s">
        <v>432</v>
      </c>
      <c r="B12" s="168"/>
      <c r="C12" s="168"/>
      <c r="D12" s="168"/>
      <c r="E12" s="168"/>
      <c r="F12" s="168"/>
    </row>
    <row r="13" ht="90" customHeight="1" spans="1:6">
      <c r="A13" s="170" t="s">
        <v>433</v>
      </c>
      <c r="B13" s="171"/>
      <c r="C13" s="171" t="s">
        <v>434</v>
      </c>
      <c r="D13" s="171"/>
      <c r="E13" s="170" t="s">
        <v>856</v>
      </c>
      <c r="F13" s="171" t="s">
        <v>436</v>
      </c>
    </row>
    <row r="14" ht="45" customHeight="1" spans="1:6">
      <c r="A14" s="170" t="s">
        <v>437</v>
      </c>
      <c r="B14" s="171"/>
      <c r="C14" s="171" t="s">
        <v>434</v>
      </c>
      <c r="D14" s="171"/>
      <c r="E14" s="170" t="s">
        <v>857</v>
      </c>
      <c r="F14" s="171" t="s">
        <v>436</v>
      </c>
    </row>
    <row r="15" ht="90" customHeight="1" spans="1:6">
      <c r="A15" s="170" t="s">
        <v>675</v>
      </c>
      <c r="B15" s="171"/>
      <c r="C15" s="171" t="s">
        <v>434</v>
      </c>
      <c r="D15" s="171"/>
      <c r="E15" s="170" t="s">
        <v>858</v>
      </c>
      <c r="F15" s="171" t="s">
        <v>436</v>
      </c>
    </row>
    <row r="16" customHeight="1" spans="1:6">
      <c r="A16" s="170" t="s">
        <v>441</v>
      </c>
      <c r="B16" s="171"/>
      <c r="C16" s="171" t="s">
        <v>434</v>
      </c>
      <c r="D16" s="171"/>
      <c r="E16" s="170" t="s">
        <v>677</v>
      </c>
      <c r="F16" s="171" t="s">
        <v>436</v>
      </c>
    </row>
    <row r="17" ht="30" customHeight="1" spans="1:6">
      <c r="A17" s="170" t="s">
        <v>539</v>
      </c>
      <c r="B17" s="171"/>
      <c r="C17" s="171" t="s">
        <v>434</v>
      </c>
      <c r="D17" s="171"/>
      <c r="E17" s="170" t="s">
        <v>859</v>
      </c>
      <c r="F17" s="171" t="s">
        <v>436</v>
      </c>
    </row>
    <row r="18" ht="30" customHeight="1" spans="1:6">
      <c r="A18" s="170" t="s">
        <v>679</v>
      </c>
      <c r="B18" s="171"/>
      <c r="C18" s="171" t="s">
        <v>434</v>
      </c>
      <c r="D18" s="171"/>
      <c r="E18" s="170" t="s">
        <v>860</v>
      </c>
      <c r="F18" s="171" t="s">
        <v>436</v>
      </c>
    </row>
    <row r="19" ht="90" customHeight="1" spans="1:6">
      <c r="A19" s="170" t="s">
        <v>861</v>
      </c>
      <c r="B19" s="171"/>
      <c r="C19" s="171" t="s">
        <v>434</v>
      </c>
      <c r="D19" s="171"/>
      <c r="E19" s="170" t="s">
        <v>862</v>
      </c>
      <c r="F19" s="171" t="s">
        <v>436</v>
      </c>
    </row>
    <row r="20" ht="30" customHeight="1" spans="1:6">
      <c r="A20" s="170" t="s">
        <v>449</v>
      </c>
      <c r="B20" s="171"/>
      <c r="C20" s="171"/>
      <c r="D20" s="171" t="s">
        <v>434</v>
      </c>
      <c r="E20" s="170" t="s">
        <v>863</v>
      </c>
      <c r="F20" s="171" t="s">
        <v>436</v>
      </c>
    </row>
    <row r="21" ht="30" customHeight="1" spans="1:6">
      <c r="A21" s="170" t="s">
        <v>451</v>
      </c>
      <c r="B21" s="171"/>
      <c r="C21" s="171"/>
      <c r="D21" s="171" t="s">
        <v>434</v>
      </c>
      <c r="E21" s="170" t="s">
        <v>864</v>
      </c>
      <c r="F21" s="171" t="s">
        <v>436</v>
      </c>
    </row>
    <row r="22" spans="1:6">
      <c r="A22" s="168" t="s">
        <v>865</v>
      </c>
      <c r="B22" s="168"/>
      <c r="C22" s="168"/>
      <c r="D22" s="168"/>
      <c r="E22" s="168"/>
      <c r="F22" s="168"/>
    </row>
    <row r="23" ht="90" customHeight="1" spans="1:6">
      <c r="A23" s="170" t="s">
        <v>866</v>
      </c>
      <c r="B23" s="171" t="s">
        <v>434</v>
      </c>
      <c r="C23" s="171"/>
      <c r="D23" s="171"/>
      <c r="E23" s="170" t="s">
        <v>867</v>
      </c>
      <c r="F23" s="171" t="s">
        <v>436</v>
      </c>
    </row>
    <row r="24" ht="30" customHeight="1" spans="1:6">
      <c r="A24" s="170" t="s">
        <v>868</v>
      </c>
      <c r="B24" s="171"/>
      <c r="C24" s="171" t="s">
        <v>434</v>
      </c>
      <c r="D24" s="171"/>
      <c r="E24" s="170" t="s">
        <v>869</v>
      </c>
      <c r="F24" s="171" t="s">
        <v>7</v>
      </c>
    </row>
    <row r="25" ht="45" customHeight="1" spans="1:6">
      <c r="A25" s="170" t="s">
        <v>870</v>
      </c>
      <c r="B25" s="171" t="s">
        <v>434</v>
      </c>
      <c r="C25" s="171"/>
      <c r="D25" s="171"/>
      <c r="E25" s="170" t="s">
        <v>871</v>
      </c>
      <c r="F25" s="171" t="s">
        <v>436</v>
      </c>
    </row>
    <row r="26" ht="75" customHeight="1" spans="1:6">
      <c r="A26" s="170" t="s">
        <v>690</v>
      </c>
      <c r="B26" s="171"/>
      <c r="C26" s="171" t="s">
        <v>434</v>
      </c>
      <c r="D26" s="171"/>
      <c r="E26" s="170" t="s">
        <v>872</v>
      </c>
      <c r="F26" s="171" t="s">
        <v>436</v>
      </c>
    </row>
    <row r="27" ht="60" customHeight="1" spans="1:6">
      <c r="A27" s="170" t="s">
        <v>873</v>
      </c>
      <c r="B27" s="171"/>
      <c r="C27" s="171" t="s">
        <v>434</v>
      </c>
      <c r="D27" s="171"/>
      <c r="E27" s="170" t="s">
        <v>874</v>
      </c>
      <c r="F27" s="171" t="s">
        <v>436</v>
      </c>
    </row>
    <row r="28" ht="105" customHeight="1" spans="1:6">
      <c r="A28" s="170" t="s">
        <v>875</v>
      </c>
      <c r="B28" s="171" t="s">
        <v>434</v>
      </c>
      <c r="C28" s="171"/>
      <c r="D28" s="171"/>
      <c r="E28" s="170" t="s">
        <v>876</v>
      </c>
      <c r="F28" s="171" t="s">
        <v>7</v>
      </c>
    </row>
    <row r="29" ht="90" customHeight="1" spans="1:6">
      <c r="A29" s="170" t="s">
        <v>877</v>
      </c>
      <c r="B29" s="171"/>
      <c r="C29" s="171" t="s">
        <v>434</v>
      </c>
      <c r="D29" s="171"/>
      <c r="E29" s="170" t="s">
        <v>878</v>
      </c>
      <c r="F29" s="171" t="s">
        <v>436</v>
      </c>
    </row>
    <row r="30" spans="1:6">
      <c r="A30" s="168" t="s">
        <v>879</v>
      </c>
      <c r="B30" s="168"/>
      <c r="C30" s="168"/>
      <c r="D30" s="168"/>
      <c r="E30" s="168"/>
      <c r="F30" s="168"/>
    </row>
    <row r="31" ht="60" customHeight="1" spans="1:6">
      <c r="A31" s="170" t="s">
        <v>880</v>
      </c>
      <c r="B31" s="171" t="s">
        <v>434</v>
      </c>
      <c r="C31" s="171"/>
      <c r="D31" s="171"/>
      <c r="E31" s="170" t="s">
        <v>881</v>
      </c>
      <c r="F31" s="171" t="s">
        <v>436</v>
      </c>
    </row>
    <row r="32" ht="120" customHeight="1" spans="1:6">
      <c r="A32" s="170" t="s">
        <v>882</v>
      </c>
      <c r="B32" s="171"/>
      <c r="C32" s="171" t="s">
        <v>434</v>
      </c>
      <c r="D32" s="171"/>
      <c r="E32" s="170" t="s">
        <v>883</v>
      </c>
      <c r="F32" s="171" t="s">
        <v>436</v>
      </c>
    </row>
    <row r="33" ht="165" customHeight="1" spans="1:6">
      <c r="A33" s="170" t="s">
        <v>884</v>
      </c>
      <c r="B33" s="171" t="s">
        <v>434</v>
      </c>
      <c r="C33" s="171"/>
      <c r="D33" s="171"/>
      <c r="E33" s="170" t="s">
        <v>885</v>
      </c>
      <c r="F33" s="171" t="s">
        <v>436</v>
      </c>
    </row>
    <row r="34" ht="90" customHeight="1" spans="1:6">
      <c r="A34" s="170" t="s">
        <v>886</v>
      </c>
      <c r="B34" s="171" t="s">
        <v>434</v>
      </c>
      <c r="C34" s="171"/>
      <c r="D34" s="171"/>
      <c r="E34" s="170" t="s">
        <v>887</v>
      </c>
      <c r="F34" s="171" t="s">
        <v>7</v>
      </c>
    </row>
    <row r="35" ht="60" customHeight="1" spans="1:6">
      <c r="A35" s="170" t="s">
        <v>888</v>
      </c>
      <c r="B35" s="171"/>
      <c r="C35" s="171" t="s">
        <v>434</v>
      </c>
      <c r="D35" s="171"/>
      <c r="E35" s="170" t="s">
        <v>889</v>
      </c>
      <c r="F35" s="171" t="s">
        <v>436</v>
      </c>
    </row>
    <row r="36" ht="150" customHeight="1" spans="1:6">
      <c r="A36" s="170" t="s">
        <v>884</v>
      </c>
      <c r="B36" s="171" t="s">
        <v>434</v>
      </c>
      <c r="C36" s="171"/>
      <c r="D36" s="171"/>
      <c r="E36" s="170" t="s">
        <v>890</v>
      </c>
      <c r="F36" s="171" t="s">
        <v>436</v>
      </c>
    </row>
    <row r="37" ht="75" customHeight="1" spans="1:6">
      <c r="A37" s="170" t="s">
        <v>891</v>
      </c>
      <c r="B37" s="171" t="s">
        <v>434</v>
      </c>
      <c r="C37" s="171"/>
      <c r="D37" s="171"/>
      <c r="E37" s="170" t="s">
        <v>892</v>
      </c>
      <c r="F37" s="171" t="s">
        <v>7</v>
      </c>
    </row>
    <row r="38" ht="75" customHeight="1" spans="1:6">
      <c r="A38" s="170" t="s">
        <v>893</v>
      </c>
      <c r="B38" s="171"/>
      <c r="C38" s="171" t="s">
        <v>434</v>
      </c>
      <c r="D38" s="171"/>
      <c r="E38" s="170" t="s">
        <v>894</v>
      </c>
      <c r="F38" s="171" t="s">
        <v>436</v>
      </c>
    </row>
    <row r="39" ht="60" customHeight="1" spans="1:6">
      <c r="A39" s="170" t="s">
        <v>884</v>
      </c>
      <c r="B39" s="171" t="s">
        <v>434</v>
      </c>
      <c r="C39" s="171"/>
      <c r="D39" s="171"/>
      <c r="E39" s="170" t="s">
        <v>895</v>
      </c>
      <c r="F39" s="171" t="s">
        <v>436</v>
      </c>
    </row>
    <row r="40" spans="1:6">
      <c r="A40" s="168" t="s">
        <v>896</v>
      </c>
      <c r="B40" s="168"/>
      <c r="C40" s="168"/>
      <c r="D40" s="168"/>
      <c r="E40" s="168"/>
      <c r="F40" s="168"/>
    </row>
    <row r="41" customHeight="1" spans="1:6">
      <c r="A41" s="170" t="s">
        <v>897</v>
      </c>
      <c r="B41" s="171" t="s">
        <v>434</v>
      </c>
      <c r="C41" s="171"/>
      <c r="D41" s="171"/>
      <c r="E41" s="170" t="s">
        <v>644</v>
      </c>
      <c r="F41" s="171" t="s">
        <v>7</v>
      </c>
    </row>
    <row r="42" ht="90" customHeight="1" spans="1:6">
      <c r="A42" s="170" t="s">
        <v>898</v>
      </c>
      <c r="B42" s="171" t="s">
        <v>434</v>
      </c>
      <c r="C42" s="171"/>
      <c r="D42" s="171"/>
      <c r="E42" s="170" t="s">
        <v>899</v>
      </c>
      <c r="F42" s="171" t="s">
        <v>436</v>
      </c>
    </row>
    <row r="43" ht="60" customHeight="1" spans="1:6">
      <c r="A43" s="170" t="s">
        <v>900</v>
      </c>
      <c r="B43" s="171"/>
      <c r="C43" s="171" t="s">
        <v>434</v>
      </c>
      <c r="D43" s="171"/>
      <c r="E43" s="170" t="s">
        <v>901</v>
      </c>
      <c r="F43" s="171" t="s">
        <v>7</v>
      </c>
    </row>
    <row r="44" ht="60" customHeight="1" spans="1:6">
      <c r="A44" s="170" t="s">
        <v>902</v>
      </c>
      <c r="B44" s="171" t="s">
        <v>434</v>
      </c>
      <c r="C44" s="171"/>
      <c r="D44" s="171"/>
      <c r="E44" s="170" t="s">
        <v>903</v>
      </c>
      <c r="F44" s="171" t="s">
        <v>436</v>
      </c>
    </row>
    <row r="45" ht="165" customHeight="1" spans="1:6">
      <c r="A45" s="170" t="s">
        <v>904</v>
      </c>
      <c r="B45" s="171"/>
      <c r="C45" s="171" t="s">
        <v>434</v>
      </c>
      <c r="D45" s="171"/>
      <c r="E45" s="170" t="s">
        <v>905</v>
      </c>
      <c r="F45" s="171" t="s">
        <v>436</v>
      </c>
    </row>
    <row r="46" ht="75" customHeight="1" spans="1:6">
      <c r="A46" s="170" t="s">
        <v>906</v>
      </c>
      <c r="B46" s="171" t="s">
        <v>434</v>
      </c>
      <c r="C46" s="171"/>
      <c r="D46" s="171"/>
      <c r="E46" s="170" t="s">
        <v>907</v>
      </c>
      <c r="F46" s="171" t="s">
        <v>436</v>
      </c>
    </row>
    <row r="47" ht="75" customHeight="1" spans="1:6">
      <c r="A47" s="170" t="s">
        <v>908</v>
      </c>
      <c r="B47" s="171" t="s">
        <v>434</v>
      </c>
      <c r="C47" s="171"/>
      <c r="D47" s="171"/>
      <c r="E47" s="170" t="s">
        <v>909</v>
      </c>
      <c r="F47" s="171" t="s">
        <v>7</v>
      </c>
    </row>
    <row r="48" ht="165" customHeight="1" spans="1:6">
      <c r="A48" s="170" t="s">
        <v>910</v>
      </c>
      <c r="B48" s="171"/>
      <c r="C48" s="171" t="s">
        <v>434</v>
      </c>
      <c r="D48" s="171"/>
      <c r="E48" s="170" t="s">
        <v>911</v>
      </c>
      <c r="F48" s="171" t="s">
        <v>436</v>
      </c>
    </row>
    <row r="49" ht="105" customHeight="1" spans="1:6">
      <c r="A49" s="170" t="s">
        <v>912</v>
      </c>
      <c r="B49" s="171" t="s">
        <v>434</v>
      </c>
      <c r="C49" s="171"/>
      <c r="D49" s="171"/>
      <c r="E49" s="170" t="s">
        <v>913</v>
      </c>
      <c r="F49" s="171" t="s">
        <v>7</v>
      </c>
    </row>
    <row r="50" ht="195" customHeight="1" spans="1:6">
      <c r="A50" s="170" t="s">
        <v>914</v>
      </c>
      <c r="B50" s="171"/>
      <c r="C50" s="171" t="s">
        <v>434</v>
      </c>
      <c r="D50" s="171"/>
      <c r="E50" s="170" t="s">
        <v>915</v>
      </c>
      <c r="F50" s="171" t="s">
        <v>436</v>
      </c>
    </row>
    <row r="51" spans="1:6">
      <c r="A51" s="168" t="s">
        <v>916</v>
      </c>
      <c r="B51" s="168"/>
      <c r="C51" s="168"/>
      <c r="D51" s="168"/>
      <c r="E51" s="168"/>
      <c r="F51" s="168"/>
    </row>
    <row r="52" ht="75" customHeight="1" spans="1:6">
      <c r="A52" s="170" t="s">
        <v>917</v>
      </c>
      <c r="B52" s="171" t="s">
        <v>434</v>
      </c>
      <c r="C52" s="171"/>
      <c r="D52" s="171"/>
      <c r="E52" s="170" t="s">
        <v>918</v>
      </c>
      <c r="F52" s="171" t="s">
        <v>436</v>
      </c>
    </row>
    <row r="53" ht="135" customHeight="1" spans="1:6">
      <c r="A53" s="170" t="s">
        <v>919</v>
      </c>
      <c r="B53" s="171"/>
      <c r="C53" s="171" t="s">
        <v>434</v>
      </c>
      <c r="D53" s="171"/>
      <c r="E53" s="170" t="s">
        <v>920</v>
      </c>
      <c r="F53" s="171" t="s">
        <v>436</v>
      </c>
    </row>
    <row r="54" ht="60" customHeight="1" spans="1:6">
      <c r="A54" s="170" t="s">
        <v>921</v>
      </c>
      <c r="B54" s="171"/>
      <c r="C54" s="171" t="s">
        <v>434</v>
      </c>
      <c r="D54" s="171"/>
      <c r="E54" s="170" t="s">
        <v>922</v>
      </c>
      <c r="F54" s="171" t="s">
        <v>436</v>
      </c>
    </row>
    <row r="55" ht="45" customHeight="1" spans="1:6">
      <c r="A55" s="170" t="s">
        <v>923</v>
      </c>
      <c r="B55" s="171"/>
      <c r="C55" s="171" t="s">
        <v>434</v>
      </c>
      <c r="D55" s="171"/>
      <c r="E55" s="170" t="s">
        <v>924</v>
      </c>
      <c r="F55" s="171" t="s">
        <v>436</v>
      </c>
    </row>
    <row r="56" ht="225" customHeight="1" spans="1:6">
      <c r="A56" s="170" t="s">
        <v>925</v>
      </c>
      <c r="B56" s="171" t="s">
        <v>434</v>
      </c>
      <c r="C56" s="171"/>
      <c r="D56" s="171"/>
      <c r="E56" s="170" t="s">
        <v>926</v>
      </c>
      <c r="F56" s="171" t="s">
        <v>7</v>
      </c>
    </row>
    <row r="57" ht="90" customHeight="1" spans="1:6">
      <c r="A57" s="170" t="s">
        <v>927</v>
      </c>
      <c r="B57" s="171" t="s">
        <v>434</v>
      </c>
      <c r="C57" s="171"/>
      <c r="D57" s="171"/>
      <c r="E57" s="170" t="s">
        <v>928</v>
      </c>
      <c r="F57" s="171" t="s">
        <v>436</v>
      </c>
    </row>
    <row r="58" ht="60" customHeight="1" spans="1:6">
      <c r="A58" s="170" t="s">
        <v>929</v>
      </c>
      <c r="B58" s="171" t="s">
        <v>434</v>
      </c>
      <c r="C58" s="171"/>
      <c r="D58" s="171"/>
      <c r="E58" s="170" t="s">
        <v>930</v>
      </c>
      <c r="F58" s="171" t="s">
        <v>436</v>
      </c>
    </row>
    <row r="59" spans="1:6">
      <c r="A59" s="168" t="s">
        <v>519</v>
      </c>
      <c r="B59" s="169">
        <f>COUNTIF(B12:B58,"x")</f>
        <v>19</v>
      </c>
      <c r="C59" s="169">
        <f>COUNTIF(C12:C58,"x")</f>
        <v>21</v>
      </c>
      <c r="D59" s="169">
        <f>COUNTIF(D12:D58,"x")</f>
        <v>2</v>
      </c>
    </row>
    <row r="61" spans="1:6">
      <c r="A61" s="168" t="s">
        <v>520</v>
      </c>
      <c r="B61" s="156"/>
      <c r="C61" s="156"/>
      <c r="D61" s="156"/>
      <c r="E61" s="156"/>
      <c r="F61" s="172"/>
    </row>
    <row r="62" ht="75" customHeight="1" spans="1:6">
      <c r="A62" s="170" t="s">
        <v>931</v>
      </c>
      <c r="B62" s="156"/>
      <c r="C62" s="156"/>
      <c r="D62" s="156"/>
      <c r="E62" s="156"/>
      <c r="F62" s="172"/>
    </row>
    <row r="63" spans="1:6">
      <c r="A63" s="168" t="s">
        <v>522</v>
      </c>
      <c r="B63" s="156"/>
      <c r="C63" s="156"/>
      <c r="D63" s="156"/>
      <c r="E63" s="156"/>
      <c r="F63" s="172"/>
    </row>
    <row r="64" ht="105" customHeight="1" spans="1:6">
      <c r="A64" s="170" t="s">
        <v>932</v>
      </c>
      <c r="B64" s="156"/>
      <c r="C64" s="156"/>
      <c r="D64" s="156"/>
      <c r="E64" s="156"/>
      <c r="F64" s="172"/>
    </row>
    <row r="65" spans="1:6">
      <c r="A65" s="173" t="s">
        <v>524</v>
      </c>
      <c r="B65" s="156"/>
      <c r="C65" s="156"/>
      <c r="D65" s="156"/>
      <c r="E65" s="156"/>
      <c r="F65" s="172"/>
    </row>
    <row r="66" spans="1:6">
      <c r="A66" s="173" t="s">
        <v>525</v>
      </c>
      <c r="B66" s="156"/>
      <c r="C66" s="156"/>
      <c r="D66" s="156"/>
      <c r="E66" s="156"/>
      <c r="F66" s="172"/>
    </row>
    <row r="67" spans="1:6">
      <c r="A67" s="173" t="s">
        <v>526</v>
      </c>
      <c r="B67" s="156"/>
      <c r="C67" s="156"/>
      <c r="D67" s="156"/>
      <c r="E67" s="156"/>
      <c r="F67" s="172"/>
    </row>
    <row r="68" spans="1:6">
      <c r="A68" s="168" t="s">
        <v>7</v>
      </c>
      <c r="B68" s="156"/>
      <c r="C68" s="156"/>
      <c r="D68" s="156"/>
      <c r="E68" s="156"/>
      <c r="F68" s="172"/>
    </row>
    <row r="69" ht="30" customHeight="1" spans="1:6">
      <c r="A69" s="170" t="s">
        <v>933</v>
      </c>
      <c r="B69" s="156"/>
      <c r="C69" s="156"/>
      <c r="D69" s="156"/>
      <c r="E69" s="156"/>
      <c r="F69" s="172"/>
    </row>
  </sheetData>
  <mergeCells count="17">
    <mergeCell ref="A1:F1"/>
    <mergeCell ref="B3:F3"/>
    <mergeCell ref="B4:F4"/>
    <mergeCell ref="B5:F5"/>
    <mergeCell ref="B6:F6"/>
    <mergeCell ref="B7:F7"/>
    <mergeCell ref="B8:F8"/>
    <mergeCell ref="B9:F9"/>
    <mergeCell ref="A61:F61"/>
    <mergeCell ref="A62:F62"/>
    <mergeCell ref="A63:F63"/>
    <mergeCell ref="A64:F64"/>
    <mergeCell ref="A65:F65"/>
    <mergeCell ref="A66:F66"/>
    <mergeCell ref="A67:F67"/>
    <mergeCell ref="A68:F68"/>
    <mergeCell ref="A69:F69"/>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
  <sheetViews>
    <sheetView workbookViewId="0">
      <pane xSplit="1" ySplit="13" topLeftCell="C14" activePane="bottomRight" state="frozen"/>
      <selection/>
      <selection pane="topRight"/>
      <selection pane="bottomLeft"/>
      <selection pane="bottomRight" activeCell="A1" sqref="A1:F1"/>
    </sheetView>
  </sheetViews>
  <sheetFormatPr defaultColWidth="9" defaultRowHeight="15" outlineLevelCol="5"/>
  <cols>
    <col min="1" max="1" width="57.7142857142857" customWidth="1"/>
    <col min="2" max="2" width="11.1428571428571" customWidth="1"/>
    <col min="3" max="3" width="13.5714285714286" customWidth="1"/>
    <col min="4" max="4" width="13" customWidth="1"/>
    <col min="5" max="5" width="38.5714285714286" customWidth="1"/>
    <col min="6" max="6" width="13" customWidth="1"/>
  </cols>
  <sheetData>
    <row r="1" ht="24" customHeight="1" spans="1:6">
      <c r="A1" s="144" t="s">
        <v>69</v>
      </c>
    </row>
    <row r="3" customHeight="1" spans="1:6">
      <c r="A3" s="145" t="s">
        <v>226</v>
      </c>
      <c r="B3" s="146" t="s">
        <v>227</v>
      </c>
      <c r="C3" s="147"/>
      <c r="D3" s="147"/>
      <c r="E3" s="147"/>
      <c r="F3" s="147"/>
    </row>
    <row r="4" customHeight="1" spans="1:6">
      <c r="A4" s="145" t="s">
        <v>528</v>
      </c>
      <c r="B4" s="146" t="s">
        <v>231</v>
      </c>
      <c r="C4" s="147"/>
      <c r="D4" s="147"/>
      <c r="E4" s="147"/>
      <c r="F4" s="147"/>
    </row>
    <row r="5" customHeight="1" spans="1:6">
      <c r="A5" s="145" t="s">
        <v>529</v>
      </c>
      <c r="B5" s="146" t="s">
        <v>45</v>
      </c>
      <c r="C5" s="147"/>
      <c r="D5" s="147"/>
      <c r="E5" s="147"/>
      <c r="F5" s="147"/>
    </row>
    <row r="6" customHeight="1" spans="1:6">
      <c r="A6" s="145" t="s">
        <v>422</v>
      </c>
      <c r="B6" s="146" t="s">
        <v>60</v>
      </c>
      <c r="C6" s="147"/>
      <c r="D6" s="147"/>
      <c r="E6" s="147"/>
      <c r="F6" s="147"/>
    </row>
    <row r="7" customHeight="1" spans="1:6">
      <c r="A7" s="145" t="s">
        <v>238</v>
      </c>
      <c r="B7" s="146" t="s">
        <v>7</v>
      </c>
      <c r="C7" s="147"/>
      <c r="D7" s="147"/>
      <c r="E7" s="147"/>
      <c r="F7" s="147"/>
    </row>
    <row r="8" customHeight="1" spans="1:6">
      <c r="A8" s="145" t="s">
        <v>421</v>
      </c>
      <c r="B8" s="146" t="s">
        <v>233</v>
      </c>
      <c r="C8" s="147"/>
      <c r="D8" s="147"/>
      <c r="E8" s="147"/>
      <c r="F8" s="147"/>
    </row>
    <row r="9" ht="45" customHeight="1" spans="1:6">
      <c r="A9" s="145" t="s">
        <v>423</v>
      </c>
      <c r="B9" s="148" t="s">
        <v>934</v>
      </c>
      <c r="C9" s="147"/>
      <c r="D9" s="147"/>
      <c r="E9" s="147"/>
      <c r="F9" s="147"/>
    </row>
    <row r="10" customHeight="1" spans="1:6">
      <c r="A10" s="145" t="s">
        <v>532</v>
      </c>
      <c r="B10" s="146" t="s">
        <v>103</v>
      </c>
      <c r="C10" s="147"/>
      <c r="D10" s="147"/>
      <c r="E10" s="147"/>
      <c r="F10" s="147"/>
    </row>
    <row r="11" ht="105" customHeight="1" spans="1:6">
      <c r="A11" s="145" t="s">
        <v>935</v>
      </c>
      <c r="B11" s="148" t="s">
        <v>936</v>
      </c>
      <c r="C11" s="147"/>
      <c r="D11" s="147"/>
      <c r="E11" s="147"/>
      <c r="F11" s="147"/>
    </row>
    <row r="13" spans="1:6">
      <c r="A13" s="149" t="s">
        <v>426</v>
      </c>
      <c r="B13" s="150" t="s">
        <v>427</v>
      </c>
      <c r="C13" s="150" t="s">
        <v>428</v>
      </c>
      <c r="D13" s="150" t="s">
        <v>429</v>
      </c>
      <c r="E13" s="150" t="s">
        <v>430</v>
      </c>
      <c r="F13" s="150" t="s">
        <v>431</v>
      </c>
    </row>
    <row r="14" spans="1:6">
      <c r="A14" s="149" t="s">
        <v>432</v>
      </c>
      <c r="B14" s="149"/>
      <c r="C14" s="149"/>
      <c r="D14" s="149"/>
      <c r="E14" s="149"/>
      <c r="F14" s="149"/>
    </row>
    <row r="15" ht="60" customHeight="1" spans="1:6">
      <c r="A15" s="151" t="s">
        <v>433</v>
      </c>
      <c r="B15" s="152"/>
      <c r="C15" s="152" t="s">
        <v>434</v>
      </c>
      <c r="D15" s="152"/>
      <c r="E15" s="151" t="s">
        <v>937</v>
      </c>
      <c r="F15" s="152" t="s">
        <v>436</v>
      </c>
    </row>
    <row r="16" ht="60" customHeight="1" spans="1:6">
      <c r="A16" s="151" t="s">
        <v>437</v>
      </c>
      <c r="B16" s="152"/>
      <c r="C16" s="152" t="s">
        <v>434</v>
      </c>
      <c r="D16" s="152"/>
      <c r="E16" s="151" t="s">
        <v>938</v>
      </c>
      <c r="F16" s="152" t="s">
        <v>436</v>
      </c>
    </row>
    <row r="17" ht="60" customHeight="1" spans="1:6">
      <c r="A17" s="151" t="s">
        <v>535</v>
      </c>
      <c r="B17" s="152"/>
      <c r="C17" s="152" t="s">
        <v>434</v>
      </c>
      <c r="D17" s="152"/>
      <c r="E17" s="151" t="s">
        <v>939</v>
      </c>
      <c r="F17" s="152" t="s">
        <v>436</v>
      </c>
    </row>
    <row r="18" ht="30" customHeight="1" spans="1:6">
      <c r="A18" s="151" t="s">
        <v>537</v>
      </c>
      <c r="B18" s="152"/>
      <c r="C18" s="152" t="s">
        <v>434</v>
      </c>
      <c r="D18" s="152"/>
      <c r="E18" s="151" t="s">
        <v>940</v>
      </c>
      <c r="F18" s="152" t="s">
        <v>436</v>
      </c>
    </row>
    <row r="19" ht="30" customHeight="1" spans="1:6">
      <c r="A19" s="151" t="s">
        <v>539</v>
      </c>
      <c r="B19" s="152"/>
      <c r="C19" s="152" t="s">
        <v>434</v>
      </c>
      <c r="D19" s="152"/>
      <c r="E19" s="151" t="s">
        <v>678</v>
      </c>
      <c r="F19" s="152" t="s">
        <v>436</v>
      </c>
    </row>
    <row r="20" ht="30" customHeight="1" spans="1:6">
      <c r="A20" s="151" t="s">
        <v>541</v>
      </c>
      <c r="B20" s="152"/>
      <c r="C20" s="152" t="s">
        <v>434</v>
      </c>
      <c r="D20" s="152"/>
      <c r="E20" s="151" t="s">
        <v>941</v>
      </c>
      <c r="F20" s="152" t="s">
        <v>436</v>
      </c>
    </row>
    <row r="21" ht="75" customHeight="1" spans="1:6">
      <c r="A21" s="151" t="s">
        <v>543</v>
      </c>
      <c r="B21" s="152"/>
      <c r="C21" s="152" t="s">
        <v>434</v>
      </c>
      <c r="D21" s="152"/>
      <c r="E21" s="151" t="s">
        <v>942</v>
      </c>
      <c r="F21" s="152" t="s">
        <v>436</v>
      </c>
    </row>
    <row r="22" ht="30" customHeight="1" spans="1:6">
      <c r="A22" s="151" t="s">
        <v>449</v>
      </c>
      <c r="B22" s="152"/>
      <c r="C22" s="152" t="s">
        <v>434</v>
      </c>
      <c r="D22" s="152"/>
      <c r="E22" s="151" t="s">
        <v>943</v>
      </c>
      <c r="F22" s="152" t="s">
        <v>436</v>
      </c>
    </row>
    <row r="23" ht="30" customHeight="1" spans="1:6">
      <c r="A23" s="151" t="s">
        <v>451</v>
      </c>
      <c r="B23" s="152"/>
      <c r="C23" s="152"/>
      <c r="D23" s="152" t="s">
        <v>434</v>
      </c>
      <c r="E23" s="151" t="s">
        <v>944</v>
      </c>
      <c r="F23" s="152" t="s">
        <v>436</v>
      </c>
    </row>
    <row r="24" spans="1:6">
      <c r="A24" s="149" t="s">
        <v>547</v>
      </c>
      <c r="B24" s="149"/>
      <c r="C24" s="149"/>
      <c r="D24" s="149"/>
      <c r="E24" s="149"/>
      <c r="F24" s="149"/>
    </row>
    <row r="25" ht="75" customHeight="1" spans="1:6">
      <c r="A25" s="151" t="s">
        <v>548</v>
      </c>
      <c r="B25" s="152" t="s">
        <v>434</v>
      </c>
      <c r="C25" s="152"/>
      <c r="D25" s="152"/>
      <c r="E25" s="151" t="s">
        <v>945</v>
      </c>
      <c r="F25" s="152" t="s">
        <v>436</v>
      </c>
    </row>
    <row r="26" ht="105" customHeight="1" spans="1:6">
      <c r="A26" s="151" t="s">
        <v>550</v>
      </c>
      <c r="B26" s="152" t="s">
        <v>434</v>
      </c>
      <c r="C26" s="152"/>
      <c r="D26" s="152"/>
      <c r="E26" s="151" t="s">
        <v>946</v>
      </c>
      <c r="F26" s="152" t="s">
        <v>436</v>
      </c>
    </row>
    <row r="27" ht="90" customHeight="1" spans="1:6">
      <c r="A27" s="151" t="s">
        <v>552</v>
      </c>
      <c r="B27" s="152"/>
      <c r="C27" s="152" t="s">
        <v>434</v>
      </c>
      <c r="D27" s="152"/>
      <c r="E27" s="151" t="s">
        <v>947</v>
      </c>
      <c r="F27" s="152" t="s">
        <v>436</v>
      </c>
    </row>
    <row r="28" ht="60" customHeight="1" spans="1:6">
      <c r="A28" s="151" t="s">
        <v>554</v>
      </c>
      <c r="B28" s="152"/>
      <c r="C28" s="152" t="s">
        <v>434</v>
      </c>
      <c r="D28" s="152"/>
      <c r="E28" s="151" t="s">
        <v>948</v>
      </c>
      <c r="F28" s="152" t="s">
        <v>436</v>
      </c>
    </row>
    <row r="29" customHeight="1" spans="1:6">
      <c r="A29" s="151" t="s">
        <v>556</v>
      </c>
      <c r="B29" s="152"/>
      <c r="C29" s="152"/>
      <c r="D29" s="152" t="s">
        <v>434</v>
      </c>
      <c r="E29" s="151" t="s">
        <v>557</v>
      </c>
      <c r="F29" s="152" t="s">
        <v>7</v>
      </c>
    </row>
    <row r="30" customHeight="1" spans="1:6">
      <c r="A30" s="151" t="s">
        <v>224</v>
      </c>
      <c r="B30" s="152"/>
      <c r="C30" s="152"/>
      <c r="D30" s="152" t="s">
        <v>434</v>
      </c>
      <c r="E30" s="151" t="s">
        <v>557</v>
      </c>
      <c r="F30" s="152" t="s">
        <v>7</v>
      </c>
    </row>
    <row r="31" customHeight="1" spans="1:6">
      <c r="A31" s="151" t="s">
        <v>558</v>
      </c>
      <c r="B31" s="152"/>
      <c r="C31" s="152"/>
      <c r="D31" s="152" t="s">
        <v>434</v>
      </c>
      <c r="E31" s="151" t="s">
        <v>557</v>
      </c>
      <c r="F31" s="152" t="s">
        <v>7</v>
      </c>
    </row>
    <row r="32" customHeight="1" spans="1:6">
      <c r="A32" s="151" t="s">
        <v>246</v>
      </c>
      <c r="B32" s="152"/>
      <c r="C32" s="152"/>
      <c r="D32" s="152" t="s">
        <v>434</v>
      </c>
      <c r="E32" s="151" t="s">
        <v>557</v>
      </c>
      <c r="F32" s="152" t="s">
        <v>7</v>
      </c>
    </row>
    <row r="33" ht="45" customHeight="1" spans="1:6">
      <c r="A33" s="151" t="s">
        <v>559</v>
      </c>
      <c r="B33" s="152"/>
      <c r="C33" s="152" t="s">
        <v>434</v>
      </c>
      <c r="D33" s="152"/>
      <c r="E33" s="151" t="s">
        <v>949</v>
      </c>
      <c r="F33" s="152" t="s">
        <v>436</v>
      </c>
    </row>
    <row r="34" ht="30" customHeight="1" spans="1:6">
      <c r="A34" s="151" t="s">
        <v>561</v>
      </c>
      <c r="B34" s="152"/>
      <c r="C34" s="152" t="s">
        <v>434</v>
      </c>
      <c r="D34" s="152"/>
      <c r="E34" s="151" t="s">
        <v>950</v>
      </c>
      <c r="F34" s="152" t="s">
        <v>436</v>
      </c>
    </row>
    <row r="35" spans="1:6">
      <c r="A35" s="149" t="s">
        <v>563</v>
      </c>
      <c r="B35" s="149"/>
      <c r="C35" s="149"/>
      <c r="D35" s="149"/>
      <c r="E35" s="149"/>
      <c r="F35" s="149"/>
    </row>
    <row r="36" ht="90" customHeight="1" spans="1:6">
      <c r="A36" s="151" t="s">
        <v>564</v>
      </c>
      <c r="B36" s="152" t="s">
        <v>434</v>
      </c>
      <c r="C36" s="152"/>
      <c r="D36" s="152"/>
      <c r="E36" s="151" t="s">
        <v>951</v>
      </c>
      <c r="F36" s="152" t="s">
        <v>436</v>
      </c>
    </row>
    <row r="37" ht="45" customHeight="1" spans="1:6">
      <c r="A37" s="151" t="s">
        <v>566</v>
      </c>
      <c r="B37" s="152" t="s">
        <v>434</v>
      </c>
      <c r="C37" s="152"/>
      <c r="D37" s="152"/>
      <c r="E37" s="151" t="s">
        <v>952</v>
      </c>
      <c r="F37" s="152" t="s">
        <v>436</v>
      </c>
    </row>
    <row r="38" customHeight="1" spans="1:6">
      <c r="A38" s="151" t="s">
        <v>568</v>
      </c>
      <c r="B38" s="152" t="s">
        <v>434</v>
      </c>
      <c r="C38" s="152"/>
      <c r="D38" s="152"/>
      <c r="E38" s="151" t="s">
        <v>953</v>
      </c>
      <c r="F38" s="152" t="s">
        <v>436</v>
      </c>
    </row>
    <row r="39" ht="60" customHeight="1" spans="1:6">
      <c r="A39" s="151" t="s">
        <v>570</v>
      </c>
      <c r="B39" s="152" t="s">
        <v>434</v>
      </c>
      <c r="C39" s="152"/>
      <c r="D39" s="152"/>
      <c r="E39" s="151" t="s">
        <v>954</v>
      </c>
      <c r="F39" s="152" t="s">
        <v>436</v>
      </c>
    </row>
    <row r="40" ht="120" customHeight="1" spans="1:6">
      <c r="A40" s="151" t="s">
        <v>572</v>
      </c>
      <c r="B40" s="152"/>
      <c r="C40" s="152" t="s">
        <v>434</v>
      </c>
      <c r="D40" s="152"/>
      <c r="E40" s="151" t="s">
        <v>955</v>
      </c>
      <c r="F40" s="152" t="s">
        <v>436</v>
      </c>
    </row>
    <row r="41" ht="75" customHeight="1" spans="1:6">
      <c r="A41" s="151" t="s">
        <v>574</v>
      </c>
      <c r="B41" s="152" t="s">
        <v>434</v>
      </c>
      <c r="C41" s="152"/>
      <c r="D41" s="152"/>
      <c r="E41" s="151" t="s">
        <v>956</v>
      </c>
      <c r="F41" s="152" t="s">
        <v>7</v>
      </c>
    </row>
    <row r="42" ht="45" customHeight="1" spans="1:6">
      <c r="A42" s="151" t="s">
        <v>576</v>
      </c>
      <c r="B42" s="152" t="s">
        <v>434</v>
      </c>
      <c r="C42" s="152"/>
      <c r="D42" s="152"/>
      <c r="E42" s="151" t="s">
        <v>957</v>
      </c>
      <c r="F42" s="152" t="s">
        <v>7</v>
      </c>
    </row>
    <row r="43" ht="45" customHeight="1" spans="1:6">
      <c r="A43" s="151" t="s">
        <v>578</v>
      </c>
      <c r="B43" s="152" t="s">
        <v>434</v>
      </c>
      <c r="C43" s="152"/>
      <c r="D43" s="152"/>
      <c r="E43" s="151" t="s">
        <v>958</v>
      </c>
      <c r="F43" s="152" t="s">
        <v>7</v>
      </c>
    </row>
    <row r="44" ht="45" customHeight="1" spans="1:6">
      <c r="A44" s="151" t="s">
        <v>580</v>
      </c>
      <c r="B44" s="152"/>
      <c r="C44" s="152" t="s">
        <v>434</v>
      </c>
      <c r="D44" s="152"/>
      <c r="E44" s="151" t="s">
        <v>959</v>
      </c>
      <c r="F44" s="152" t="s">
        <v>436</v>
      </c>
    </row>
    <row r="45" ht="60" customHeight="1" spans="1:6">
      <c r="A45" s="151" t="s">
        <v>582</v>
      </c>
      <c r="B45" s="152" t="s">
        <v>434</v>
      </c>
      <c r="C45" s="152"/>
      <c r="D45" s="152"/>
      <c r="E45" s="151" t="s">
        <v>960</v>
      </c>
      <c r="F45" s="152" t="s">
        <v>7</v>
      </c>
    </row>
    <row r="46" ht="45" customHeight="1" spans="1:6">
      <c r="A46" s="151" t="s">
        <v>584</v>
      </c>
      <c r="B46" s="152"/>
      <c r="C46" s="152" t="s">
        <v>434</v>
      </c>
      <c r="D46" s="152"/>
      <c r="E46" s="151" t="s">
        <v>961</v>
      </c>
      <c r="F46" s="152" t="s">
        <v>7</v>
      </c>
    </row>
    <row r="47" spans="1:6">
      <c r="A47" s="153" t="s">
        <v>586</v>
      </c>
      <c r="B47" s="149"/>
      <c r="C47" s="149"/>
      <c r="D47" s="149"/>
      <c r="E47" s="149"/>
      <c r="F47" s="149"/>
    </row>
    <row r="48" ht="30" customHeight="1" spans="1:6">
      <c r="A48" s="151" t="s">
        <v>962</v>
      </c>
      <c r="B48" s="152"/>
      <c r="C48" s="152" t="s">
        <v>434</v>
      </c>
      <c r="D48" s="152"/>
      <c r="E48" s="151" t="s">
        <v>963</v>
      </c>
      <c r="F48" s="152" t="s">
        <v>436</v>
      </c>
    </row>
    <row r="49" ht="105" customHeight="1" spans="1:6">
      <c r="A49" s="151" t="s">
        <v>589</v>
      </c>
      <c r="B49" s="152"/>
      <c r="C49" s="152" t="s">
        <v>434</v>
      </c>
      <c r="D49" s="152"/>
      <c r="E49" s="151" t="s">
        <v>964</v>
      </c>
      <c r="F49" s="152" t="s">
        <v>436</v>
      </c>
    </row>
    <row r="50" ht="30" customHeight="1" spans="1:6">
      <c r="A50" s="151" t="s">
        <v>591</v>
      </c>
      <c r="B50" s="152"/>
      <c r="C50" s="152" t="s">
        <v>434</v>
      </c>
      <c r="D50" s="152"/>
      <c r="E50" s="151" t="s">
        <v>965</v>
      </c>
      <c r="F50" s="152" t="s">
        <v>436</v>
      </c>
    </row>
    <row r="51" ht="45" customHeight="1" spans="1:6">
      <c r="A51" s="151" t="s">
        <v>593</v>
      </c>
      <c r="B51" s="152"/>
      <c r="C51" s="152" t="s">
        <v>434</v>
      </c>
      <c r="D51" s="152"/>
      <c r="E51" s="151" t="s">
        <v>966</v>
      </c>
      <c r="F51" s="152" t="s">
        <v>436</v>
      </c>
    </row>
    <row r="52" ht="45" customHeight="1" spans="1:6">
      <c r="A52" s="151" t="s">
        <v>595</v>
      </c>
      <c r="B52" s="152"/>
      <c r="C52" s="152" t="s">
        <v>434</v>
      </c>
      <c r="D52" s="152"/>
      <c r="E52" s="151" t="s">
        <v>967</v>
      </c>
      <c r="F52" s="152" t="s">
        <v>7</v>
      </c>
    </row>
    <row r="53" ht="45" customHeight="1" spans="1:6">
      <c r="A53" s="151" t="s">
        <v>597</v>
      </c>
      <c r="B53" s="152"/>
      <c r="C53" s="152" t="s">
        <v>434</v>
      </c>
      <c r="D53" s="152"/>
      <c r="E53" s="151" t="s">
        <v>968</v>
      </c>
      <c r="F53" s="152" t="s">
        <v>436</v>
      </c>
    </row>
    <row r="54" ht="90" customHeight="1" spans="1:6">
      <c r="A54" s="151" t="s">
        <v>599</v>
      </c>
      <c r="B54" s="152"/>
      <c r="C54" s="152" t="s">
        <v>434</v>
      </c>
      <c r="D54" s="152"/>
      <c r="E54" s="151" t="s">
        <v>969</v>
      </c>
      <c r="F54" s="152" t="s">
        <v>7</v>
      </c>
    </row>
    <row r="55" ht="60" customHeight="1" spans="1:6">
      <c r="A55" s="151" t="s">
        <v>601</v>
      </c>
      <c r="B55" s="152" t="s">
        <v>434</v>
      </c>
      <c r="C55" s="152"/>
      <c r="D55" s="152"/>
      <c r="E55" s="151" t="s">
        <v>970</v>
      </c>
      <c r="F55" s="152" t="s">
        <v>7</v>
      </c>
    </row>
    <row r="56" ht="75" customHeight="1" spans="1:6">
      <c r="A56" s="151" t="s">
        <v>603</v>
      </c>
      <c r="B56" s="152"/>
      <c r="C56" s="152" t="s">
        <v>434</v>
      </c>
      <c r="D56" s="152"/>
      <c r="E56" s="151" t="s">
        <v>971</v>
      </c>
      <c r="F56" s="152" t="s">
        <v>7</v>
      </c>
    </row>
    <row r="57" ht="60" customHeight="1" spans="1:6">
      <c r="A57" s="151" t="s">
        <v>605</v>
      </c>
      <c r="B57" s="152"/>
      <c r="C57" s="152" t="s">
        <v>434</v>
      </c>
      <c r="D57" s="152"/>
      <c r="E57" s="151" t="s">
        <v>972</v>
      </c>
      <c r="F57" s="152" t="s">
        <v>7</v>
      </c>
    </row>
    <row r="58" ht="60" customHeight="1" spans="1:6">
      <c r="A58" s="151" t="s">
        <v>607</v>
      </c>
      <c r="B58" s="152"/>
      <c r="C58" s="152" t="s">
        <v>434</v>
      </c>
      <c r="D58" s="152"/>
      <c r="E58" s="151" t="s">
        <v>973</v>
      </c>
      <c r="F58" s="152" t="s">
        <v>7</v>
      </c>
    </row>
    <row r="59" ht="60" customHeight="1" spans="1:6">
      <c r="A59" s="151" t="s">
        <v>609</v>
      </c>
      <c r="B59" s="152"/>
      <c r="C59" s="152" t="s">
        <v>434</v>
      </c>
      <c r="D59" s="152"/>
      <c r="E59" s="151" t="s">
        <v>974</v>
      </c>
      <c r="F59" s="152" t="s">
        <v>7</v>
      </c>
    </row>
    <row r="60" spans="1:6">
      <c r="A60" s="153" t="s">
        <v>611</v>
      </c>
      <c r="B60" s="149"/>
      <c r="C60" s="149"/>
      <c r="D60" s="149"/>
      <c r="E60" s="149"/>
      <c r="F60" s="149"/>
    </row>
    <row r="61" ht="60" customHeight="1" spans="1:6">
      <c r="A61" s="151" t="s">
        <v>612</v>
      </c>
      <c r="B61" s="152" t="s">
        <v>434</v>
      </c>
      <c r="C61" s="152"/>
      <c r="D61" s="152"/>
      <c r="E61" s="151" t="s">
        <v>975</v>
      </c>
      <c r="F61" s="152" t="s">
        <v>436</v>
      </c>
    </row>
    <row r="62" ht="45" customHeight="1" spans="1:6">
      <c r="A62" s="151" t="s">
        <v>614</v>
      </c>
      <c r="B62" s="152" t="s">
        <v>434</v>
      </c>
      <c r="C62" s="152"/>
      <c r="D62" s="152"/>
      <c r="E62" s="151" t="s">
        <v>976</v>
      </c>
      <c r="F62" s="152" t="s">
        <v>436</v>
      </c>
    </row>
    <row r="63" ht="45" customHeight="1" spans="1:6">
      <c r="A63" s="151" t="s">
        <v>616</v>
      </c>
      <c r="B63" s="152"/>
      <c r="C63" s="152" t="s">
        <v>434</v>
      </c>
      <c r="D63" s="152"/>
      <c r="E63" s="151" t="s">
        <v>977</v>
      </c>
      <c r="F63" s="152" t="s">
        <v>7</v>
      </c>
    </row>
    <row r="64" ht="45" customHeight="1" spans="1:6">
      <c r="A64" s="151" t="s">
        <v>978</v>
      </c>
      <c r="B64" s="152" t="s">
        <v>434</v>
      </c>
      <c r="C64" s="152"/>
      <c r="D64" s="152"/>
      <c r="E64" s="151" t="s">
        <v>979</v>
      </c>
      <c r="F64" s="152" t="s">
        <v>436</v>
      </c>
    </row>
    <row r="65" ht="75" customHeight="1" spans="1:6">
      <c r="A65" s="151" t="s">
        <v>620</v>
      </c>
      <c r="B65" s="152"/>
      <c r="C65" s="152" t="s">
        <v>434</v>
      </c>
      <c r="D65" s="152"/>
      <c r="E65" s="151" t="s">
        <v>980</v>
      </c>
      <c r="F65" s="152" t="s">
        <v>7</v>
      </c>
    </row>
    <row r="66" ht="45" customHeight="1" spans="1:6">
      <c r="A66" s="151" t="s">
        <v>622</v>
      </c>
      <c r="B66" s="152"/>
      <c r="C66" s="152" t="s">
        <v>434</v>
      </c>
      <c r="D66" s="152"/>
      <c r="E66" s="151" t="s">
        <v>981</v>
      </c>
      <c r="F66" s="152" t="s">
        <v>7</v>
      </c>
    </row>
    <row r="67" ht="25.5" spans="1:6">
      <c r="A67" s="153" t="s">
        <v>624</v>
      </c>
      <c r="B67" s="149"/>
      <c r="C67" s="149"/>
      <c r="D67" s="149"/>
      <c r="E67" s="149"/>
      <c r="F67" s="149"/>
    </row>
    <row r="68" ht="60" customHeight="1" spans="1:6">
      <c r="A68" s="151" t="s">
        <v>625</v>
      </c>
      <c r="B68" s="152" t="s">
        <v>434</v>
      </c>
      <c r="C68" s="152"/>
      <c r="D68" s="152"/>
      <c r="E68" s="151" t="s">
        <v>982</v>
      </c>
      <c r="F68" s="152" t="s">
        <v>436</v>
      </c>
    </row>
    <row r="69" ht="75" customHeight="1" spans="1:6">
      <c r="A69" s="151" t="s">
        <v>627</v>
      </c>
      <c r="B69" s="152" t="s">
        <v>434</v>
      </c>
      <c r="C69" s="152"/>
      <c r="D69" s="152"/>
      <c r="E69" s="151" t="s">
        <v>983</v>
      </c>
      <c r="F69" s="152" t="s">
        <v>7</v>
      </c>
    </row>
    <row r="70" ht="30" customHeight="1" spans="1:6">
      <c r="A70" s="151" t="s">
        <v>629</v>
      </c>
      <c r="B70" s="152"/>
      <c r="C70" s="152" t="s">
        <v>434</v>
      </c>
      <c r="D70" s="152"/>
      <c r="E70" s="151" t="s">
        <v>984</v>
      </c>
      <c r="F70" s="152" t="s">
        <v>7</v>
      </c>
    </row>
    <row r="71" ht="30" customHeight="1" spans="1:6">
      <c r="A71" s="151" t="s">
        <v>631</v>
      </c>
      <c r="B71" s="152"/>
      <c r="C71" s="152" t="s">
        <v>434</v>
      </c>
      <c r="D71" s="152"/>
      <c r="E71" s="151" t="s">
        <v>985</v>
      </c>
      <c r="F71" s="152" t="s">
        <v>7</v>
      </c>
    </row>
    <row r="72" ht="60" customHeight="1" spans="1:6">
      <c r="A72" s="151" t="s">
        <v>633</v>
      </c>
      <c r="B72" s="152" t="s">
        <v>434</v>
      </c>
      <c r="C72" s="152"/>
      <c r="D72" s="152"/>
      <c r="E72" s="151" t="s">
        <v>986</v>
      </c>
      <c r="F72" s="152" t="s">
        <v>7</v>
      </c>
    </row>
    <row r="73" ht="60" customHeight="1" spans="1:6">
      <c r="A73" s="151" t="s">
        <v>635</v>
      </c>
      <c r="B73" s="152" t="s">
        <v>434</v>
      </c>
      <c r="C73" s="152"/>
      <c r="D73" s="152"/>
      <c r="E73" s="151" t="s">
        <v>987</v>
      </c>
      <c r="F73" s="152" t="s">
        <v>7</v>
      </c>
    </row>
    <row r="74" ht="45" customHeight="1" spans="1:6">
      <c r="A74" s="151" t="s">
        <v>637</v>
      </c>
      <c r="B74" s="152"/>
      <c r="C74" s="152" t="s">
        <v>434</v>
      </c>
      <c r="D74" s="152"/>
      <c r="E74" s="151" t="s">
        <v>988</v>
      </c>
      <c r="F74" s="152" t="s">
        <v>436</v>
      </c>
    </row>
    <row r="75" ht="30" customHeight="1" spans="1:6">
      <c r="A75" s="151" t="s">
        <v>639</v>
      </c>
      <c r="B75" s="152"/>
      <c r="C75" s="152" t="s">
        <v>434</v>
      </c>
      <c r="D75" s="152"/>
      <c r="E75" s="151" t="s">
        <v>989</v>
      </c>
      <c r="F75" s="152" t="s">
        <v>7</v>
      </c>
    </row>
    <row r="76" ht="60" customHeight="1" spans="1:6">
      <c r="A76" s="151" t="s">
        <v>641</v>
      </c>
      <c r="B76" s="152" t="s">
        <v>434</v>
      </c>
      <c r="C76" s="152"/>
      <c r="D76" s="152"/>
      <c r="E76" s="151" t="s">
        <v>990</v>
      </c>
      <c r="F76" s="152" t="s">
        <v>436</v>
      </c>
    </row>
    <row r="77" customHeight="1" spans="1:6">
      <c r="A77" s="151" t="s">
        <v>643</v>
      </c>
      <c r="B77" s="152" t="s">
        <v>434</v>
      </c>
      <c r="C77" s="152"/>
      <c r="D77" s="152"/>
      <c r="E77" s="151" t="s">
        <v>991</v>
      </c>
      <c r="F77" s="152" t="s">
        <v>7</v>
      </c>
    </row>
    <row r="78" ht="45" customHeight="1" spans="1:6">
      <c r="A78" s="151" t="s">
        <v>645</v>
      </c>
      <c r="B78" s="152"/>
      <c r="C78" s="152" t="s">
        <v>434</v>
      </c>
      <c r="D78" s="152"/>
      <c r="E78" s="151" t="s">
        <v>992</v>
      </c>
      <c r="F78" s="152" t="s">
        <v>436</v>
      </c>
    </row>
    <row r="79" customHeight="1" spans="1:6">
      <c r="A79" s="151" t="s">
        <v>647</v>
      </c>
      <c r="B79" s="152"/>
      <c r="C79" s="152"/>
      <c r="D79" s="152" t="s">
        <v>434</v>
      </c>
      <c r="E79" s="151" t="s">
        <v>993</v>
      </c>
      <c r="F79" s="152" t="s">
        <v>7</v>
      </c>
    </row>
    <row r="80" customHeight="1" spans="1:6">
      <c r="A80" s="151" t="s">
        <v>649</v>
      </c>
      <c r="B80" s="152" t="s">
        <v>434</v>
      </c>
      <c r="C80" s="152"/>
      <c r="D80" s="152"/>
      <c r="E80" s="151" t="s">
        <v>991</v>
      </c>
      <c r="F80" s="152" t="s">
        <v>7</v>
      </c>
    </row>
    <row r="81" ht="60" customHeight="1" spans="1:6">
      <c r="A81" s="151" t="s">
        <v>650</v>
      </c>
      <c r="B81" s="152" t="s">
        <v>434</v>
      </c>
      <c r="C81" s="152"/>
      <c r="D81" s="152"/>
      <c r="E81" s="151" t="s">
        <v>994</v>
      </c>
      <c r="F81" s="152" t="s">
        <v>436</v>
      </c>
    </row>
    <row r="82" ht="60" customHeight="1" spans="1:6">
      <c r="A82" s="151" t="s">
        <v>652</v>
      </c>
      <c r="B82" s="152" t="s">
        <v>434</v>
      </c>
      <c r="C82" s="152"/>
      <c r="D82" s="152"/>
      <c r="E82" s="151" t="s">
        <v>995</v>
      </c>
      <c r="F82" s="152" t="s">
        <v>436</v>
      </c>
    </row>
    <row r="83" ht="45" customHeight="1" spans="1:6">
      <c r="A83" s="151" t="s">
        <v>654</v>
      </c>
      <c r="B83" s="152" t="s">
        <v>434</v>
      </c>
      <c r="C83" s="152"/>
      <c r="D83" s="152"/>
      <c r="E83" s="151" t="s">
        <v>996</v>
      </c>
      <c r="F83" s="152" t="s">
        <v>7</v>
      </c>
    </row>
    <row r="84" ht="30" customHeight="1" spans="1:6">
      <c r="A84" s="151" t="s">
        <v>656</v>
      </c>
      <c r="B84" s="152"/>
      <c r="C84" s="152" t="s">
        <v>434</v>
      </c>
      <c r="D84" s="152"/>
      <c r="E84" s="151" t="s">
        <v>997</v>
      </c>
      <c r="F84" s="152" t="s">
        <v>7</v>
      </c>
    </row>
    <row r="85" ht="30" customHeight="1" spans="1:6">
      <c r="A85" s="151" t="s">
        <v>658</v>
      </c>
      <c r="B85" s="152" t="s">
        <v>434</v>
      </c>
      <c r="C85" s="152"/>
      <c r="D85" s="152"/>
      <c r="E85" s="151" t="s">
        <v>998</v>
      </c>
      <c r="F85" s="152" t="s">
        <v>7</v>
      </c>
    </row>
    <row r="86" ht="75" customHeight="1" spans="1:6">
      <c r="A86" s="151" t="s">
        <v>660</v>
      </c>
      <c r="B86" s="152"/>
      <c r="C86" s="152" t="s">
        <v>434</v>
      </c>
      <c r="D86" s="152"/>
      <c r="E86" s="151" t="s">
        <v>999</v>
      </c>
      <c r="F86" s="152" t="s">
        <v>436</v>
      </c>
    </row>
    <row r="87" ht="45" customHeight="1" spans="1:6">
      <c r="A87" s="151" t="s">
        <v>662</v>
      </c>
      <c r="B87" s="152" t="s">
        <v>434</v>
      </c>
      <c r="C87" s="152"/>
      <c r="D87" s="152"/>
      <c r="E87" s="151" t="s">
        <v>1000</v>
      </c>
      <c r="F87" s="152" t="s">
        <v>7</v>
      </c>
    </row>
    <row r="88" ht="45" customHeight="1" spans="1:6">
      <c r="A88" s="151" t="s">
        <v>660</v>
      </c>
      <c r="B88" s="152"/>
      <c r="C88" s="152" t="s">
        <v>434</v>
      </c>
      <c r="D88" s="152"/>
      <c r="E88" s="151" t="s">
        <v>1001</v>
      </c>
      <c r="F88" s="152" t="s">
        <v>436</v>
      </c>
    </row>
    <row r="89" ht="30" customHeight="1" spans="1:6">
      <c r="A89" s="151" t="s">
        <v>665</v>
      </c>
      <c r="B89" s="152" t="s">
        <v>434</v>
      </c>
      <c r="C89" s="152"/>
      <c r="D89" s="152"/>
      <c r="E89" s="151" t="s">
        <v>1002</v>
      </c>
      <c r="F89" s="152" t="s">
        <v>7</v>
      </c>
    </row>
    <row r="90" ht="45" customHeight="1" spans="1:6">
      <c r="A90" s="151" t="s">
        <v>660</v>
      </c>
      <c r="B90" s="152" t="s">
        <v>434</v>
      </c>
      <c r="C90" s="152"/>
      <c r="D90" s="152"/>
      <c r="E90" s="151" t="s">
        <v>1003</v>
      </c>
      <c r="F90" s="152" t="s">
        <v>436</v>
      </c>
    </row>
    <row r="91" spans="1:6">
      <c r="A91" s="149" t="s">
        <v>519</v>
      </c>
      <c r="B91" s="150">
        <f>COUNTIF(B14:B90,"x")</f>
        <v>28</v>
      </c>
      <c r="C91" s="150">
        <f>COUNTIF(C14:C90,"x")</f>
        <v>37</v>
      </c>
      <c r="D91" s="150">
        <f>COUNTIF(D14:D90,"x")</f>
        <v>6</v>
      </c>
    </row>
    <row r="93" spans="1:6">
      <c r="A93" s="149" t="s">
        <v>1004</v>
      </c>
      <c r="B93" s="154"/>
      <c r="C93" s="154"/>
      <c r="D93" s="154"/>
      <c r="E93" s="154"/>
      <c r="F93" s="155"/>
    </row>
    <row r="94" ht="75" customHeight="1" spans="1:6">
      <c r="A94" s="151" t="s">
        <v>1005</v>
      </c>
      <c r="B94" s="156"/>
      <c r="C94" s="156"/>
      <c r="D94" s="156"/>
      <c r="E94" s="156"/>
      <c r="F94" s="157"/>
    </row>
    <row r="95" spans="1:6">
      <c r="A95" s="149" t="s">
        <v>522</v>
      </c>
      <c r="B95" s="154"/>
      <c r="C95" s="154"/>
      <c r="D95" s="154"/>
      <c r="E95" s="154"/>
      <c r="F95" s="155"/>
    </row>
    <row r="96" ht="120" customHeight="1" spans="1:6">
      <c r="A96" s="151" t="s">
        <v>1006</v>
      </c>
      <c r="B96" s="156"/>
      <c r="C96" s="156"/>
      <c r="D96" s="156"/>
      <c r="E96" s="156"/>
      <c r="F96" s="157"/>
    </row>
    <row r="97" spans="1:6">
      <c r="A97" s="158" t="s">
        <v>524</v>
      </c>
      <c r="B97" s="156"/>
      <c r="C97" s="156"/>
      <c r="D97" s="156"/>
      <c r="E97" s="156"/>
      <c r="F97" s="157"/>
    </row>
    <row r="98" spans="1:6">
      <c r="A98" s="158" t="s">
        <v>525</v>
      </c>
      <c r="B98" s="156"/>
      <c r="C98" s="156"/>
      <c r="D98" s="156"/>
      <c r="E98" s="156"/>
      <c r="F98" s="157"/>
    </row>
    <row r="99" spans="1:6">
      <c r="A99" s="158" t="s">
        <v>526</v>
      </c>
      <c r="B99" s="156"/>
      <c r="C99" s="156"/>
      <c r="D99" s="156"/>
      <c r="E99" s="156"/>
      <c r="F99" s="157"/>
    </row>
  </sheetData>
  <mergeCells count="17">
    <mergeCell ref="A1:F1"/>
    <mergeCell ref="B3:F3"/>
    <mergeCell ref="B4:F4"/>
    <mergeCell ref="B5:F5"/>
    <mergeCell ref="B6:F6"/>
    <mergeCell ref="B7:F7"/>
    <mergeCell ref="B8:F8"/>
    <mergeCell ref="B9:F9"/>
    <mergeCell ref="B10:F10"/>
    <mergeCell ref="B11:F11"/>
    <mergeCell ref="A93:F93"/>
    <mergeCell ref="A94:F94"/>
    <mergeCell ref="A95:F95"/>
    <mergeCell ref="A96:F96"/>
    <mergeCell ref="A97:F97"/>
    <mergeCell ref="A98:F98"/>
    <mergeCell ref="A99:F99"/>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9"/>
  <sheetViews>
    <sheetView workbookViewId="0">
      <pane xSplit="1" ySplit="12" topLeftCell="B13" activePane="bottomRight" state="frozen"/>
      <selection/>
      <selection pane="topRight"/>
      <selection pane="bottomLeft"/>
      <selection pane="bottomRight" activeCell="A1" sqref="A1:F1"/>
    </sheetView>
  </sheetViews>
  <sheetFormatPr defaultColWidth="9" defaultRowHeight="15" outlineLevelCol="5"/>
  <cols>
    <col min="1" max="1" width="64.2857142857143" customWidth="1"/>
    <col min="2" max="2" width="7.42857142857143" customWidth="1"/>
    <col min="3" max="3" width="6.71428571428571" customWidth="1"/>
    <col min="4" max="4" width="4" customWidth="1"/>
    <col min="5" max="5" width="53.8571428571429" customWidth="1"/>
    <col min="6" max="6" width="9.14285714285714" customWidth="1"/>
  </cols>
  <sheetData>
    <row r="1" ht="24" customHeight="1" spans="1:6">
      <c r="A1" s="128" t="s">
        <v>1007</v>
      </c>
      <c r="B1" s="129"/>
      <c r="C1" s="129"/>
      <c r="D1" s="129"/>
      <c r="E1" s="129"/>
      <c r="F1" s="130"/>
    </row>
    <row r="3" customHeight="1" spans="1:6">
      <c r="A3" s="131" t="s">
        <v>1008</v>
      </c>
      <c r="B3" s="132" t="s">
        <v>227</v>
      </c>
      <c r="C3" s="133"/>
      <c r="D3" s="133"/>
      <c r="E3" s="133"/>
      <c r="F3" s="134"/>
    </row>
    <row r="4" ht="60" customHeight="1" spans="1:6">
      <c r="A4" s="131" t="s">
        <v>1009</v>
      </c>
      <c r="B4" s="135" t="s">
        <v>1010</v>
      </c>
      <c r="C4" s="133"/>
      <c r="D4" s="133"/>
      <c r="E4" s="133"/>
      <c r="F4" s="134"/>
    </row>
    <row r="5" customHeight="1" spans="1:6">
      <c r="A5" s="131" t="s">
        <v>1011</v>
      </c>
      <c r="B5" s="132" t="s">
        <v>231</v>
      </c>
      <c r="C5" s="133"/>
      <c r="D5" s="133"/>
      <c r="E5" s="133"/>
      <c r="F5" s="134"/>
    </row>
    <row r="6" customHeight="1" spans="1:6">
      <c r="A6" s="131" t="s">
        <v>1012</v>
      </c>
      <c r="B6" s="132" t="s">
        <v>60</v>
      </c>
      <c r="C6" s="133"/>
      <c r="D6" s="133"/>
      <c r="E6" s="133"/>
      <c r="F6" s="134"/>
    </row>
    <row r="7" customHeight="1" spans="1:6">
      <c r="A7" s="131" t="s">
        <v>1013</v>
      </c>
      <c r="B7" s="132" t="s">
        <v>7</v>
      </c>
      <c r="C7" s="133"/>
      <c r="D7" s="133"/>
      <c r="E7" s="133"/>
      <c r="F7" s="134"/>
    </row>
    <row r="8" customHeight="1" spans="1:6">
      <c r="A8" s="131" t="s">
        <v>1014</v>
      </c>
      <c r="B8" s="132" t="s">
        <v>233</v>
      </c>
      <c r="C8" s="133"/>
      <c r="D8" s="133"/>
      <c r="E8" s="133"/>
      <c r="F8" s="134"/>
    </row>
    <row r="9" ht="120" customHeight="1" spans="1:6">
      <c r="A9" s="131" t="s">
        <v>1015</v>
      </c>
      <c r="B9" s="135" t="s">
        <v>1016</v>
      </c>
      <c r="C9" s="133"/>
      <c r="D9" s="133"/>
      <c r="E9" s="133"/>
      <c r="F9" s="134"/>
    </row>
    <row r="10" customHeight="1" spans="1:6">
      <c r="A10" s="131" t="s">
        <v>1017</v>
      </c>
      <c r="B10" s="132" t="s">
        <v>103</v>
      </c>
      <c r="C10" s="133"/>
      <c r="D10" s="133"/>
      <c r="E10" s="133"/>
      <c r="F10" s="134"/>
    </row>
    <row r="12" spans="1:6">
      <c r="A12" s="136" t="s">
        <v>426</v>
      </c>
      <c r="B12" s="137" t="s">
        <v>427</v>
      </c>
      <c r="C12" s="137" t="s">
        <v>428</v>
      </c>
      <c r="D12" s="137" t="s">
        <v>429</v>
      </c>
      <c r="E12" s="137" t="s">
        <v>430</v>
      </c>
    </row>
    <row r="13" spans="1:6">
      <c r="A13" s="136" t="s">
        <v>1018</v>
      </c>
      <c r="B13" s="136"/>
      <c r="C13" s="136"/>
      <c r="D13" s="136"/>
      <c r="E13" s="136"/>
    </row>
    <row r="14" ht="60" customHeight="1" spans="1:6">
      <c r="A14" s="138" t="s">
        <v>1019</v>
      </c>
      <c r="B14" s="139" t="s">
        <v>434</v>
      </c>
      <c r="C14" s="139"/>
      <c r="D14" s="139"/>
      <c r="E14" s="138" t="s">
        <v>1020</v>
      </c>
    </row>
    <row r="15" spans="1:6">
      <c r="A15" s="136" t="s">
        <v>1021</v>
      </c>
      <c r="B15" s="136"/>
      <c r="C15" s="136"/>
      <c r="D15" s="136"/>
      <c r="E15" s="136"/>
    </row>
    <row r="16" ht="60" customHeight="1" spans="1:6">
      <c r="A16" s="138" t="s">
        <v>1022</v>
      </c>
      <c r="B16" s="139" t="s">
        <v>434</v>
      </c>
      <c r="C16" s="139"/>
      <c r="D16" s="139"/>
      <c r="E16" s="138" t="s">
        <v>1023</v>
      </c>
    </row>
    <row r="17" ht="45" customHeight="1" spans="1:5">
      <c r="A17" s="138" t="s">
        <v>1024</v>
      </c>
      <c r="B17" s="139" t="s">
        <v>434</v>
      </c>
      <c r="C17" s="139"/>
      <c r="D17" s="139"/>
      <c r="E17" s="138" t="s">
        <v>1025</v>
      </c>
    </row>
    <row r="18" ht="45" customHeight="1" spans="1:5">
      <c r="A18" s="138" t="s">
        <v>1026</v>
      </c>
      <c r="B18" s="139" t="s">
        <v>434</v>
      </c>
      <c r="C18" s="139"/>
      <c r="D18" s="139"/>
      <c r="E18" s="138" t="s">
        <v>1027</v>
      </c>
    </row>
    <row r="19" ht="45" customHeight="1" spans="1:5">
      <c r="A19" s="138" t="s">
        <v>1028</v>
      </c>
      <c r="B19" s="139" t="s">
        <v>434</v>
      </c>
      <c r="C19" s="139"/>
      <c r="D19" s="139"/>
      <c r="E19" s="138" t="s">
        <v>1029</v>
      </c>
    </row>
    <row r="20" ht="45" customHeight="1" spans="1:5">
      <c r="A20" s="138" t="s">
        <v>1030</v>
      </c>
      <c r="B20" s="139"/>
      <c r="C20" s="139" t="s">
        <v>434</v>
      </c>
      <c r="D20" s="139"/>
      <c r="E20" s="138" t="s">
        <v>1031</v>
      </c>
    </row>
    <row r="21" ht="75" customHeight="1" spans="1:5">
      <c r="A21" s="138" t="s">
        <v>1032</v>
      </c>
      <c r="B21" s="139"/>
      <c r="C21" s="139" t="s">
        <v>434</v>
      </c>
      <c r="D21" s="139"/>
      <c r="E21" s="138" t="s">
        <v>1033</v>
      </c>
    </row>
    <row r="22" ht="60" customHeight="1" spans="1:5">
      <c r="A22" s="138" t="s">
        <v>1034</v>
      </c>
      <c r="B22" s="139" t="s">
        <v>434</v>
      </c>
      <c r="C22" s="139"/>
      <c r="D22" s="139"/>
      <c r="E22" s="138" t="s">
        <v>1035</v>
      </c>
    </row>
    <row r="23" ht="45" customHeight="1" spans="1:5">
      <c r="A23" s="138" t="s">
        <v>1036</v>
      </c>
      <c r="B23" s="139"/>
      <c r="C23" s="139" t="s">
        <v>434</v>
      </c>
      <c r="D23" s="139"/>
      <c r="E23" s="138" t="s">
        <v>1037</v>
      </c>
    </row>
    <row r="24" ht="60" customHeight="1" spans="1:5">
      <c r="A24" s="138" t="s">
        <v>1038</v>
      </c>
      <c r="B24" s="139" t="s">
        <v>434</v>
      </c>
      <c r="C24" s="139"/>
      <c r="D24" s="139"/>
      <c r="E24" s="138" t="s">
        <v>1039</v>
      </c>
    </row>
    <row r="25" ht="30" customHeight="1" spans="1:5">
      <c r="A25" s="138" t="s">
        <v>1040</v>
      </c>
      <c r="B25" s="139"/>
      <c r="C25" s="139"/>
      <c r="D25" s="139" t="s">
        <v>434</v>
      </c>
      <c r="E25" s="138" t="s">
        <v>1041</v>
      </c>
    </row>
    <row r="26" ht="75" customHeight="1" spans="1:5">
      <c r="A26" s="138" t="s">
        <v>1042</v>
      </c>
      <c r="B26" s="139"/>
      <c r="C26" s="139" t="s">
        <v>434</v>
      </c>
      <c r="D26" s="139"/>
      <c r="E26" s="138" t="s">
        <v>1043</v>
      </c>
    </row>
    <row r="27" ht="75" customHeight="1" spans="1:5">
      <c r="A27" s="138" t="s">
        <v>1044</v>
      </c>
      <c r="B27" s="139"/>
      <c r="C27" s="139" t="s">
        <v>434</v>
      </c>
      <c r="D27" s="139"/>
      <c r="E27" s="138" t="s">
        <v>1045</v>
      </c>
    </row>
    <row r="28" ht="60" customHeight="1" spans="1:5">
      <c r="A28" s="138" t="s">
        <v>1046</v>
      </c>
      <c r="B28" s="139" t="s">
        <v>434</v>
      </c>
      <c r="C28" s="139"/>
      <c r="D28" s="139"/>
      <c r="E28" s="138" t="s">
        <v>1047</v>
      </c>
    </row>
    <row r="29" ht="60" customHeight="1" spans="1:5">
      <c r="A29" s="138" t="s">
        <v>1048</v>
      </c>
      <c r="B29" s="139" t="s">
        <v>434</v>
      </c>
      <c r="C29" s="139"/>
      <c r="D29" s="139"/>
      <c r="E29" s="138" t="s">
        <v>1049</v>
      </c>
    </row>
    <row r="30" spans="1:5">
      <c r="A30" s="136" t="s">
        <v>1050</v>
      </c>
      <c r="B30" s="136"/>
      <c r="C30" s="136"/>
      <c r="D30" s="136"/>
      <c r="E30" s="136"/>
    </row>
    <row r="31" ht="75" customHeight="1" spans="1:5">
      <c r="A31" s="138" t="s">
        <v>1051</v>
      </c>
      <c r="B31" s="139"/>
      <c r="C31" s="139" t="s">
        <v>434</v>
      </c>
      <c r="D31" s="139"/>
      <c r="E31" s="138" t="s">
        <v>1052</v>
      </c>
    </row>
    <row r="32" ht="60" customHeight="1" spans="1:5">
      <c r="A32" s="138" t="s">
        <v>1053</v>
      </c>
      <c r="B32" s="139" t="s">
        <v>434</v>
      </c>
      <c r="C32" s="139"/>
      <c r="D32" s="139"/>
      <c r="E32" s="138" t="s">
        <v>1054</v>
      </c>
    </row>
    <row r="33" ht="75" customHeight="1" spans="1:5">
      <c r="A33" s="138" t="s">
        <v>1055</v>
      </c>
      <c r="B33" s="139"/>
      <c r="C33" s="139" t="s">
        <v>434</v>
      </c>
      <c r="D33" s="139"/>
      <c r="E33" s="138" t="s">
        <v>1056</v>
      </c>
    </row>
    <row r="34" spans="1:5">
      <c r="A34" s="136" t="s">
        <v>1057</v>
      </c>
      <c r="B34" s="136"/>
      <c r="C34" s="136"/>
      <c r="D34" s="136"/>
      <c r="E34" s="136"/>
    </row>
    <row r="35" ht="45" customHeight="1" spans="1:5">
      <c r="A35" s="138" t="s">
        <v>1058</v>
      </c>
      <c r="B35" s="139"/>
      <c r="C35" s="139"/>
      <c r="D35" s="139" t="s">
        <v>434</v>
      </c>
      <c r="E35" s="138" t="s">
        <v>1059</v>
      </c>
    </row>
    <row r="36" ht="90" customHeight="1" spans="1:5">
      <c r="A36" s="138" t="s">
        <v>1060</v>
      </c>
      <c r="B36" s="139" t="s">
        <v>434</v>
      </c>
      <c r="C36" s="139"/>
      <c r="D36" s="139"/>
      <c r="E36" s="138" t="s">
        <v>1061</v>
      </c>
    </row>
    <row r="37" ht="30" customHeight="1" spans="1:5">
      <c r="A37" s="138" t="s">
        <v>1062</v>
      </c>
      <c r="B37" s="139"/>
      <c r="C37" s="139" t="s">
        <v>434</v>
      </c>
      <c r="D37" s="139"/>
      <c r="E37" s="138" t="s">
        <v>1063</v>
      </c>
    </row>
    <row r="38" spans="1:5">
      <c r="A38" s="136" t="s">
        <v>1064</v>
      </c>
      <c r="B38" s="136"/>
      <c r="C38" s="136"/>
      <c r="D38" s="136"/>
      <c r="E38" s="136"/>
    </row>
    <row r="39" ht="120" customHeight="1" spans="1:5">
      <c r="A39" s="138" t="s">
        <v>1065</v>
      </c>
      <c r="B39" s="139"/>
      <c r="C39" s="139" t="s">
        <v>434</v>
      </c>
      <c r="D39" s="139"/>
      <c r="E39" s="138" t="s">
        <v>1066</v>
      </c>
    </row>
    <row r="40" ht="75" customHeight="1" spans="1:5">
      <c r="A40" s="138" t="s">
        <v>1067</v>
      </c>
      <c r="B40" s="139" t="s">
        <v>434</v>
      </c>
      <c r="C40" s="139"/>
      <c r="D40" s="139"/>
      <c r="E40" s="138" t="s">
        <v>1068</v>
      </c>
    </row>
    <row r="41" ht="60" customHeight="1" spans="1:5">
      <c r="A41" s="138" t="s">
        <v>1069</v>
      </c>
      <c r="B41" s="139"/>
      <c r="C41" s="139" t="s">
        <v>434</v>
      </c>
      <c r="D41" s="139"/>
      <c r="E41" s="138" t="s">
        <v>1070</v>
      </c>
    </row>
    <row r="42" ht="75" customHeight="1" spans="1:5">
      <c r="A42" s="138" t="s">
        <v>1071</v>
      </c>
      <c r="B42" s="139" t="s">
        <v>434</v>
      </c>
      <c r="C42" s="139"/>
      <c r="D42" s="139"/>
      <c r="E42" s="138" t="s">
        <v>1072</v>
      </c>
    </row>
    <row r="43" spans="1:5">
      <c r="A43" s="136" t="s">
        <v>1073</v>
      </c>
      <c r="B43" s="136"/>
      <c r="C43" s="136"/>
      <c r="D43" s="136"/>
      <c r="E43" s="136"/>
    </row>
    <row r="44" ht="45" customHeight="1" spans="1:5">
      <c r="A44" s="138" t="s">
        <v>1074</v>
      </c>
      <c r="B44" s="139" t="s">
        <v>434</v>
      </c>
      <c r="C44" s="139"/>
      <c r="D44" s="139"/>
      <c r="E44" s="138" t="s">
        <v>1075</v>
      </c>
    </row>
    <row r="45" ht="30" customHeight="1" spans="1:5">
      <c r="A45" s="138" t="s">
        <v>1076</v>
      </c>
      <c r="B45" s="139"/>
      <c r="C45" s="139" t="s">
        <v>434</v>
      </c>
      <c r="D45" s="139"/>
      <c r="E45" s="138" t="s">
        <v>1077</v>
      </c>
    </row>
    <row r="46" ht="60" customHeight="1" spans="1:5">
      <c r="A46" s="138" t="s">
        <v>1078</v>
      </c>
      <c r="B46" s="139" t="s">
        <v>434</v>
      </c>
      <c r="C46" s="139"/>
      <c r="D46" s="139"/>
      <c r="E46" s="138" t="s">
        <v>1079</v>
      </c>
    </row>
    <row r="47" spans="1:5">
      <c r="A47" s="136" t="s">
        <v>1080</v>
      </c>
      <c r="B47" s="136"/>
      <c r="C47" s="136"/>
      <c r="D47" s="136"/>
      <c r="E47" s="136"/>
    </row>
    <row r="48" ht="60" customHeight="1" spans="1:5">
      <c r="A48" s="138" t="s">
        <v>1081</v>
      </c>
      <c r="B48" s="139"/>
      <c r="C48" s="139" t="s">
        <v>434</v>
      </c>
      <c r="D48" s="139"/>
      <c r="E48" s="138" t="s">
        <v>1082</v>
      </c>
    </row>
    <row r="49" ht="75" customHeight="1" spans="1:6">
      <c r="A49" s="138" t="s">
        <v>1083</v>
      </c>
      <c r="B49" s="139" t="s">
        <v>434</v>
      </c>
      <c r="C49" s="139"/>
      <c r="D49" s="139"/>
      <c r="E49" s="138" t="s">
        <v>1084</v>
      </c>
    </row>
    <row r="50" ht="60" customHeight="1" spans="1:6">
      <c r="A50" s="138" t="s">
        <v>1085</v>
      </c>
      <c r="B50" s="139"/>
      <c r="C50" s="139" t="s">
        <v>434</v>
      </c>
      <c r="D50" s="139"/>
      <c r="E50" s="138" t="s">
        <v>1086</v>
      </c>
    </row>
    <row r="51" spans="1:6">
      <c r="A51" s="136" t="s">
        <v>1087</v>
      </c>
      <c r="B51" s="136"/>
      <c r="C51" s="136"/>
      <c r="D51" s="136"/>
      <c r="E51" s="136"/>
    </row>
    <row r="52" ht="90" customHeight="1" spans="1:6">
      <c r="A52" s="138" t="s">
        <v>1088</v>
      </c>
      <c r="B52" s="139"/>
      <c r="C52" s="139" t="s">
        <v>434</v>
      </c>
      <c r="D52" s="139"/>
      <c r="E52" s="138" t="s">
        <v>1089</v>
      </c>
    </row>
    <row r="53" ht="45" customHeight="1" spans="1:6">
      <c r="A53" s="138" t="s">
        <v>1090</v>
      </c>
      <c r="B53" s="139" t="s">
        <v>434</v>
      </c>
      <c r="C53" s="139"/>
      <c r="D53" s="139"/>
      <c r="E53" s="138" t="s">
        <v>1091</v>
      </c>
    </row>
    <row r="54" ht="30" customHeight="1" spans="1:6">
      <c r="A54" s="138" t="s">
        <v>1092</v>
      </c>
      <c r="B54" s="139" t="s">
        <v>434</v>
      </c>
      <c r="C54" s="139"/>
      <c r="D54" s="139"/>
      <c r="E54" s="138" t="s">
        <v>1093</v>
      </c>
    </row>
    <row r="55" ht="60" customHeight="1" spans="1:6">
      <c r="A55" s="138" t="s">
        <v>1094</v>
      </c>
      <c r="B55" s="139" t="s">
        <v>434</v>
      </c>
      <c r="C55" s="139"/>
      <c r="D55" s="139"/>
      <c r="E55" s="138" t="s">
        <v>1095</v>
      </c>
    </row>
    <row r="56" ht="75" customHeight="1" spans="1:6">
      <c r="A56" s="138" t="s">
        <v>1096</v>
      </c>
      <c r="B56" s="139"/>
      <c r="C56" s="139" t="s">
        <v>434</v>
      </c>
      <c r="D56" s="139"/>
      <c r="E56" s="138" t="s">
        <v>1097</v>
      </c>
    </row>
    <row r="57" ht="90" customHeight="1" spans="1:6">
      <c r="A57" s="138" t="s">
        <v>1098</v>
      </c>
      <c r="B57" s="139"/>
      <c r="C57" s="139" t="s">
        <v>434</v>
      </c>
      <c r="D57" s="139"/>
      <c r="E57" s="138" t="s">
        <v>1099</v>
      </c>
    </row>
    <row r="58" ht="45" customHeight="1" spans="1:6">
      <c r="A58" s="138" t="s">
        <v>1100</v>
      </c>
      <c r="B58" s="139"/>
      <c r="C58" s="139" t="s">
        <v>434</v>
      </c>
      <c r="D58" s="139"/>
      <c r="E58" s="138" t="s">
        <v>1101</v>
      </c>
    </row>
    <row r="59" ht="90" customHeight="1" spans="1:6">
      <c r="A59" s="138" t="s">
        <v>1102</v>
      </c>
      <c r="B59" s="139"/>
      <c r="C59" s="139" t="s">
        <v>434</v>
      </c>
      <c r="D59" s="139"/>
      <c r="E59" s="138" t="s">
        <v>1103</v>
      </c>
    </row>
    <row r="60" ht="75" customHeight="1" spans="1:6">
      <c r="A60" s="138" t="s">
        <v>1104</v>
      </c>
      <c r="B60" s="139"/>
      <c r="C60" s="139" t="s">
        <v>434</v>
      </c>
      <c r="D60" s="139"/>
      <c r="E60" s="138" t="s">
        <v>1105</v>
      </c>
    </row>
    <row r="61" spans="1:6">
      <c r="A61" s="136" t="s">
        <v>519</v>
      </c>
      <c r="B61" s="137">
        <f>COUNTIF(B13:B60,"x")</f>
        <v>19</v>
      </c>
      <c r="C61" s="137">
        <f>COUNTIF(C13:C60,"x")</f>
        <v>19</v>
      </c>
      <c r="D61" s="137">
        <f>COUNTIF(D13:D60,"x")</f>
        <v>2</v>
      </c>
    </row>
    <row r="63" spans="1:6">
      <c r="A63" s="136" t="s">
        <v>1004</v>
      </c>
      <c r="B63" s="140"/>
      <c r="C63" s="140"/>
      <c r="D63" s="140"/>
      <c r="E63" s="140"/>
      <c r="F63" s="141"/>
    </row>
    <row r="64" ht="105" customHeight="1" spans="1:6">
      <c r="A64" s="138" t="s">
        <v>1106</v>
      </c>
      <c r="B64" s="140"/>
      <c r="C64" s="140"/>
      <c r="D64" s="140"/>
      <c r="E64" s="140"/>
      <c r="F64" s="142"/>
    </row>
    <row r="65" spans="1:6">
      <c r="A65" s="136" t="s">
        <v>522</v>
      </c>
      <c r="B65" s="140"/>
      <c r="C65" s="140"/>
      <c r="D65" s="140"/>
      <c r="E65" s="140"/>
      <c r="F65" s="141"/>
    </row>
    <row r="66" ht="150" customHeight="1" spans="1:6">
      <c r="A66" s="138" t="s">
        <v>1107</v>
      </c>
      <c r="B66" s="140"/>
      <c r="C66" s="140"/>
      <c r="D66" s="140"/>
      <c r="E66" s="140"/>
      <c r="F66" s="142"/>
    </row>
    <row r="67" spans="1:6">
      <c r="A67" s="143" t="s">
        <v>524</v>
      </c>
      <c r="B67" s="140"/>
      <c r="C67" s="140"/>
      <c r="D67" s="140"/>
      <c r="E67" s="140"/>
      <c r="F67" s="142"/>
    </row>
    <row r="68" spans="1:6">
      <c r="A68" s="143" t="s">
        <v>525</v>
      </c>
      <c r="B68" s="140"/>
      <c r="C68" s="140"/>
      <c r="D68" s="140"/>
      <c r="E68" s="140"/>
      <c r="F68" s="142"/>
    </row>
    <row r="69" spans="1:6">
      <c r="A69" s="143" t="s">
        <v>526</v>
      </c>
      <c r="B69" s="140"/>
      <c r="C69" s="140"/>
      <c r="D69" s="140"/>
      <c r="E69" s="140"/>
      <c r="F69" s="142"/>
    </row>
  </sheetData>
  <mergeCells count="16">
    <mergeCell ref="A1:F1"/>
    <mergeCell ref="B3:F3"/>
    <mergeCell ref="B4:F4"/>
    <mergeCell ref="B5:F5"/>
    <mergeCell ref="B6:F6"/>
    <mergeCell ref="B7:F7"/>
    <mergeCell ref="B8:F8"/>
    <mergeCell ref="B9:F9"/>
    <mergeCell ref="B10:F10"/>
    <mergeCell ref="A63:F63"/>
    <mergeCell ref="A64:F64"/>
    <mergeCell ref="A65:F65"/>
    <mergeCell ref="A66:F66"/>
    <mergeCell ref="A67:F67"/>
    <mergeCell ref="A68:F68"/>
    <mergeCell ref="A69:F69"/>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8"/>
  <sheetViews>
    <sheetView workbookViewId="0">
      <selection activeCell="A1" sqref="A1:C1"/>
    </sheetView>
  </sheetViews>
  <sheetFormatPr defaultColWidth="9" defaultRowHeight="15"/>
  <cols>
    <col min="1" max="1" width="18" customWidth="1"/>
    <col min="2" max="2" width="34" customWidth="1"/>
    <col min="3" max="3" width="13" customWidth="1"/>
    <col min="4" max="4" width="26" customWidth="1"/>
    <col min="5" max="6" width="40" customWidth="1"/>
    <col min="7" max="7" width="10" customWidth="1"/>
    <col min="8" max="8" width="9" customWidth="1"/>
    <col min="9" max="9" width="36" customWidth="1"/>
  </cols>
  <sheetData>
    <row r="1" spans="1:14">
      <c r="A1" s="107" t="s">
        <v>1108</v>
      </c>
      <c r="B1" s="16"/>
      <c r="C1" s="17"/>
    </row>
    <row r="2" ht="15.75" spans="1:14">
      <c r="A2" s="108" t="s">
        <v>1109</v>
      </c>
      <c r="B2" s="108" t="s">
        <v>13</v>
      </c>
      <c r="C2" s="108" t="s">
        <v>1110</v>
      </c>
    </row>
    <row r="3" ht="15.75" spans="1:14">
      <c r="A3" s="109" t="s">
        <v>1111</v>
      </c>
      <c r="B3" s="16"/>
      <c r="C3" s="17"/>
    </row>
    <row r="4" ht="105" customHeight="1" spans="1:14">
      <c r="A4" s="110" t="s">
        <v>1112</v>
      </c>
      <c r="B4" s="110" t="s">
        <v>1113</v>
      </c>
      <c r="C4" s="111" t="s">
        <v>1114</v>
      </c>
    </row>
    <row r="5" ht="90" customHeight="1" spans="1:14">
      <c r="A5" s="110" t="s">
        <v>1115</v>
      </c>
      <c r="B5" s="110" t="s">
        <v>1116</v>
      </c>
      <c r="C5" s="111" t="s">
        <v>1117</v>
      </c>
    </row>
    <row r="6" ht="90" customHeight="1" spans="1:14">
      <c r="A6" s="110" t="s">
        <v>1118</v>
      </c>
      <c r="B6" s="110" t="s">
        <v>1119</v>
      </c>
      <c r="C6" s="111" t="s">
        <v>1120</v>
      </c>
    </row>
    <row r="7" ht="75" customHeight="1" spans="1:14">
      <c r="A7" s="110" t="s">
        <v>1121</v>
      </c>
      <c r="B7" s="110" t="s">
        <v>1122</v>
      </c>
      <c r="C7" s="111" t="s">
        <v>1123</v>
      </c>
    </row>
    <row r="10" ht="15.75" spans="1:14">
      <c r="A10" s="112" t="s">
        <v>1124</v>
      </c>
      <c r="B10" s="16"/>
      <c r="C10" s="16"/>
      <c r="D10" s="16"/>
      <c r="E10" s="16"/>
      <c r="F10" s="16"/>
      <c r="G10" s="16"/>
      <c r="H10" s="16"/>
      <c r="I10" s="16"/>
      <c r="J10" s="16"/>
      <c r="K10" s="16"/>
      <c r="L10" s="16"/>
      <c r="M10" s="16"/>
      <c r="N10" s="17"/>
    </row>
    <row r="11" ht="45" customHeight="1" spans="1:14">
      <c r="A11" s="113" t="s">
        <v>1125</v>
      </c>
      <c r="B11" s="113" t="s">
        <v>1126</v>
      </c>
      <c r="C11" s="113" t="s">
        <v>1127</v>
      </c>
      <c r="D11" s="113" t="s">
        <v>1128</v>
      </c>
      <c r="E11" s="113" t="s">
        <v>1129</v>
      </c>
      <c r="F11" s="113" t="s">
        <v>1130</v>
      </c>
      <c r="G11" s="113" t="s">
        <v>1131</v>
      </c>
      <c r="H11" s="113" t="s">
        <v>1132</v>
      </c>
      <c r="I11" s="113" t="s">
        <v>1133</v>
      </c>
      <c r="J11" s="113" t="s">
        <v>1134</v>
      </c>
      <c r="K11" s="113" t="s">
        <v>1135</v>
      </c>
      <c r="L11" s="113" t="s">
        <v>1136</v>
      </c>
      <c r="M11" s="113" t="s">
        <v>1137</v>
      </c>
      <c r="N11" s="113" t="s">
        <v>1138</v>
      </c>
    </row>
    <row r="12" customHeight="1" spans="1:14">
      <c r="A12" s="114" t="s">
        <v>1112</v>
      </c>
      <c r="B12" s="114" t="s">
        <v>1113</v>
      </c>
      <c r="C12" s="115">
        <f>COUNTIF($A$60:$A$88,"UI_PH1_FR01_*")</f>
        <v>8</v>
      </c>
      <c r="D12" s="115">
        <f>COUNTIFS($A$60:$A$88,"UI_PH1_FR01_*",$G$60:$G$88,"Pending")</f>
        <v>0</v>
      </c>
      <c r="E12" s="115">
        <f>COUNTIFS($A$60:$A$88,"UI_PH1_FR01_*",$G$60:$G$88,"Pass")</f>
        <v>8</v>
      </c>
      <c r="F12" s="115">
        <f>COUNTIFS($A$60:$A$88,"UI_PH1_FR01_*",$G$60:$G$88,"Fail")</f>
        <v>0</v>
      </c>
      <c r="G12" s="115">
        <f>SUMIFS($H$60:$H$88,$A$60:$A$88,"UI_PH1_FR01_*")</f>
        <v>0</v>
      </c>
      <c r="H12" s="116">
        <f>IFERROR(E12/C12,0)</f>
        <v>1</v>
      </c>
      <c r="I12" s="115">
        <f>COUNTIFS($A$60:$A$88,"UI_PH1_FR01_*",$C$60:$C$88,"UI/UX")</f>
        <v>2</v>
      </c>
      <c r="J12" s="115">
        <f>COUNTIFS($A$60:$A$88,"UI_PH1_FR01_*",$C$60:$C$88,"Function")</f>
        <v>2</v>
      </c>
      <c r="K12" s="115">
        <f>COUNTIFS($A$60:$A$88,"UI_PH1_FR01_*",$C$60:$C$88,"Negative")</f>
        <v>4</v>
      </c>
      <c r="L12" s="115">
        <f>SUMIFS($H$60:$H$88,$A$60:$A$88,"UI_PH1_FR01_*",$C$60:$C$88,"UI/UX")</f>
        <v>0</v>
      </c>
      <c r="M12" s="115">
        <f>SUMIFS($H$60:$H$88,$A$60:$A$88,"UI_PH1_FR01_*",$C$60:$C$88,"Function")</f>
        <v>0</v>
      </c>
      <c r="N12" s="115">
        <f>SUMIFS($H$60:$H$88,$A$60:$A$88,"UI_PH1_FR01_*",$C$60:$C$88,"Negative")</f>
        <v>0</v>
      </c>
    </row>
    <row r="13" customHeight="1" spans="1:14">
      <c r="A13" s="114" t="s">
        <v>1115</v>
      </c>
      <c r="B13" s="114" t="s">
        <v>1116</v>
      </c>
      <c r="C13" s="115">
        <f>COUNTIF($A$60:$A$88,"UI_PH1_FR02_*")</f>
        <v>8</v>
      </c>
      <c r="D13" s="115">
        <f>COUNTIFS($A$60:$A$88,"UI_PH1_FR02_*",$G$60:$G$88,"Pending")</f>
        <v>0</v>
      </c>
      <c r="E13" s="115">
        <f>COUNTIFS($A$60:$A$88,"UI_PH1_FR02_*",$G$60:$G$88,"Pass")</f>
        <v>5</v>
      </c>
      <c r="F13" s="115">
        <f>COUNTIFS($A$60:$A$88,"UI_PH1_FR02_*",$G$60:$G$88,"Fail")</f>
        <v>3</v>
      </c>
      <c r="G13" s="115">
        <f>SUMIFS($H$60:$H$88,$A$60:$A$88,"UI_PH1_FR02_*")</f>
        <v>3</v>
      </c>
      <c r="H13" s="116">
        <f>IFERROR(E13/C13,0)</f>
        <v>0.625</v>
      </c>
      <c r="I13" s="115">
        <f>COUNTIFS($A$60:$A$88,"UI_PH1_FR02_*",$C$60:$C$88,"UI/UX")</f>
        <v>2</v>
      </c>
      <c r="J13" s="115">
        <f>COUNTIFS($A$60:$A$88,"UI_PH1_FR02_*",$C$60:$C$88,"Function")</f>
        <v>2</v>
      </c>
      <c r="K13" s="115">
        <f>COUNTIFS($A$60:$A$88,"UI_PH1_FR02_*",$C$60:$C$88,"Negative")</f>
        <v>4</v>
      </c>
      <c r="L13" s="115">
        <f>SUMIFS($H$60:$H$88,$A$60:$A$88,"UI_PH1_FR02_*",$C$60:$C$88,"UI/UX")</f>
        <v>1</v>
      </c>
      <c r="M13" s="115">
        <f>SUMIFS($H$60:$H$88,$A$60:$A$88,"UI_PH1_FR02_*",$C$60:$C$88,"Function")</f>
        <v>1</v>
      </c>
      <c r="N13" s="115">
        <f>SUMIFS($H$60:$H$88,$A$60:$A$88,"UI_PH1_FR02_*",$C$60:$C$88,"Negative")</f>
        <v>1</v>
      </c>
    </row>
    <row r="14" customHeight="1" spans="1:14">
      <c r="A14" s="114" t="s">
        <v>1118</v>
      </c>
      <c r="B14" s="114" t="s">
        <v>1119</v>
      </c>
      <c r="C14" s="115">
        <f>COUNTIF($A$60:$A$88,"UI_PH1_FR03_*")</f>
        <v>5</v>
      </c>
      <c r="D14" s="115">
        <f>COUNTIFS($A$60:$A$88,"UI_PH1_FR03_*",$G$60:$G$88,"Pending")</f>
        <v>0</v>
      </c>
      <c r="E14" s="115">
        <f>COUNTIFS($A$60:$A$88,"UI_PH1_FR03_*",$G$60:$G$88,"Pass")</f>
        <v>4</v>
      </c>
      <c r="F14" s="115">
        <f>COUNTIFS($A$60:$A$88,"UI_PH1_FR03_*",$G$60:$G$88,"Fail")</f>
        <v>1</v>
      </c>
      <c r="G14" s="115">
        <f>SUMIFS($H$60:$H$88,$A$60:$A$88,"UI_PH1_FR03_*")</f>
        <v>1</v>
      </c>
      <c r="H14" s="116">
        <f>IFERROR(E14/C14,0)</f>
        <v>0.8</v>
      </c>
      <c r="I14" s="115">
        <f>COUNTIFS($A$60:$A$88,"UI_PH1_FR03_*",$C$60:$C$88,"UI/UX")</f>
        <v>0</v>
      </c>
      <c r="J14" s="115">
        <f>COUNTIFS($A$60:$A$88,"UI_PH1_FR03_*",$C$60:$C$88,"Function")</f>
        <v>1</v>
      </c>
      <c r="K14" s="115">
        <f>COUNTIFS($A$60:$A$88,"UI_PH1_FR03_*",$C$60:$C$88,"Negative")</f>
        <v>4</v>
      </c>
      <c r="L14" s="115">
        <f>SUMIFS($H$60:$H$88,$A$60:$A$88,"UI_PH1_FR03_*",$C$60:$C$88,"UI/UX")</f>
        <v>0</v>
      </c>
      <c r="M14" s="115">
        <f>SUMIFS($H$60:$H$88,$A$60:$A$88,"UI_PH1_FR03_*",$C$60:$C$88,"Function")</f>
        <v>0</v>
      </c>
      <c r="N14" s="115">
        <f>SUMIFS($H$60:$H$88,$A$60:$A$88,"UI_PH1_FR03_*",$C$60:$C$88,"Negative")</f>
        <v>1</v>
      </c>
    </row>
    <row r="15" customHeight="1" spans="1:14">
      <c r="A15" s="114" t="s">
        <v>1121</v>
      </c>
      <c r="B15" s="114" t="s">
        <v>1122</v>
      </c>
      <c r="C15" s="115">
        <f>COUNTIF($A$60:$A$88,"UI_PH1_FR04_*")</f>
        <v>4</v>
      </c>
      <c r="D15" s="115">
        <f>COUNTIFS($A$60:$A$88,"UI_PH1_FR04_*",$G$60:$G$88,"Pending")</f>
        <v>0</v>
      </c>
      <c r="E15" s="115">
        <f>COUNTIFS($A$60:$A$88,"UI_PH1_FR04_*",$G$60:$G$88,"Pass")</f>
        <v>4</v>
      </c>
      <c r="F15" s="115">
        <f>COUNTIFS($A$60:$A$88,"UI_PH1_FR04_*",$G$60:$G$88,"Fail")</f>
        <v>0</v>
      </c>
      <c r="G15" s="115">
        <f>SUMIFS($H$60:$H$88,$A$60:$A$88,"UI_PH1_FR04_*")</f>
        <v>0</v>
      </c>
      <c r="H15" s="116">
        <f>IFERROR(E15/C15,0)</f>
        <v>1</v>
      </c>
      <c r="I15" s="115">
        <f>COUNTIFS($A$60:$A$88,"UI_PH1_FR04_*",$C$60:$C$88,"UI/UX")</f>
        <v>1</v>
      </c>
      <c r="J15" s="115">
        <f>COUNTIFS($A$60:$A$88,"UI_PH1_FR04_*",$C$60:$C$88,"Function")</f>
        <v>2</v>
      </c>
      <c r="K15" s="115">
        <f>COUNTIFS($A$60:$A$88,"UI_PH1_FR04_*",$C$60:$C$88,"Negative")</f>
        <v>1</v>
      </c>
      <c r="L15" s="115">
        <f>SUMIFS($H$60:$H$88,$A$60:$A$88,"UI_PH1_FR04_*",$C$60:$C$88,"UI/UX")</f>
        <v>0</v>
      </c>
      <c r="M15" s="115">
        <f>SUMIFS($H$60:$H$88,$A$60:$A$88,"UI_PH1_FR04_*",$C$60:$C$88,"Function")</f>
        <v>0</v>
      </c>
      <c r="N15" s="115">
        <f>SUMIFS($H$60:$H$88,$A$60:$A$88,"UI_PH1_FR04_*",$C$60:$C$88,"Negative")</f>
        <v>0</v>
      </c>
    </row>
    <row r="16" ht="15.75" spans="1:14">
      <c r="A16" s="117" t="s">
        <v>1127</v>
      </c>
      <c r="B16" s="117" t="s">
        <v>7</v>
      </c>
      <c r="C16" s="118">
        <f>SUM(C12:C15)</f>
        <v>25</v>
      </c>
      <c r="D16" s="118">
        <f>SUM(D12:D15)</f>
        <v>0</v>
      </c>
      <c r="E16" s="118">
        <f>SUM(E12:E15)</f>
        <v>21</v>
      </c>
      <c r="F16" s="118">
        <f>SUM(F12:F15)</f>
        <v>4</v>
      </c>
      <c r="G16" s="118">
        <f>SUM(G12:G15)</f>
        <v>4</v>
      </c>
      <c r="H16" s="119">
        <f>IFERROR(E16/C16,0)</f>
        <v>0.84</v>
      </c>
      <c r="I16" s="118">
        <f t="shared" ref="I16:N16" si="0">SUM(I12:I15)</f>
        <v>5</v>
      </c>
      <c r="J16" s="118">
        <f t="shared" si="0"/>
        <v>7</v>
      </c>
      <c r="K16" s="118">
        <f t="shared" si="0"/>
        <v>13</v>
      </c>
      <c r="L16" s="118">
        <f t="shared" si="0"/>
        <v>1</v>
      </c>
      <c r="M16" s="118">
        <f t="shared" si="0"/>
        <v>1</v>
      </c>
      <c r="N16" s="118">
        <f t="shared" si="0"/>
        <v>2</v>
      </c>
    </row>
    <row r="19" ht="15.75" spans="1:5">
      <c r="A19" s="120" t="s">
        <v>1139</v>
      </c>
      <c r="B19" s="110" t="s">
        <v>1112</v>
      </c>
    </row>
    <row r="20" ht="15.75" spans="1:5">
      <c r="A20" s="120" t="s">
        <v>1140</v>
      </c>
      <c r="B20" s="110" t="s">
        <v>1113</v>
      </c>
    </row>
    <row r="21" ht="15.75" spans="1:5">
      <c r="A21" s="120" t="s">
        <v>1141</v>
      </c>
      <c r="B21" s="110" t="s">
        <v>7</v>
      </c>
    </row>
    <row r="22" ht="15.75" spans="1:5">
      <c r="A22" s="121" t="s">
        <v>1129</v>
      </c>
      <c r="B22" s="122">
        <f>E12</f>
        <v>8</v>
      </c>
      <c r="D22" s="121" t="s">
        <v>1133</v>
      </c>
      <c r="E22" s="122">
        <f>I12</f>
        <v>2</v>
      </c>
    </row>
    <row r="23" ht="15.75" spans="1:5">
      <c r="A23" s="121" t="s">
        <v>1130</v>
      </c>
      <c r="B23" s="122">
        <f>F12</f>
        <v>0</v>
      </c>
      <c r="D23" s="121" t="s">
        <v>1134</v>
      </c>
      <c r="E23" s="122">
        <f>J12</f>
        <v>2</v>
      </c>
    </row>
    <row r="24" ht="15.75" spans="1:5">
      <c r="A24" s="121" t="s">
        <v>1128</v>
      </c>
      <c r="B24" s="122">
        <f>D12</f>
        <v>0</v>
      </c>
      <c r="D24" s="121" t="s">
        <v>1135</v>
      </c>
      <c r="E24" s="122">
        <f>K12</f>
        <v>4</v>
      </c>
    </row>
    <row r="25" ht="15.75" spans="1:5">
      <c r="A25" s="121" t="s">
        <v>1131</v>
      </c>
      <c r="B25" s="122">
        <f>G12</f>
        <v>0</v>
      </c>
      <c r="D25" s="121" t="s">
        <v>1127</v>
      </c>
      <c r="E25" s="122">
        <f>C12</f>
        <v>8</v>
      </c>
    </row>
    <row r="26" ht="15.75" spans="1:5">
      <c r="A26" s="120" t="s">
        <v>1139</v>
      </c>
      <c r="B26" s="110" t="s">
        <v>1115</v>
      </c>
    </row>
    <row r="27" ht="15.75" spans="1:5">
      <c r="A27" s="120" t="s">
        <v>1140</v>
      </c>
      <c r="B27" s="110" t="s">
        <v>1116</v>
      </c>
    </row>
    <row r="28" ht="15.75" spans="1:5">
      <c r="A28" s="120" t="s">
        <v>1141</v>
      </c>
      <c r="B28" s="110" t="s">
        <v>7</v>
      </c>
    </row>
    <row r="29" ht="15.75" spans="1:5">
      <c r="A29" s="121" t="s">
        <v>1129</v>
      </c>
      <c r="B29" s="122">
        <f>E13</f>
        <v>5</v>
      </c>
      <c r="D29" s="121" t="s">
        <v>1133</v>
      </c>
      <c r="E29" s="122">
        <f>I13</f>
        <v>2</v>
      </c>
    </row>
    <row r="30" ht="15.75" spans="1:5">
      <c r="A30" s="121" t="s">
        <v>1130</v>
      </c>
      <c r="B30" s="122">
        <f>F13</f>
        <v>3</v>
      </c>
      <c r="D30" s="121" t="s">
        <v>1134</v>
      </c>
      <c r="E30" s="122">
        <f>J13</f>
        <v>2</v>
      </c>
    </row>
    <row r="31" ht="15.75" spans="1:5">
      <c r="A31" s="121" t="s">
        <v>1128</v>
      </c>
      <c r="B31" s="122">
        <f>D13</f>
        <v>0</v>
      </c>
      <c r="D31" s="121" t="s">
        <v>1135</v>
      </c>
      <c r="E31" s="122">
        <f>K13</f>
        <v>4</v>
      </c>
    </row>
    <row r="32" ht="15.75" spans="1:5">
      <c r="A32" s="121" t="s">
        <v>1131</v>
      </c>
      <c r="B32" s="122">
        <f>G13</f>
        <v>3</v>
      </c>
      <c r="D32" s="121" t="s">
        <v>1127</v>
      </c>
      <c r="E32" s="122">
        <f>C13</f>
        <v>8</v>
      </c>
    </row>
    <row r="33" ht="15.75" spans="1:9">
      <c r="A33" s="120" t="s">
        <v>1139</v>
      </c>
      <c r="B33" s="110" t="s">
        <v>1118</v>
      </c>
    </row>
    <row r="34" ht="15.75" spans="1:9">
      <c r="A34" s="120" t="s">
        <v>1140</v>
      </c>
      <c r="B34" s="110" t="s">
        <v>1119</v>
      </c>
    </row>
    <row r="35" ht="15.75" spans="1:9">
      <c r="A35" s="120" t="s">
        <v>1141</v>
      </c>
      <c r="B35" s="110" t="s">
        <v>7</v>
      </c>
    </row>
    <row r="36" ht="15.75" spans="1:9">
      <c r="A36" s="121" t="s">
        <v>1129</v>
      </c>
      <c r="B36" s="122">
        <f>E14</f>
        <v>4</v>
      </c>
      <c r="D36" s="121" t="s">
        <v>1133</v>
      </c>
      <c r="E36" s="122">
        <f>I14</f>
        <v>0</v>
      </c>
    </row>
    <row r="37" ht="15.75" spans="1:9">
      <c r="A37" s="121" t="s">
        <v>1130</v>
      </c>
      <c r="B37" s="122">
        <f>F14</f>
        <v>1</v>
      </c>
      <c r="D37" s="121" t="s">
        <v>1134</v>
      </c>
      <c r="E37" s="122">
        <f>J14</f>
        <v>1</v>
      </c>
    </row>
    <row r="38" ht="15.75" spans="1:9">
      <c r="A38" s="121" t="s">
        <v>1128</v>
      </c>
      <c r="B38" s="122">
        <f>D14</f>
        <v>0</v>
      </c>
      <c r="D38" s="121" t="s">
        <v>1135</v>
      </c>
      <c r="E38" s="122">
        <f>K14</f>
        <v>4</v>
      </c>
    </row>
    <row r="39" ht="15.75" spans="1:9">
      <c r="A39" s="121" t="s">
        <v>1131</v>
      </c>
      <c r="B39" s="122">
        <f>G14</f>
        <v>1</v>
      </c>
      <c r="D39" s="121" t="s">
        <v>1127</v>
      </c>
      <c r="E39" s="122">
        <f>C14</f>
        <v>5</v>
      </c>
    </row>
    <row r="40" ht="15.75" spans="1:9">
      <c r="A40" s="120" t="s">
        <v>1139</v>
      </c>
      <c r="B40" s="110" t="s">
        <v>1121</v>
      </c>
    </row>
    <row r="41" ht="15.75" spans="1:9">
      <c r="A41" s="120" t="s">
        <v>1140</v>
      </c>
      <c r="B41" s="110" t="s">
        <v>1122</v>
      </c>
    </row>
    <row r="42" ht="15.75" spans="1:9">
      <c r="A42" s="120" t="s">
        <v>1141</v>
      </c>
      <c r="B42" s="110" t="s">
        <v>7</v>
      </c>
    </row>
    <row r="43" ht="15.75" spans="1:9">
      <c r="A43" s="121" t="s">
        <v>1129</v>
      </c>
      <c r="B43" s="122">
        <f>E15</f>
        <v>4</v>
      </c>
      <c r="D43" s="121" t="s">
        <v>1133</v>
      </c>
      <c r="E43" s="122">
        <f>I15</f>
        <v>1</v>
      </c>
    </row>
    <row r="44" ht="15.75" spans="1:9">
      <c r="A44" s="121" t="s">
        <v>1130</v>
      </c>
      <c r="B44" s="122">
        <f>F15</f>
        <v>0</v>
      </c>
      <c r="D44" s="121" t="s">
        <v>1134</v>
      </c>
      <c r="E44" s="122">
        <f>J15</f>
        <v>2</v>
      </c>
    </row>
    <row r="45" ht="15.75" spans="1:9">
      <c r="A45" s="121" t="s">
        <v>1128</v>
      </c>
      <c r="B45" s="122">
        <f>D15</f>
        <v>0</v>
      </c>
      <c r="D45" s="121" t="s">
        <v>1135</v>
      </c>
      <c r="E45" s="122">
        <f>K15</f>
        <v>1</v>
      </c>
    </row>
    <row r="46" ht="15.75" spans="1:9">
      <c r="A46" s="121" t="s">
        <v>1131</v>
      </c>
      <c r="B46" s="122">
        <f>G15</f>
        <v>0</v>
      </c>
      <c r="D46" s="121" t="s">
        <v>1127</v>
      </c>
      <c r="E46" s="122">
        <f>C15</f>
        <v>4</v>
      </c>
    </row>
    <row r="47" ht="15.75" spans="1:9">
      <c r="A47" s="123" t="s">
        <v>1142</v>
      </c>
      <c r="B47" s="16"/>
      <c r="C47" s="16"/>
      <c r="D47" s="16"/>
      <c r="E47" s="16"/>
      <c r="F47" s="16"/>
      <c r="G47" s="16"/>
      <c r="H47" s="16"/>
      <c r="I47" s="17"/>
    </row>
    <row r="48" ht="15.75" spans="1:9">
      <c r="A48" s="124" t="s">
        <v>1143</v>
      </c>
      <c r="B48" s="16"/>
      <c r="C48" s="16"/>
      <c r="D48" s="16"/>
      <c r="E48" s="16"/>
      <c r="F48" s="16"/>
      <c r="G48" s="16"/>
      <c r="H48" s="16"/>
      <c r="I48" s="17"/>
    </row>
    <row r="49" ht="60" customHeight="1" spans="1:9">
      <c r="A49" s="310" t="s">
        <v>1144</v>
      </c>
      <c r="B49" s="16"/>
      <c r="C49" s="16"/>
      <c r="D49" s="16"/>
      <c r="E49" s="16"/>
      <c r="F49" s="16"/>
      <c r="G49" s="16"/>
      <c r="H49" s="16"/>
      <c r="I49" s="17"/>
    </row>
    <row r="50" ht="15.75" spans="1:9">
      <c r="A50" s="124" t="s">
        <v>1145</v>
      </c>
      <c r="B50" s="16"/>
      <c r="C50" s="16"/>
      <c r="D50" s="16"/>
      <c r="E50" s="16"/>
      <c r="F50" s="16"/>
      <c r="G50" s="16"/>
      <c r="H50" s="16"/>
      <c r="I50" s="17"/>
    </row>
    <row r="51" ht="135" customHeight="1" spans="1:9">
      <c r="A51" s="310" t="s">
        <v>1146</v>
      </c>
      <c r="B51" s="16"/>
      <c r="C51" s="16"/>
      <c r="D51" s="16"/>
      <c r="E51" s="16"/>
      <c r="F51" s="16"/>
      <c r="G51" s="16"/>
      <c r="H51" s="16"/>
      <c r="I51" s="17"/>
    </row>
    <row r="52" ht="15.75" spans="1:9">
      <c r="A52" s="124" t="s">
        <v>1147</v>
      </c>
      <c r="B52" s="16"/>
      <c r="C52" s="16"/>
      <c r="D52" s="16"/>
      <c r="E52" s="16"/>
      <c r="F52" s="16"/>
      <c r="G52" s="16"/>
      <c r="H52" s="16"/>
      <c r="I52" s="17"/>
    </row>
    <row r="53" ht="75" customHeight="1" spans="1:9">
      <c r="A53" s="310" t="s">
        <v>1148</v>
      </c>
      <c r="B53" s="16"/>
      <c r="C53" s="16"/>
      <c r="D53" s="16"/>
      <c r="E53" s="16"/>
      <c r="F53" s="16"/>
      <c r="G53" s="16"/>
      <c r="H53" s="16"/>
      <c r="I53" s="17"/>
    </row>
    <row r="54" ht="15.75" spans="1:9">
      <c r="A54" s="124" t="s">
        <v>1149</v>
      </c>
      <c r="B54" s="16"/>
      <c r="C54" s="16"/>
      <c r="D54" s="16"/>
      <c r="E54" s="16"/>
      <c r="F54" s="16"/>
      <c r="G54" s="16"/>
      <c r="H54" s="16"/>
      <c r="I54" s="17"/>
    </row>
    <row r="55" ht="45" customHeight="1" spans="1:9">
      <c r="A55" s="310" t="s">
        <v>1150</v>
      </c>
      <c r="B55" s="16"/>
      <c r="C55" s="16"/>
      <c r="D55" s="16"/>
      <c r="E55" s="16"/>
      <c r="F55" s="16"/>
      <c r="G55" s="16"/>
      <c r="H55" s="16"/>
      <c r="I55" s="17"/>
    </row>
    <row r="59" ht="15.75" spans="1:9">
      <c r="A59" s="126" t="s">
        <v>1109</v>
      </c>
      <c r="B59" s="126" t="s">
        <v>1151</v>
      </c>
      <c r="C59" s="126" t="s">
        <v>1152</v>
      </c>
      <c r="D59" s="126" t="s">
        <v>1153</v>
      </c>
      <c r="E59" s="126" t="s">
        <v>1154</v>
      </c>
      <c r="F59" s="126" t="s">
        <v>1155</v>
      </c>
      <c r="G59" s="126" t="s">
        <v>1156</v>
      </c>
      <c r="H59" s="126" t="s">
        <v>1131</v>
      </c>
      <c r="I59" s="126" t="s">
        <v>1157</v>
      </c>
    </row>
    <row r="60" ht="15.75" spans="1:9">
      <c r="A60" s="127" t="s">
        <v>1158</v>
      </c>
      <c r="B60" s="16"/>
      <c r="C60" s="16"/>
      <c r="D60" s="16"/>
      <c r="E60" s="16"/>
      <c r="F60" s="16"/>
      <c r="G60" s="16"/>
      <c r="H60" s="16"/>
      <c r="I60" s="17"/>
    </row>
    <row r="61" ht="90" customHeight="1" spans="1:9">
      <c r="A61" s="111" t="s">
        <v>1159</v>
      </c>
      <c r="B61" s="111" t="s">
        <v>1160</v>
      </c>
      <c r="C61" s="122" t="s">
        <v>1133</v>
      </c>
      <c r="D61" s="111" t="s">
        <v>1161</v>
      </c>
      <c r="E61" s="111" t="s">
        <v>1162</v>
      </c>
      <c r="F61" s="111" t="s">
        <v>1163</v>
      </c>
      <c r="G61" s="122" t="s">
        <v>1129</v>
      </c>
      <c r="H61" s="122"/>
      <c r="I61" s="111" t="s">
        <v>7</v>
      </c>
    </row>
    <row r="62" ht="60" customHeight="1" spans="1:9">
      <c r="A62" s="111" t="s">
        <v>1164</v>
      </c>
      <c r="B62" s="111" t="s">
        <v>1165</v>
      </c>
      <c r="C62" s="122" t="s">
        <v>1134</v>
      </c>
      <c r="D62" s="111" t="s">
        <v>1166</v>
      </c>
      <c r="E62" s="111" t="s">
        <v>1167</v>
      </c>
      <c r="F62" s="111" t="s">
        <v>1168</v>
      </c>
      <c r="G62" s="122" t="s">
        <v>1129</v>
      </c>
      <c r="H62" s="122"/>
      <c r="I62" s="111" t="s">
        <v>7</v>
      </c>
    </row>
    <row r="63" ht="45" customHeight="1" spans="1:9">
      <c r="A63" s="111" t="s">
        <v>1169</v>
      </c>
      <c r="B63" s="111" t="s">
        <v>1170</v>
      </c>
      <c r="C63" s="122" t="s">
        <v>1135</v>
      </c>
      <c r="D63" s="111" t="s">
        <v>1171</v>
      </c>
      <c r="E63" s="111" t="s">
        <v>1172</v>
      </c>
      <c r="F63" s="111" t="s">
        <v>1173</v>
      </c>
      <c r="G63" s="122" t="s">
        <v>1129</v>
      </c>
      <c r="H63" s="122"/>
      <c r="I63" s="111" t="s">
        <v>1174</v>
      </c>
    </row>
    <row r="64" ht="45" customHeight="1" spans="1:9">
      <c r="A64" s="111" t="s">
        <v>1175</v>
      </c>
      <c r="B64" s="111" t="s">
        <v>1176</v>
      </c>
      <c r="C64" s="122" t="s">
        <v>1135</v>
      </c>
      <c r="D64" s="111" t="s">
        <v>1177</v>
      </c>
      <c r="E64" s="111" t="s">
        <v>1178</v>
      </c>
      <c r="F64" s="111" t="s">
        <v>1179</v>
      </c>
      <c r="G64" s="122" t="s">
        <v>1129</v>
      </c>
      <c r="H64" s="122"/>
      <c r="I64" s="111" t="s">
        <v>7</v>
      </c>
    </row>
    <row r="65" ht="60" customHeight="1" spans="1:9">
      <c r="A65" s="111" t="s">
        <v>1180</v>
      </c>
      <c r="B65" s="111" t="s">
        <v>1181</v>
      </c>
      <c r="C65" s="122" t="s">
        <v>1133</v>
      </c>
      <c r="D65" s="111" t="s">
        <v>1182</v>
      </c>
      <c r="E65" s="111" t="s">
        <v>1183</v>
      </c>
      <c r="F65" s="111" t="s">
        <v>1184</v>
      </c>
      <c r="G65" s="122" t="s">
        <v>1129</v>
      </c>
      <c r="H65" s="122"/>
      <c r="I65" s="111" t="s">
        <v>7</v>
      </c>
    </row>
    <row r="66" ht="45" customHeight="1" spans="1:9">
      <c r="A66" s="111" t="s">
        <v>1185</v>
      </c>
      <c r="B66" s="111" t="s">
        <v>1186</v>
      </c>
      <c r="C66" s="122" t="s">
        <v>1135</v>
      </c>
      <c r="D66" s="111" t="s">
        <v>1187</v>
      </c>
      <c r="E66" s="111" t="s">
        <v>1188</v>
      </c>
      <c r="F66" s="111" t="s">
        <v>1189</v>
      </c>
      <c r="G66" s="122" t="s">
        <v>1129</v>
      </c>
      <c r="H66" s="122"/>
      <c r="I66" s="111" t="s">
        <v>7</v>
      </c>
    </row>
    <row r="67" ht="75" customHeight="1" spans="1:9">
      <c r="A67" s="111" t="s">
        <v>1190</v>
      </c>
      <c r="B67" s="111" t="s">
        <v>1191</v>
      </c>
      <c r="C67" s="122" t="s">
        <v>1135</v>
      </c>
      <c r="D67" s="111" t="s">
        <v>1192</v>
      </c>
      <c r="E67" s="111" t="s">
        <v>1193</v>
      </c>
      <c r="F67" s="111" t="s">
        <v>1194</v>
      </c>
      <c r="G67" s="122" t="s">
        <v>1129</v>
      </c>
      <c r="H67" s="122"/>
      <c r="I67" s="111" t="s">
        <v>1195</v>
      </c>
    </row>
    <row r="68" ht="45" customHeight="1" spans="1:9">
      <c r="A68" s="111" t="s">
        <v>1196</v>
      </c>
      <c r="B68" s="111" t="s">
        <v>1197</v>
      </c>
      <c r="C68" s="122" t="s">
        <v>1134</v>
      </c>
      <c r="D68" s="111" t="s">
        <v>1198</v>
      </c>
      <c r="E68" s="111" t="s">
        <v>1199</v>
      </c>
      <c r="F68" s="111" t="s">
        <v>1200</v>
      </c>
      <c r="G68" s="122" t="s">
        <v>1129</v>
      </c>
      <c r="H68" s="122"/>
      <c r="I68" s="111" t="s">
        <v>7</v>
      </c>
    </row>
    <row r="69" ht="15.75" spans="1:9">
      <c r="A69" s="127" t="s">
        <v>1201</v>
      </c>
      <c r="B69" s="16"/>
      <c r="C69" s="16"/>
      <c r="D69" s="16"/>
      <c r="E69" s="16"/>
      <c r="F69" s="16"/>
      <c r="G69" s="16"/>
      <c r="H69" s="16"/>
      <c r="I69" s="17"/>
    </row>
    <row r="70" ht="60" customHeight="1" spans="1:9">
      <c r="A70" s="111" t="s">
        <v>1202</v>
      </c>
      <c r="B70" s="111" t="s">
        <v>1203</v>
      </c>
      <c r="C70" s="122" t="s">
        <v>1133</v>
      </c>
      <c r="D70" s="111" t="s">
        <v>1204</v>
      </c>
      <c r="E70" s="111" t="s">
        <v>1205</v>
      </c>
      <c r="F70" s="111" t="s">
        <v>1206</v>
      </c>
      <c r="G70" s="122" t="s">
        <v>1129</v>
      </c>
      <c r="H70" s="122"/>
      <c r="I70" s="111" t="s">
        <v>7</v>
      </c>
    </row>
    <row r="71" ht="105" customHeight="1" spans="1:9">
      <c r="A71" s="111" t="s">
        <v>1207</v>
      </c>
      <c r="B71" s="111" t="s">
        <v>1208</v>
      </c>
      <c r="C71" s="122" t="s">
        <v>1134</v>
      </c>
      <c r="D71" s="111" t="s">
        <v>1209</v>
      </c>
      <c r="E71" s="111" t="s">
        <v>1210</v>
      </c>
      <c r="F71" s="111" t="s">
        <v>1211</v>
      </c>
      <c r="G71" s="122" t="s">
        <v>1130</v>
      </c>
      <c r="H71" s="122">
        <v>1</v>
      </c>
      <c r="I71" s="111" t="s">
        <v>1212</v>
      </c>
    </row>
    <row r="72" ht="45" customHeight="1" spans="1:9">
      <c r="A72" s="111" t="s">
        <v>1213</v>
      </c>
      <c r="B72" s="111" t="s">
        <v>1214</v>
      </c>
      <c r="C72" s="122" t="s">
        <v>1135</v>
      </c>
      <c r="D72" s="111" t="s">
        <v>1215</v>
      </c>
      <c r="E72" s="111" t="s">
        <v>1216</v>
      </c>
      <c r="F72" s="111" t="s">
        <v>1217</v>
      </c>
      <c r="G72" s="122" t="s">
        <v>1129</v>
      </c>
      <c r="H72" s="122"/>
      <c r="I72" s="111" t="s">
        <v>1218</v>
      </c>
    </row>
    <row r="73" ht="75" customHeight="1" spans="1:9">
      <c r="A73" s="111" t="s">
        <v>1219</v>
      </c>
      <c r="B73" s="111" t="s">
        <v>1220</v>
      </c>
      <c r="C73" s="122" t="s">
        <v>1135</v>
      </c>
      <c r="D73" s="111" t="s">
        <v>1221</v>
      </c>
      <c r="E73" s="111" t="s">
        <v>1222</v>
      </c>
      <c r="F73" s="111" t="s">
        <v>1223</v>
      </c>
      <c r="G73" s="122" t="s">
        <v>1129</v>
      </c>
      <c r="H73" s="122"/>
      <c r="I73" s="111" t="s">
        <v>1224</v>
      </c>
    </row>
    <row r="74" ht="60" customHeight="1" spans="1:9">
      <c r="A74" s="111" t="s">
        <v>1225</v>
      </c>
      <c r="B74" s="111" t="s">
        <v>1226</v>
      </c>
      <c r="C74" s="122" t="s">
        <v>1134</v>
      </c>
      <c r="D74" s="111" t="s">
        <v>1227</v>
      </c>
      <c r="E74" s="111" t="s">
        <v>1228</v>
      </c>
      <c r="F74" s="111" t="s">
        <v>1229</v>
      </c>
      <c r="G74" s="122" t="s">
        <v>1129</v>
      </c>
      <c r="H74" s="122"/>
      <c r="I74" s="111" t="s">
        <v>7</v>
      </c>
    </row>
    <row r="75" ht="30" customHeight="1" spans="1:9">
      <c r="A75" s="111" t="s">
        <v>1230</v>
      </c>
      <c r="B75" s="111" t="s">
        <v>1231</v>
      </c>
      <c r="C75" s="122" t="s">
        <v>1135</v>
      </c>
      <c r="D75" s="111" t="s">
        <v>1232</v>
      </c>
      <c r="E75" s="111" t="s">
        <v>1233</v>
      </c>
      <c r="F75" s="111" t="s">
        <v>1234</v>
      </c>
      <c r="G75" s="122" t="s">
        <v>1129</v>
      </c>
      <c r="H75" s="122"/>
      <c r="I75" s="111" t="s">
        <v>7</v>
      </c>
    </row>
    <row r="76" ht="105" customHeight="1" spans="1:9">
      <c r="A76" s="111" t="s">
        <v>1235</v>
      </c>
      <c r="B76" s="111" t="s">
        <v>1236</v>
      </c>
      <c r="C76" s="122" t="s">
        <v>1135</v>
      </c>
      <c r="D76" s="111" t="s">
        <v>1237</v>
      </c>
      <c r="E76" s="111" t="s">
        <v>1238</v>
      </c>
      <c r="F76" s="111" t="s">
        <v>1239</v>
      </c>
      <c r="G76" s="122" t="s">
        <v>1130</v>
      </c>
      <c r="H76" s="122">
        <v>1</v>
      </c>
      <c r="I76" s="111" t="s">
        <v>1240</v>
      </c>
    </row>
    <row r="77" ht="180" customHeight="1" spans="1:9">
      <c r="A77" s="111" t="s">
        <v>1241</v>
      </c>
      <c r="B77" s="111" t="s">
        <v>1242</v>
      </c>
      <c r="C77" s="122" t="s">
        <v>1133</v>
      </c>
      <c r="D77" s="111" t="s">
        <v>1243</v>
      </c>
      <c r="E77" s="111" t="s">
        <v>1244</v>
      </c>
      <c r="F77" s="111" t="s">
        <v>1245</v>
      </c>
      <c r="G77" s="122" t="s">
        <v>1130</v>
      </c>
      <c r="H77" s="122">
        <v>1</v>
      </c>
      <c r="I77" s="111" t="s">
        <v>1246</v>
      </c>
    </row>
    <row r="78" ht="15.75" spans="1:9">
      <c r="A78" s="127" t="s">
        <v>1247</v>
      </c>
      <c r="B78" s="16"/>
      <c r="C78" s="16"/>
      <c r="D78" s="16"/>
      <c r="E78" s="16"/>
      <c r="F78" s="16"/>
      <c r="G78" s="16"/>
      <c r="H78" s="16"/>
      <c r="I78" s="17"/>
    </row>
    <row r="79" ht="30" customHeight="1" spans="1:9">
      <c r="A79" s="111" t="s">
        <v>1248</v>
      </c>
      <c r="B79" s="111" t="s">
        <v>1249</v>
      </c>
      <c r="C79" s="122" t="s">
        <v>1135</v>
      </c>
      <c r="D79" s="111" t="s">
        <v>1250</v>
      </c>
      <c r="E79" s="111" t="s">
        <v>1251</v>
      </c>
      <c r="F79" s="111" t="s">
        <v>1252</v>
      </c>
      <c r="G79" s="122" t="s">
        <v>1129</v>
      </c>
      <c r="H79" s="122"/>
      <c r="I79" s="111" t="s">
        <v>7</v>
      </c>
    </row>
    <row r="80" ht="30" customHeight="1" spans="1:9">
      <c r="A80" s="111" t="s">
        <v>1253</v>
      </c>
      <c r="B80" s="111" t="s">
        <v>1254</v>
      </c>
      <c r="C80" s="122" t="s">
        <v>1135</v>
      </c>
      <c r="D80" s="111" t="s">
        <v>1255</v>
      </c>
      <c r="E80" s="111" t="s">
        <v>1256</v>
      </c>
      <c r="F80" s="111" t="s">
        <v>1257</v>
      </c>
      <c r="G80" s="122" t="s">
        <v>1129</v>
      </c>
      <c r="H80" s="122"/>
      <c r="I80" s="111" t="s">
        <v>7</v>
      </c>
    </row>
    <row r="81" ht="45" customHeight="1" spans="1:9">
      <c r="A81" s="111" t="s">
        <v>1258</v>
      </c>
      <c r="B81" s="111" t="s">
        <v>1259</v>
      </c>
      <c r="C81" s="122" t="s">
        <v>1134</v>
      </c>
      <c r="D81" s="111" t="s">
        <v>1260</v>
      </c>
      <c r="E81" s="111" t="s">
        <v>1261</v>
      </c>
      <c r="F81" s="111" t="s">
        <v>1262</v>
      </c>
      <c r="G81" s="122" t="s">
        <v>1129</v>
      </c>
      <c r="H81" s="122"/>
      <c r="I81" s="111" t="s">
        <v>7</v>
      </c>
    </row>
    <row r="82" ht="45" customHeight="1" spans="1:9">
      <c r="A82" s="111" t="s">
        <v>1263</v>
      </c>
      <c r="B82" s="111" t="s">
        <v>1264</v>
      </c>
      <c r="C82" s="122" t="s">
        <v>1135</v>
      </c>
      <c r="D82" s="111" t="s">
        <v>1265</v>
      </c>
      <c r="E82" s="111" t="s">
        <v>1266</v>
      </c>
      <c r="F82" s="111" t="s">
        <v>1267</v>
      </c>
      <c r="G82" s="122" t="s">
        <v>1129</v>
      </c>
      <c r="H82" s="122"/>
      <c r="I82" s="111" t="s">
        <v>7</v>
      </c>
    </row>
    <row r="83" ht="150" customHeight="1" spans="1:9">
      <c r="A83" s="111" t="s">
        <v>1268</v>
      </c>
      <c r="B83" s="111" t="s">
        <v>1269</v>
      </c>
      <c r="C83" s="122" t="s">
        <v>1135</v>
      </c>
      <c r="D83" s="111" t="s">
        <v>1270</v>
      </c>
      <c r="E83" s="111" t="s">
        <v>1271</v>
      </c>
      <c r="F83" s="111" t="s">
        <v>1272</v>
      </c>
      <c r="G83" s="122" t="s">
        <v>1130</v>
      </c>
      <c r="H83" s="122">
        <v>1</v>
      </c>
      <c r="I83" s="111" t="s">
        <v>1273</v>
      </c>
    </row>
    <row r="84" ht="15.75" spans="1:9">
      <c r="A84" s="127" t="s">
        <v>1274</v>
      </c>
      <c r="B84" s="16"/>
      <c r="C84" s="16"/>
      <c r="D84" s="16"/>
      <c r="E84" s="16"/>
      <c r="F84" s="16"/>
      <c r="G84" s="16"/>
      <c r="H84" s="16"/>
      <c r="I84" s="17"/>
    </row>
    <row r="85" ht="60" customHeight="1" spans="1:9">
      <c r="A85" s="111" t="s">
        <v>1275</v>
      </c>
      <c r="B85" s="111" t="s">
        <v>1276</v>
      </c>
      <c r="C85" s="122" t="s">
        <v>1133</v>
      </c>
      <c r="D85" s="111" t="s">
        <v>1277</v>
      </c>
      <c r="E85" s="111" t="s">
        <v>1278</v>
      </c>
      <c r="F85" s="111" t="s">
        <v>1279</v>
      </c>
      <c r="G85" s="122" t="s">
        <v>1129</v>
      </c>
      <c r="H85" s="122"/>
      <c r="I85" s="111" t="s">
        <v>7</v>
      </c>
    </row>
    <row r="86" ht="45" customHeight="1" spans="1:9">
      <c r="A86" s="111" t="s">
        <v>1280</v>
      </c>
      <c r="B86" s="111" t="s">
        <v>1281</v>
      </c>
      <c r="C86" s="122" t="s">
        <v>1134</v>
      </c>
      <c r="D86" s="111" t="s">
        <v>1282</v>
      </c>
      <c r="E86" s="111" t="s">
        <v>1283</v>
      </c>
      <c r="F86" s="111" t="s">
        <v>1284</v>
      </c>
      <c r="G86" s="122" t="s">
        <v>1129</v>
      </c>
      <c r="H86" s="122"/>
      <c r="I86" s="111" t="s">
        <v>7</v>
      </c>
    </row>
    <row r="87" ht="45" customHeight="1" spans="1:9">
      <c r="A87" s="111" t="s">
        <v>1285</v>
      </c>
      <c r="B87" s="111" t="s">
        <v>1286</v>
      </c>
      <c r="C87" s="122" t="s">
        <v>1134</v>
      </c>
      <c r="D87" s="111" t="s">
        <v>1287</v>
      </c>
      <c r="E87" s="111" t="s">
        <v>1288</v>
      </c>
      <c r="F87" s="111" t="s">
        <v>1289</v>
      </c>
      <c r="G87" s="122" t="s">
        <v>1129</v>
      </c>
      <c r="H87" s="122"/>
      <c r="I87" s="111" t="s">
        <v>7</v>
      </c>
    </row>
    <row r="88" ht="45" customHeight="1" spans="1:9">
      <c r="A88" s="111" t="s">
        <v>1290</v>
      </c>
      <c r="B88" s="111" t="s">
        <v>1291</v>
      </c>
      <c r="C88" s="122" t="s">
        <v>1135</v>
      </c>
      <c r="D88" s="111" t="s">
        <v>1292</v>
      </c>
      <c r="E88" s="111" t="s">
        <v>1293</v>
      </c>
      <c r="F88" s="111" t="s">
        <v>1294</v>
      </c>
      <c r="G88" s="122" t="s">
        <v>1129</v>
      </c>
      <c r="H88" s="122"/>
      <c r="I88" s="111" t="s">
        <v>7</v>
      </c>
    </row>
  </sheetData>
  <mergeCells count="16">
    <mergeCell ref="A1:C1"/>
    <mergeCell ref="A3:C3"/>
    <mergeCell ref="A10:N10"/>
    <mergeCell ref="A47:I47"/>
    <mergeCell ref="A48:I48"/>
    <mergeCell ref="A49:I49"/>
    <mergeCell ref="A50:I50"/>
    <mergeCell ref="A51:I51"/>
    <mergeCell ref="A52:I52"/>
    <mergeCell ref="A53:I53"/>
    <mergeCell ref="A54:I54"/>
    <mergeCell ref="A55:I55"/>
    <mergeCell ref="A60:I60"/>
    <mergeCell ref="A69:I69"/>
    <mergeCell ref="A78:I78"/>
    <mergeCell ref="A84:I84"/>
  </mergeCells>
  <conditionalFormatting sqref="G60:G88">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9"/>
  <sheetViews>
    <sheetView workbookViewId="0">
      <selection activeCell="A1" sqref="A1:E1"/>
    </sheetView>
  </sheetViews>
  <sheetFormatPr defaultColWidth="9" defaultRowHeight="15"/>
  <cols>
    <col min="1" max="1" width="18" customWidth="1"/>
    <col min="2" max="2" width="24" customWidth="1"/>
    <col min="3" max="3" width="34" customWidth="1"/>
    <col min="4" max="4" width="18" customWidth="1"/>
    <col min="5" max="5" width="10" customWidth="1"/>
    <col min="6" max="6" width="34" customWidth="1"/>
    <col min="7" max="7" width="26" customWidth="1"/>
    <col min="8" max="8" width="30" customWidth="1"/>
    <col min="9" max="9" width="36" customWidth="1"/>
    <col min="10" max="10" width="10" customWidth="1"/>
    <col min="11" max="11" width="30" customWidth="1"/>
    <col min="12" max="12" width="9.14285714285714" customWidth="1"/>
  </cols>
  <sheetData>
    <row r="1" ht="20.25" spans="1:5">
      <c r="A1" s="74" t="s">
        <v>1295</v>
      </c>
    </row>
    <row r="2" spans="1:5">
      <c r="A2" s="75" t="s">
        <v>1296</v>
      </c>
      <c r="B2" s="16"/>
      <c r="C2" s="16"/>
      <c r="D2" s="16"/>
      <c r="E2" s="17"/>
    </row>
    <row r="3" customHeight="1" spans="1:5">
      <c r="A3" s="76" t="s">
        <v>1297</v>
      </c>
      <c r="B3" s="17"/>
      <c r="C3" s="77" t="s">
        <v>1298</v>
      </c>
      <c r="D3" s="16"/>
      <c r="E3" s="17"/>
    </row>
    <row r="4" customHeight="1" spans="1:5">
      <c r="A4" s="76" t="s">
        <v>1299</v>
      </c>
      <c r="B4" s="17"/>
      <c r="C4" s="78" t="s">
        <v>1300</v>
      </c>
      <c r="D4" s="16"/>
      <c r="E4" s="17"/>
    </row>
    <row r="5" customHeight="1" spans="1:5">
      <c r="A5" s="76" t="s">
        <v>1301</v>
      </c>
      <c r="B5" s="17"/>
      <c r="C5" s="78" t="s">
        <v>1302</v>
      </c>
      <c r="D5" s="16"/>
      <c r="E5" s="17"/>
    </row>
    <row r="6" customHeight="1" spans="1:5">
      <c r="A6" s="76" t="s">
        <v>1303</v>
      </c>
      <c r="B6" s="17"/>
      <c r="C6" s="78" t="s">
        <v>1304</v>
      </c>
      <c r="D6" s="16"/>
      <c r="E6" s="17"/>
    </row>
    <row r="7" customHeight="1" spans="1:5">
      <c r="A7" s="76" t="s">
        <v>1305</v>
      </c>
      <c r="B7" s="17"/>
      <c r="C7" s="77" t="s">
        <v>1306</v>
      </c>
      <c r="D7" s="16"/>
      <c r="E7" s="17"/>
    </row>
    <row r="8" ht="60" customHeight="1" spans="1:5">
      <c r="A8" s="76" t="s">
        <v>1307</v>
      </c>
      <c r="B8" s="17"/>
      <c r="C8" s="77" t="s">
        <v>1308</v>
      </c>
      <c r="D8" s="16"/>
      <c r="E8" s="17"/>
    </row>
    <row r="10" ht="16.5" spans="1:5">
      <c r="A10" s="79" t="s">
        <v>1309</v>
      </c>
    </row>
    <row r="11" spans="1:5">
      <c r="A11" s="80" t="s">
        <v>1310</v>
      </c>
    </row>
    <row r="12" spans="1:5">
      <c r="A12" s="81" t="s">
        <v>211</v>
      </c>
      <c r="B12" s="81" t="s">
        <v>1311</v>
      </c>
      <c r="C12" s="81" t="s">
        <v>1312</v>
      </c>
      <c r="D12" s="82"/>
      <c r="E12" s="81" t="s">
        <v>430</v>
      </c>
    </row>
    <row r="13" ht="60" customHeight="1" spans="1:5">
      <c r="A13" s="83">
        <v>1</v>
      </c>
      <c r="B13" s="84" t="s">
        <v>1313</v>
      </c>
      <c r="C13" s="85" t="s">
        <v>1314</v>
      </c>
      <c r="D13" s="17"/>
      <c r="E13" s="85" t="s">
        <v>1315</v>
      </c>
    </row>
    <row r="14" ht="60" customHeight="1" spans="1:5">
      <c r="A14" s="83">
        <v>2</v>
      </c>
      <c r="B14" s="84" t="s">
        <v>1316</v>
      </c>
      <c r="C14" s="85" t="s">
        <v>1317</v>
      </c>
      <c r="D14" s="17"/>
      <c r="E14" s="85" t="s">
        <v>1318</v>
      </c>
    </row>
    <row r="15" ht="30" customHeight="1" spans="1:5">
      <c r="A15" s="83">
        <v>3</v>
      </c>
      <c r="B15" s="84" t="s">
        <v>1319</v>
      </c>
      <c r="C15" s="84" t="s">
        <v>1320</v>
      </c>
      <c r="D15" s="17"/>
      <c r="E15" s="85" t="s">
        <v>1321</v>
      </c>
    </row>
    <row r="16" ht="60" customHeight="1" spans="1:5">
      <c r="A16" s="83">
        <v>4</v>
      </c>
      <c r="B16" s="84" t="s">
        <v>1322</v>
      </c>
      <c r="C16" s="85" t="s">
        <v>1323</v>
      </c>
      <c r="D16" s="17"/>
      <c r="E16" s="85" t="s">
        <v>1324</v>
      </c>
    </row>
    <row r="17" ht="45" customHeight="1" spans="1:5">
      <c r="A17" s="83">
        <v>5</v>
      </c>
      <c r="B17" s="84" t="s">
        <v>1325</v>
      </c>
      <c r="C17" s="85" t="s">
        <v>1326</v>
      </c>
      <c r="D17" s="17"/>
      <c r="E17" s="85" t="s">
        <v>1327</v>
      </c>
    </row>
    <row r="19" spans="1:5">
      <c r="A19" s="86" t="s">
        <v>1328</v>
      </c>
      <c r="B19" s="16"/>
      <c r="C19" s="16"/>
      <c r="D19" s="16"/>
      <c r="E19" s="17"/>
    </row>
    <row r="20" ht="45" customHeight="1" spans="1:5">
      <c r="A20" s="87">
        <v>1</v>
      </c>
      <c r="B20" s="88" t="s">
        <v>1329</v>
      </c>
      <c r="C20" s="89" t="s">
        <v>1330</v>
      </c>
      <c r="D20" s="16"/>
      <c r="E20" s="17"/>
    </row>
    <row r="21" ht="45" customHeight="1" spans="1:5">
      <c r="A21" s="87">
        <v>2</v>
      </c>
      <c r="B21" s="88" t="s">
        <v>1331</v>
      </c>
      <c r="C21" s="89" t="s">
        <v>1332</v>
      </c>
      <c r="D21" s="16"/>
      <c r="E21" s="17"/>
    </row>
    <row r="22" ht="30" customHeight="1" spans="1:5">
      <c r="A22" s="87">
        <v>3</v>
      </c>
      <c r="B22" s="88" t="s">
        <v>1333</v>
      </c>
      <c r="C22" s="89" t="s">
        <v>1334</v>
      </c>
      <c r="D22" s="16"/>
      <c r="E22" s="17"/>
    </row>
    <row r="24" spans="1:5">
      <c r="A24" s="90" t="s">
        <v>1335</v>
      </c>
      <c r="B24" s="16"/>
      <c r="C24" s="16"/>
      <c r="D24" s="16"/>
      <c r="E24" s="17"/>
    </row>
    <row r="25" spans="1:5">
      <c r="A25" s="81" t="s">
        <v>211</v>
      </c>
      <c r="B25" s="81" t="s">
        <v>1311</v>
      </c>
      <c r="C25" s="81" t="s">
        <v>1336</v>
      </c>
      <c r="D25" s="91"/>
      <c r="E25" s="82"/>
    </row>
    <row r="26" ht="75" customHeight="1" spans="1:5">
      <c r="A26" s="87">
        <v>1</v>
      </c>
      <c r="B26" s="88" t="s">
        <v>1337</v>
      </c>
      <c r="C26" s="89" t="s">
        <v>1338</v>
      </c>
      <c r="D26" s="16"/>
      <c r="E26" s="17"/>
    </row>
    <row r="27" ht="30" customHeight="1" spans="1:5">
      <c r="A27" s="87">
        <v>2</v>
      </c>
      <c r="B27" s="88" t="s">
        <v>1339</v>
      </c>
      <c r="C27" s="89" t="s">
        <v>1340</v>
      </c>
      <c r="D27" s="16"/>
      <c r="E27" s="17"/>
    </row>
    <row r="28" ht="30" customHeight="1" spans="1:5">
      <c r="A28" s="87">
        <v>3</v>
      </c>
      <c r="B28" s="88" t="s">
        <v>1341</v>
      </c>
      <c r="C28" s="89" t="s">
        <v>1342</v>
      </c>
      <c r="D28" s="16"/>
      <c r="E28" s="17"/>
    </row>
    <row r="29" ht="30" customHeight="1" spans="1:5">
      <c r="A29" s="87">
        <v>4</v>
      </c>
      <c r="B29" s="88" t="s">
        <v>1343</v>
      </c>
      <c r="C29" s="89" t="s">
        <v>1344</v>
      </c>
      <c r="D29" s="16"/>
      <c r="E29" s="17"/>
    </row>
    <row r="30" ht="30" customHeight="1" spans="1:5">
      <c r="A30" s="87">
        <v>5</v>
      </c>
      <c r="B30" s="88" t="s">
        <v>1345</v>
      </c>
      <c r="C30" s="89" t="s">
        <v>1346</v>
      </c>
      <c r="D30" s="16"/>
      <c r="E30" s="17"/>
    </row>
    <row r="31" ht="60" customHeight="1" spans="1:5">
      <c r="A31" s="87">
        <v>6</v>
      </c>
      <c r="B31" s="88" t="s">
        <v>1347</v>
      </c>
      <c r="C31" s="89" t="s">
        <v>1348</v>
      </c>
      <c r="D31" s="16"/>
      <c r="E31" s="17"/>
    </row>
    <row r="33" spans="1:11">
      <c r="A33" s="86" t="s">
        <v>1349</v>
      </c>
      <c r="B33" s="16"/>
      <c r="C33" s="16"/>
      <c r="D33" s="16"/>
      <c r="E33" s="17"/>
    </row>
    <row r="34" ht="25.5" spans="1:11">
      <c r="A34" s="81" t="s">
        <v>1350</v>
      </c>
      <c r="B34" s="81" t="s">
        <v>1351</v>
      </c>
      <c r="C34" s="81" t="s">
        <v>1352</v>
      </c>
      <c r="D34" s="81" t="s">
        <v>1353</v>
      </c>
      <c r="E34" s="81" t="s">
        <v>1354</v>
      </c>
    </row>
    <row r="35" ht="25.5" spans="1:11">
      <c r="A35" s="85" t="s">
        <v>1355</v>
      </c>
      <c r="B35" s="85" t="s">
        <v>1356</v>
      </c>
      <c r="C35" s="92">
        <v>1</v>
      </c>
      <c r="D35" s="92">
        <v>0.944</v>
      </c>
      <c r="E35" s="93" t="s">
        <v>1357</v>
      </c>
    </row>
    <row r="36" ht="25.5" spans="1:11">
      <c r="A36" s="85" t="s">
        <v>1358</v>
      </c>
      <c r="B36" s="85" t="s">
        <v>1359</v>
      </c>
      <c r="C36" s="92">
        <v>0.792</v>
      </c>
      <c r="D36" s="92">
        <v>0.696</v>
      </c>
      <c r="E36" s="93" t="s">
        <v>1360</v>
      </c>
    </row>
    <row r="37" ht="25.5" spans="1:11">
      <c r="A37" s="85" t="s">
        <v>1361</v>
      </c>
      <c r="B37" s="85" t="s">
        <v>1359</v>
      </c>
      <c r="C37" s="92">
        <v>0.857</v>
      </c>
      <c r="D37" s="92">
        <v>1</v>
      </c>
      <c r="E37" s="93" t="s">
        <v>1362</v>
      </c>
    </row>
    <row r="38" ht="25.5" spans="1:11">
      <c r="A38" s="85" t="s">
        <v>1363</v>
      </c>
      <c r="B38" s="85" t="s">
        <v>1359</v>
      </c>
      <c r="C38" s="92">
        <v>0.422</v>
      </c>
      <c r="D38" s="92">
        <v>0.315</v>
      </c>
      <c r="E38" s="93" t="s">
        <v>1364</v>
      </c>
    </row>
    <row r="39" ht="30" spans="1:11">
      <c r="A39" s="80" t="s">
        <v>1365</v>
      </c>
      <c r="B39" s="80" t="s">
        <v>7</v>
      </c>
      <c r="C39" s="94">
        <v>0.582</v>
      </c>
      <c r="D39" s="94">
        <v>0.489</v>
      </c>
      <c r="E39" s="80" t="s">
        <v>7</v>
      </c>
    </row>
    <row r="40" ht="45" customHeight="1" spans="1:11">
      <c r="A40" s="95" t="s">
        <v>1366</v>
      </c>
      <c r="B40" s="16"/>
      <c r="C40" s="16"/>
      <c r="D40" s="16"/>
      <c r="E40" s="17"/>
    </row>
    <row r="44" spans="1:11">
      <c r="A44" s="96" t="s">
        <v>1367</v>
      </c>
      <c r="B44" s="91"/>
      <c r="C44" s="91"/>
      <c r="D44" s="91"/>
      <c r="E44" s="91"/>
      <c r="F44" s="91"/>
      <c r="G44" s="91"/>
      <c r="H44" s="91"/>
      <c r="I44" s="91"/>
      <c r="J44" s="91"/>
      <c r="K44" s="82"/>
    </row>
    <row r="45" ht="33" spans="1:11">
      <c r="A45" s="97" t="s">
        <v>1368</v>
      </c>
      <c r="B45" s="97" t="s">
        <v>1369</v>
      </c>
      <c r="C45" s="97" t="s">
        <v>1370</v>
      </c>
      <c r="D45" s="97" t="s">
        <v>1371</v>
      </c>
      <c r="E45" s="97" t="s">
        <v>1372</v>
      </c>
      <c r="F45" s="97" t="s">
        <v>1373</v>
      </c>
      <c r="G45" s="97" t="s">
        <v>1374</v>
      </c>
      <c r="H45" s="97" t="s">
        <v>1375</v>
      </c>
      <c r="I45" s="97" t="s">
        <v>1376</v>
      </c>
      <c r="J45" s="97" t="s">
        <v>1377</v>
      </c>
      <c r="K45" s="97" t="s">
        <v>1378</v>
      </c>
    </row>
    <row r="46" spans="1:11">
      <c r="A46" s="98" t="s">
        <v>1313</v>
      </c>
      <c r="B46" s="99"/>
      <c r="C46" s="99"/>
      <c r="D46" s="99"/>
      <c r="E46" s="99"/>
      <c r="F46" s="99"/>
      <c r="G46" s="99"/>
      <c r="H46" s="99"/>
      <c r="I46" s="99"/>
      <c r="J46" s="99"/>
      <c r="K46" s="100"/>
    </row>
    <row r="47" ht="45" customHeight="1" spans="1:11">
      <c r="A47" s="101" t="s">
        <v>1379</v>
      </c>
      <c r="B47" s="101" t="s">
        <v>1313</v>
      </c>
      <c r="C47" s="101" t="s">
        <v>1380</v>
      </c>
      <c r="D47" s="101" t="s">
        <v>1381</v>
      </c>
      <c r="E47" s="102" t="s">
        <v>7</v>
      </c>
      <c r="F47" s="101" t="s">
        <v>1382</v>
      </c>
      <c r="G47" s="101" t="s">
        <v>428</v>
      </c>
      <c r="H47" s="101" t="s">
        <v>1383</v>
      </c>
      <c r="I47" s="101" t="s">
        <v>1384</v>
      </c>
      <c r="J47" s="102" t="s">
        <v>1385</v>
      </c>
      <c r="K47" s="101" t="s">
        <v>1386</v>
      </c>
    </row>
    <row r="48" ht="60" customHeight="1" spans="1:11">
      <c r="A48" s="101" t="s">
        <v>1387</v>
      </c>
      <c r="B48" s="101" t="s">
        <v>1313</v>
      </c>
      <c r="C48" s="101" t="s">
        <v>1380</v>
      </c>
      <c r="D48" s="101" t="s">
        <v>1388</v>
      </c>
      <c r="E48" s="102" t="s">
        <v>7</v>
      </c>
      <c r="F48" s="101" t="s">
        <v>1389</v>
      </c>
      <c r="G48" s="101" t="s">
        <v>428</v>
      </c>
      <c r="H48" s="101" t="s">
        <v>1390</v>
      </c>
      <c r="I48" s="101" t="s">
        <v>1391</v>
      </c>
      <c r="J48" s="102" t="s">
        <v>1385</v>
      </c>
      <c r="K48" s="101" t="s">
        <v>1386</v>
      </c>
    </row>
    <row r="49" ht="45" customHeight="1" spans="1:11">
      <c r="A49" s="101" t="s">
        <v>1392</v>
      </c>
      <c r="B49" s="101" t="s">
        <v>1313</v>
      </c>
      <c r="C49" s="101" t="s">
        <v>1380</v>
      </c>
      <c r="D49" s="101" t="s">
        <v>1393</v>
      </c>
      <c r="E49" s="102" t="s">
        <v>7</v>
      </c>
      <c r="F49" s="101" t="s">
        <v>1394</v>
      </c>
      <c r="G49" s="101" t="s">
        <v>428</v>
      </c>
      <c r="H49" s="101" t="s">
        <v>1395</v>
      </c>
      <c r="I49" s="101" t="s">
        <v>1396</v>
      </c>
      <c r="J49" s="102" t="s">
        <v>1385</v>
      </c>
      <c r="K49" s="101" t="s">
        <v>1386</v>
      </c>
    </row>
    <row r="50" spans="1:11">
      <c r="A50" s="98" t="s">
        <v>1316</v>
      </c>
      <c r="B50" s="99"/>
      <c r="C50" s="99"/>
      <c r="D50" s="99"/>
      <c r="E50" s="99"/>
      <c r="F50" s="99"/>
      <c r="G50" s="99"/>
      <c r="H50" s="99"/>
      <c r="I50" s="99"/>
      <c r="J50" s="99"/>
      <c r="K50" s="100"/>
    </row>
    <row r="51" ht="45" customHeight="1" spans="1:11">
      <c r="A51" s="101" t="s">
        <v>1397</v>
      </c>
      <c r="B51" s="101" t="s">
        <v>1316</v>
      </c>
      <c r="C51" s="101" t="s">
        <v>1398</v>
      </c>
      <c r="D51" s="101" t="s">
        <v>1399</v>
      </c>
      <c r="E51" s="102" t="s">
        <v>7</v>
      </c>
      <c r="F51" s="101" t="s">
        <v>1400</v>
      </c>
      <c r="G51" s="101" t="s">
        <v>1401</v>
      </c>
      <c r="H51" s="101" t="s">
        <v>1402</v>
      </c>
      <c r="I51" s="101" t="s">
        <v>1403</v>
      </c>
      <c r="J51" s="102" t="s">
        <v>1385</v>
      </c>
      <c r="K51" s="101" t="s">
        <v>1404</v>
      </c>
    </row>
    <row r="52" ht="45" customHeight="1" spans="1:11">
      <c r="A52" s="101" t="s">
        <v>1405</v>
      </c>
      <c r="B52" s="101" t="s">
        <v>1316</v>
      </c>
      <c r="C52" s="101" t="s">
        <v>1398</v>
      </c>
      <c r="D52" s="101" t="s">
        <v>1399</v>
      </c>
      <c r="E52" s="102" t="s">
        <v>7</v>
      </c>
      <c r="F52" s="101" t="s">
        <v>1406</v>
      </c>
      <c r="G52" s="101" t="s">
        <v>1407</v>
      </c>
      <c r="H52" s="101" t="s">
        <v>1408</v>
      </c>
      <c r="I52" s="101" t="s">
        <v>1409</v>
      </c>
      <c r="J52" s="102" t="s">
        <v>1385</v>
      </c>
      <c r="K52" s="101" t="s">
        <v>1404</v>
      </c>
    </row>
    <row r="53" ht="45" customHeight="1" spans="1:11">
      <c r="A53" s="101" t="s">
        <v>1410</v>
      </c>
      <c r="B53" s="101" t="s">
        <v>1316</v>
      </c>
      <c r="C53" s="101" t="s">
        <v>1398</v>
      </c>
      <c r="D53" s="101" t="s">
        <v>1399</v>
      </c>
      <c r="E53" s="102" t="s">
        <v>7</v>
      </c>
      <c r="F53" s="101" t="s">
        <v>1411</v>
      </c>
      <c r="G53" s="101" t="s">
        <v>1412</v>
      </c>
      <c r="H53" s="101" t="s">
        <v>1413</v>
      </c>
      <c r="I53" s="101" t="s">
        <v>1414</v>
      </c>
      <c r="J53" s="102" t="s">
        <v>1385</v>
      </c>
      <c r="K53" s="101" t="s">
        <v>1404</v>
      </c>
    </row>
    <row r="54" ht="45" customHeight="1" spans="1:11">
      <c r="A54" s="101" t="s">
        <v>1415</v>
      </c>
      <c r="B54" s="101" t="s">
        <v>1316</v>
      </c>
      <c r="C54" s="101" t="s">
        <v>1398</v>
      </c>
      <c r="D54" s="101" t="s">
        <v>1399</v>
      </c>
      <c r="E54" s="102" t="s">
        <v>7</v>
      </c>
      <c r="F54" s="101" t="s">
        <v>1416</v>
      </c>
      <c r="G54" s="101" t="s">
        <v>1417</v>
      </c>
      <c r="H54" s="101" t="s">
        <v>1418</v>
      </c>
      <c r="I54" s="101" t="s">
        <v>1419</v>
      </c>
      <c r="J54" s="102" t="s">
        <v>1385</v>
      </c>
      <c r="K54" s="101" t="s">
        <v>1404</v>
      </c>
    </row>
    <row r="55" ht="45" customHeight="1" spans="1:11">
      <c r="A55" s="101" t="s">
        <v>1420</v>
      </c>
      <c r="B55" s="101" t="s">
        <v>1316</v>
      </c>
      <c r="C55" s="101" t="s">
        <v>1398</v>
      </c>
      <c r="D55" s="101" t="s">
        <v>1421</v>
      </c>
      <c r="E55" s="102" t="s">
        <v>7</v>
      </c>
      <c r="F55" s="101" t="s">
        <v>1422</v>
      </c>
      <c r="G55" s="101" t="s">
        <v>1423</v>
      </c>
      <c r="H55" s="101" t="s">
        <v>1424</v>
      </c>
      <c r="I55" s="101" t="s">
        <v>1425</v>
      </c>
      <c r="J55" s="102" t="s">
        <v>1385</v>
      </c>
      <c r="K55" s="101" t="s">
        <v>1404</v>
      </c>
    </row>
    <row r="56" ht="60" customHeight="1" spans="1:11">
      <c r="A56" s="101" t="s">
        <v>1426</v>
      </c>
      <c r="B56" s="101" t="s">
        <v>1316</v>
      </c>
      <c r="C56" s="101" t="s">
        <v>1398</v>
      </c>
      <c r="D56" s="101" t="s">
        <v>1421</v>
      </c>
      <c r="E56" s="102" t="s">
        <v>7</v>
      </c>
      <c r="F56" s="101" t="s">
        <v>1427</v>
      </c>
      <c r="G56" s="101" t="s">
        <v>1428</v>
      </c>
      <c r="H56" s="101" t="s">
        <v>1429</v>
      </c>
      <c r="I56" s="101" t="s">
        <v>1430</v>
      </c>
      <c r="J56" s="102" t="s">
        <v>1385</v>
      </c>
      <c r="K56" s="101" t="s">
        <v>1404</v>
      </c>
    </row>
    <row r="57" ht="45" customHeight="1" spans="1:11">
      <c r="A57" s="101" t="s">
        <v>1431</v>
      </c>
      <c r="B57" s="101" t="s">
        <v>1316</v>
      </c>
      <c r="C57" s="101" t="s">
        <v>1398</v>
      </c>
      <c r="D57" s="101" t="s">
        <v>1421</v>
      </c>
      <c r="E57" s="102" t="s">
        <v>7</v>
      </c>
      <c r="F57" s="101" t="s">
        <v>1432</v>
      </c>
      <c r="G57" s="101" t="s">
        <v>1433</v>
      </c>
      <c r="H57" s="101" t="s">
        <v>1434</v>
      </c>
      <c r="I57" s="101" t="s">
        <v>1435</v>
      </c>
      <c r="J57" s="102" t="s">
        <v>1385</v>
      </c>
      <c r="K57" s="101" t="s">
        <v>1404</v>
      </c>
    </row>
    <row r="58" ht="45" customHeight="1" spans="1:11">
      <c r="A58" s="101" t="s">
        <v>1436</v>
      </c>
      <c r="B58" s="101" t="s">
        <v>1316</v>
      </c>
      <c r="C58" s="101" t="s">
        <v>1398</v>
      </c>
      <c r="D58" s="101" t="s">
        <v>1437</v>
      </c>
      <c r="E58" s="102" t="s">
        <v>7</v>
      </c>
      <c r="F58" s="101" t="s">
        <v>1438</v>
      </c>
      <c r="G58" s="101" t="s">
        <v>1439</v>
      </c>
      <c r="H58" s="101" t="s">
        <v>1440</v>
      </c>
      <c r="I58" s="101" t="s">
        <v>1441</v>
      </c>
      <c r="J58" s="102" t="s">
        <v>1385</v>
      </c>
      <c r="K58" s="101" t="s">
        <v>1404</v>
      </c>
    </row>
    <row r="59" spans="1:11">
      <c r="A59" s="98" t="s">
        <v>1319</v>
      </c>
      <c r="B59" s="99"/>
      <c r="C59" s="99"/>
      <c r="D59" s="99"/>
      <c r="E59" s="99"/>
      <c r="F59" s="99"/>
      <c r="G59" s="99"/>
      <c r="H59" s="99"/>
      <c r="I59" s="99"/>
      <c r="J59" s="99"/>
      <c r="K59" s="100"/>
    </row>
    <row r="60" ht="45" customHeight="1" spans="1:11">
      <c r="A60" s="101" t="s">
        <v>1442</v>
      </c>
      <c r="B60" s="101" t="s">
        <v>1319</v>
      </c>
      <c r="C60" s="101" t="s">
        <v>1443</v>
      </c>
      <c r="D60" s="101" t="s">
        <v>1444</v>
      </c>
      <c r="E60" s="102" t="s">
        <v>7</v>
      </c>
      <c r="F60" s="101" t="s">
        <v>1445</v>
      </c>
      <c r="G60" s="101" t="s">
        <v>1446</v>
      </c>
      <c r="H60" s="101" t="s">
        <v>1447</v>
      </c>
      <c r="I60" s="101" t="s">
        <v>1448</v>
      </c>
      <c r="J60" s="102" t="s">
        <v>1385</v>
      </c>
      <c r="K60" s="101" t="s">
        <v>1404</v>
      </c>
    </row>
    <row r="61" ht="45" customHeight="1" spans="1:11">
      <c r="A61" s="101" t="s">
        <v>1449</v>
      </c>
      <c r="B61" s="101" t="s">
        <v>1319</v>
      </c>
      <c r="C61" s="101" t="s">
        <v>1443</v>
      </c>
      <c r="D61" s="101" t="s">
        <v>1444</v>
      </c>
      <c r="E61" s="102" t="s">
        <v>7</v>
      </c>
      <c r="F61" s="101" t="s">
        <v>1450</v>
      </c>
      <c r="G61" s="101" t="s">
        <v>1451</v>
      </c>
      <c r="H61" s="101" t="s">
        <v>1452</v>
      </c>
      <c r="I61" s="101" t="s">
        <v>1453</v>
      </c>
      <c r="J61" s="102" t="s">
        <v>1385</v>
      </c>
      <c r="K61" s="101" t="s">
        <v>1404</v>
      </c>
    </row>
    <row r="62" ht="45" customHeight="1" spans="1:11">
      <c r="A62" s="101" t="s">
        <v>1454</v>
      </c>
      <c r="B62" s="101" t="s">
        <v>1319</v>
      </c>
      <c r="C62" s="101" t="s">
        <v>1443</v>
      </c>
      <c r="D62" s="101" t="s">
        <v>1455</v>
      </c>
      <c r="E62" s="102" t="s">
        <v>7</v>
      </c>
      <c r="F62" s="101" t="s">
        <v>1456</v>
      </c>
      <c r="G62" s="101" t="s">
        <v>1457</v>
      </c>
      <c r="H62" s="101" t="s">
        <v>1458</v>
      </c>
      <c r="I62" s="101" t="s">
        <v>1459</v>
      </c>
      <c r="J62" s="102" t="s">
        <v>1385</v>
      </c>
      <c r="K62" s="101" t="s">
        <v>1404</v>
      </c>
    </row>
    <row r="63" spans="1:11">
      <c r="A63" s="98" t="s">
        <v>1322</v>
      </c>
      <c r="B63" s="99"/>
      <c r="C63" s="99"/>
      <c r="D63" s="99"/>
      <c r="E63" s="99"/>
      <c r="F63" s="99"/>
      <c r="G63" s="99"/>
      <c r="H63" s="99"/>
      <c r="I63" s="99"/>
      <c r="J63" s="99"/>
      <c r="K63" s="100"/>
    </row>
    <row r="64" ht="45" customHeight="1" spans="1:11">
      <c r="A64" s="101" t="s">
        <v>1460</v>
      </c>
      <c r="B64" s="101" t="s">
        <v>1322</v>
      </c>
      <c r="C64" s="101" t="s">
        <v>1461</v>
      </c>
      <c r="D64" s="101" t="s">
        <v>1462</v>
      </c>
      <c r="E64" s="102" t="s">
        <v>7</v>
      </c>
      <c r="F64" s="101" t="s">
        <v>1463</v>
      </c>
      <c r="G64" s="101" t="s">
        <v>1464</v>
      </c>
      <c r="H64" s="101" t="s">
        <v>1465</v>
      </c>
      <c r="I64" s="101" t="s">
        <v>1466</v>
      </c>
      <c r="J64" s="102" t="s">
        <v>1385</v>
      </c>
      <c r="K64" s="101" t="s">
        <v>1404</v>
      </c>
    </row>
    <row r="65" ht="60" customHeight="1" spans="1:11">
      <c r="A65" s="101" t="s">
        <v>1467</v>
      </c>
      <c r="B65" s="101" t="s">
        <v>1322</v>
      </c>
      <c r="C65" s="101" t="s">
        <v>1461</v>
      </c>
      <c r="D65" s="101" t="s">
        <v>1462</v>
      </c>
      <c r="E65" s="102" t="s">
        <v>7</v>
      </c>
      <c r="F65" s="101" t="s">
        <v>1468</v>
      </c>
      <c r="G65" s="101" t="s">
        <v>1469</v>
      </c>
      <c r="H65" s="101" t="s">
        <v>1470</v>
      </c>
      <c r="I65" s="101" t="s">
        <v>1471</v>
      </c>
      <c r="J65" s="102" t="s">
        <v>1385</v>
      </c>
      <c r="K65" s="101" t="s">
        <v>1404</v>
      </c>
    </row>
    <row r="66" ht="45" customHeight="1" spans="1:11">
      <c r="A66" s="101" t="s">
        <v>1472</v>
      </c>
      <c r="B66" s="101" t="s">
        <v>1322</v>
      </c>
      <c r="C66" s="101" t="s">
        <v>1461</v>
      </c>
      <c r="D66" s="101" t="s">
        <v>1473</v>
      </c>
      <c r="E66" s="102" t="s">
        <v>7</v>
      </c>
      <c r="F66" s="101" t="s">
        <v>1474</v>
      </c>
      <c r="G66" s="101" t="s">
        <v>1475</v>
      </c>
      <c r="H66" s="101" t="s">
        <v>1476</v>
      </c>
      <c r="I66" s="101" t="s">
        <v>1477</v>
      </c>
      <c r="J66" s="102" t="s">
        <v>1385</v>
      </c>
      <c r="K66" s="101" t="s">
        <v>1404</v>
      </c>
    </row>
    <row r="67" ht="45" customHeight="1" spans="1:11">
      <c r="A67" s="101" t="s">
        <v>1478</v>
      </c>
      <c r="B67" s="101" t="s">
        <v>1322</v>
      </c>
      <c r="C67" s="101" t="s">
        <v>1461</v>
      </c>
      <c r="D67" s="101" t="s">
        <v>1479</v>
      </c>
      <c r="E67" s="102" t="s">
        <v>7</v>
      </c>
      <c r="F67" s="101" t="s">
        <v>1480</v>
      </c>
      <c r="G67" s="101" t="s">
        <v>1481</v>
      </c>
      <c r="H67" s="101" t="s">
        <v>1482</v>
      </c>
      <c r="I67" s="101" t="s">
        <v>1483</v>
      </c>
      <c r="J67" s="102" t="s">
        <v>1385</v>
      </c>
      <c r="K67" s="101" t="s">
        <v>1404</v>
      </c>
    </row>
    <row r="68" ht="45" customHeight="1" spans="1:11">
      <c r="A68" s="101" t="s">
        <v>1484</v>
      </c>
      <c r="B68" s="101" t="s">
        <v>1322</v>
      </c>
      <c r="C68" s="101" t="s">
        <v>1461</v>
      </c>
      <c r="D68" s="101" t="s">
        <v>1485</v>
      </c>
      <c r="E68" s="102" t="s">
        <v>7</v>
      </c>
      <c r="F68" s="101" t="s">
        <v>1486</v>
      </c>
      <c r="G68" s="101" t="s">
        <v>1487</v>
      </c>
      <c r="H68" s="101" t="s">
        <v>1488</v>
      </c>
      <c r="I68" s="101" t="s">
        <v>1489</v>
      </c>
      <c r="J68" s="102" t="s">
        <v>1385</v>
      </c>
      <c r="K68" s="101" t="s">
        <v>1404</v>
      </c>
    </row>
    <row r="69" ht="45" customHeight="1" spans="1:11">
      <c r="A69" s="101" t="s">
        <v>1490</v>
      </c>
      <c r="B69" s="101" t="s">
        <v>1322</v>
      </c>
      <c r="C69" s="101" t="s">
        <v>1461</v>
      </c>
      <c r="D69" s="101" t="s">
        <v>1491</v>
      </c>
      <c r="E69" s="102" t="s">
        <v>7</v>
      </c>
      <c r="F69" s="101" t="s">
        <v>1492</v>
      </c>
      <c r="G69" s="101" t="s">
        <v>1493</v>
      </c>
      <c r="H69" s="101" t="s">
        <v>1494</v>
      </c>
      <c r="I69" s="101" t="s">
        <v>1495</v>
      </c>
      <c r="J69" s="102" t="s">
        <v>1385</v>
      </c>
      <c r="K69" s="101" t="s">
        <v>1404</v>
      </c>
    </row>
    <row r="70" ht="45" customHeight="1" spans="1:11">
      <c r="A70" s="101" t="s">
        <v>1496</v>
      </c>
      <c r="B70" s="101" t="s">
        <v>1322</v>
      </c>
      <c r="C70" s="101" t="s">
        <v>1461</v>
      </c>
      <c r="D70" s="101" t="s">
        <v>1497</v>
      </c>
      <c r="E70" s="102" t="s">
        <v>7</v>
      </c>
      <c r="F70" s="101" t="s">
        <v>1498</v>
      </c>
      <c r="G70" s="101" t="s">
        <v>1499</v>
      </c>
      <c r="H70" s="101" t="s">
        <v>1500</v>
      </c>
      <c r="I70" s="101" t="s">
        <v>1501</v>
      </c>
      <c r="J70" s="102" t="s">
        <v>1385</v>
      </c>
      <c r="K70" s="101" t="s">
        <v>1404</v>
      </c>
    </row>
    <row r="71" spans="1:11">
      <c r="A71" s="98" t="s">
        <v>1316</v>
      </c>
      <c r="B71" s="99"/>
      <c r="C71" s="99"/>
      <c r="D71" s="99"/>
      <c r="E71" s="99"/>
      <c r="F71" s="99"/>
      <c r="G71" s="99"/>
      <c r="H71" s="99"/>
      <c r="I71" s="99"/>
      <c r="J71" s="99"/>
      <c r="K71" s="100"/>
    </row>
    <row r="72" ht="45" customHeight="1" spans="1:11">
      <c r="A72" s="101" t="s">
        <v>1502</v>
      </c>
      <c r="B72" s="101" t="s">
        <v>1316</v>
      </c>
      <c r="C72" s="101" t="s">
        <v>1503</v>
      </c>
      <c r="D72" s="101" t="s">
        <v>1399</v>
      </c>
      <c r="E72" s="102" t="s">
        <v>7</v>
      </c>
      <c r="F72" s="101" t="s">
        <v>1504</v>
      </c>
      <c r="G72" s="101" t="s">
        <v>1505</v>
      </c>
      <c r="H72" s="101" t="s">
        <v>1506</v>
      </c>
      <c r="I72" s="101" t="s">
        <v>1507</v>
      </c>
      <c r="J72" s="102" t="s">
        <v>1508</v>
      </c>
      <c r="K72" s="101" t="s">
        <v>1404</v>
      </c>
    </row>
    <row r="73" spans="1:11">
      <c r="A73" s="98" t="s">
        <v>1322</v>
      </c>
      <c r="B73" s="99"/>
      <c r="C73" s="99"/>
      <c r="D73" s="99"/>
      <c r="E73" s="99"/>
      <c r="F73" s="99"/>
      <c r="G73" s="99"/>
      <c r="H73" s="99"/>
      <c r="I73" s="99"/>
      <c r="J73" s="99"/>
      <c r="K73" s="100"/>
    </row>
    <row r="74" ht="60" customHeight="1" spans="1:11">
      <c r="A74" s="101" t="s">
        <v>1509</v>
      </c>
      <c r="B74" s="101" t="s">
        <v>1322</v>
      </c>
      <c r="C74" s="101" t="s">
        <v>1510</v>
      </c>
      <c r="D74" s="101" t="s">
        <v>1473</v>
      </c>
      <c r="E74" s="102" t="s">
        <v>7</v>
      </c>
      <c r="F74" s="101" t="s">
        <v>1511</v>
      </c>
      <c r="G74" s="101" t="s">
        <v>1512</v>
      </c>
      <c r="H74" s="101" t="s">
        <v>1513</v>
      </c>
      <c r="I74" s="101" t="s">
        <v>1514</v>
      </c>
      <c r="J74" s="102" t="s">
        <v>1508</v>
      </c>
      <c r="K74" s="101" t="s">
        <v>1404</v>
      </c>
    </row>
    <row r="75" ht="45" customHeight="1" spans="1:11">
      <c r="A75" s="101" t="s">
        <v>1515</v>
      </c>
      <c r="B75" s="101" t="s">
        <v>1322</v>
      </c>
      <c r="C75" s="101" t="s">
        <v>1510</v>
      </c>
      <c r="D75" s="101" t="s">
        <v>1491</v>
      </c>
      <c r="E75" s="102" t="s">
        <v>7</v>
      </c>
      <c r="F75" s="101" t="s">
        <v>1516</v>
      </c>
      <c r="G75" s="101" t="s">
        <v>1517</v>
      </c>
      <c r="H75" s="101" t="s">
        <v>1494</v>
      </c>
      <c r="I75" s="101" t="s">
        <v>1518</v>
      </c>
      <c r="J75" s="102" t="s">
        <v>1508</v>
      </c>
      <c r="K75" s="101" t="s">
        <v>1404</v>
      </c>
    </row>
    <row r="76" spans="1:11">
      <c r="A76" s="98" t="s">
        <v>1325</v>
      </c>
      <c r="B76" s="99"/>
      <c r="C76" s="99"/>
      <c r="D76" s="99"/>
      <c r="E76" s="99"/>
      <c r="F76" s="99"/>
      <c r="G76" s="99"/>
      <c r="H76" s="99"/>
      <c r="I76" s="99"/>
      <c r="J76" s="99"/>
      <c r="K76" s="100"/>
    </row>
    <row r="77" ht="45" customHeight="1" spans="1:11">
      <c r="A77" s="101" t="s">
        <v>1519</v>
      </c>
      <c r="B77" s="101" t="s">
        <v>1325</v>
      </c>
      <c r="C77" s="101" t="s">
        <v>1520</v>
      </c>
      <c r="D77" s="101" t="s">
        <v>1521</v>
      </c>
      <c r="E77" s="102" t="s">
        <v>7</v>
      </c>
      <c r="F77" s="101" t="s">
        <v>1522</v>
      </c>
      <c r="G77" s="101" t="s">
        <v>1523</v>
      </c>
      <c r="H77" s="101" t="s">
        <v>1524</v>
      </c>
      <c r="I77" s="101" t="s">
        <v>1525</v>
      </c>
      <c r="J77" s="102" t="s">
        <v>1508</v>
      </c>
      <c r="K77" s="101" t="s">
        <v>1386</v>
      </c>
    </row>
    <row r="79" spans="1:11">
      <c r="A79" s="80" t="s">
        <v>1526</v>
      </c>
      <c r="B79" s="103">
        <f>COUNTIF(J46:J77,"PASS")+COUNTIF(J46:J77,"FAIL")</f>
        <v>25</v>
      </c>
    </row>
    <row r="80" spans="1:11">
      <c r="A80" s="80" t="s">
        <v>1385</v>
      </c>
      <c r="B80" s="103">
        <f>COUNTIF(J46:J77,"PASS")</f>
        <v>21</v>
      </c>
    </row>
    <row r="81" spans="1:11">
      <c r="A81" s="80" t="s">
        <v>1508</v>
      </c>
      <c r="B81" s="103">
        <f>COUNTIF(J46:J77,"FAIL")</f>
        <v>4</v>
      </c>
    </row>
    <row r="82" spans="1:11">
      <c r="A82" s="80" t="s">
        <v>1527</v>
      </c>
      <c r="B82" s="104">
        <f>IFERROR(B80/B79,0)</f>
        <v>0.84</v>
      </c>
    </row>
    <row r="84" spans="1:11">
      <c r="A84" s="105" t="s">
        <v>1528</v>
      </c>
      <c r="B84" s="16"/>
      <c r="C84" s="16"/>
      <c r="D84" s="16"/>
      <c r="E84" s="16"/>
      <c r="F84" s="16"/>
      <c r="G84" s="16"/>
      <c r="H84" s="16"/>
      <c r="I84" s="16"/>
      <c r="J84" s="16"/>
      <c r="K84" s="17"/>
    </row>
    <row r="85" ht="16.5" spans="1:11">
      <c r="A85" s="106" t="s">
        <v>1368</v>
      </c>
      <c r="B85" s="106" t="s">
        <v>1529</v>
      </c>
      <c r="C85" s="16"/>
      <c r="D85" s="16"/>
      <c r="E85" s="16"/>
      <c r="F85" s="16"/>
      <c r="G85" s="16"/>
      <c r="H85" s="17"/>
      <c r="I85" s="106" t="s">
        <v>1530</v>
      </c>
      <c r="J85" s="16"/>
      <c r="K85" s="17"/>
    </row>
    <row r="86" ht="30" customHeight="1" spans="1:11">
      <c r="A86" s="101" t="s">
        <v>1502</v>
      </c>
      <c r="B86" s="101" t="s">
        <v>1531</v>
      </c>
      <c r="C86" s="99"/>
      <c r="D86" s="99"/>
      <c r="E86" s="99"/>
      <c r="F86" s="99"/>
      <c r="G86" s="99"/>
      <c r="H86" s="100"/>
      <c r="I86" s="101" t="s">
        <v>1532</v>
      </c>
      <c r="J86" s="99"/>
      <c r="K86" s="100"/>
    </row>
    <row r="87" ht="45" customHeight="1" spans="1:11">
      <c r="A87" s="101" t="s">
        <v>1509</v>
      </c>
      <c r="B87" s="101" t="s">
        <v>1533</v>
      </c>
      <c r="C87" s="99"/>
      <c r="D87" s="99"/>
      <c r="E87" s="99"/>
      <c r="F87" s="99"/>
      <c r="G87" s="99"/>
      <c r="H87" s="100"/>
      <c r="I87" s="101" t="s">
        <v>1534</v>
      </c>
      <c r="J87" s="99"/>
      <c r="K87" s="100"/>
    </row>
    <row r="88" ht="30" customHeight="1" spans="1:11">
      <c r="A88" s="101" t="s">
        <v>1515</v>
      </c>
      <c r="B88" s="101" t="s">
        <v>1535</v>
      </c>
      <c r="C88" s="99"/>
      <c r="D88" s="99"/>
      <c r="E88" s="99"/>
      <c r="F88" s="99"/>
      <c r="G88" s="99"/>
      <c r="H88" s="100"/>
      <c r="I88" s="101" t="s">
        <v>1536</v>
      </c>
      <c r="J88" s="99"/>
      <c r="K88" s="100"/>
    </row>
    <row r="89" ht="30" customHeight="1" spans="1:11">
      <c r="A89" s="101" t="s">
        <v>1519</v>
      </c>
      <c r="B89" s="101" t="s">
        <v>1537</v>
      </c>
      <c r="C89" s="99"/>
      <c r="D89" s="99"/>
      <c r="E89" s="99"/>
      <c r="F89" s="99"/>
      <c r="G89" s="99"/>
      <c r="H89" s="100"/>
      <c r="I89" s="101" t="s">
        <v>1538</v>
      </c>
      <c r="J89" s="99"/>
      <c r="K89" s="100"/>
    </row>
  </sheetData>
  <mergeCells count="55">
    <mergeCell ref="A1:E1"/>
    <mergeCell ref="A2:E2"/>
    <mergeCell ref="A3:B3"/>
    <mergeCell ref="C3:E3"/>
    <mergeCell ref="A4:B4"/>
    <mergeCell ref="C4:E4"/>
    <mergeCell ref="A5:B5"/>
    <mergeCell ref="C5:E5"/>
    <mergeCell ref="A6:B6"/>
    <mergeCell ref="C6:E6"/>
    <mergeCell ref="A7:B7"/>
    <mergeCell ref="C7:E7"/>
    <mergeCell ref="A8:B8"/>
    <mergeCell ref="C8:E8"/>
    <mergeCell ref="A10:E10"/>
    <mergeCell ref="A11:E11"/>
    <mergeCell ref="C12:D12"/>
    <mergeCell ref="C13:D13"/>
    <mergeCell ref="C14:D14"/>
    <mergeCell ref="C15:D15"/>
    <mergeCell ref="C16:D16"/>
    <mergeCell ref="C17:D17"/>
    <mergeCell ref="A19:E19"/>
    <mergeCell ref="C20:E20"/>
    <mergeCell ref="C21:E21"/>
    <mergeCell ref="C22:E22"/>
    <mergeCell ref="A24:E24"/>
    <mergeCell ref="C25:E25"/>
    <mergeCell ref="C26:E26"/>
    <mergeCell ref="C27:E27"/>
    <mergeCell ref="C28:E28"/>
    <mergeCell ref="C29:E29"/>
    <mergeCell ref="C30:E30"/>
    <mergeCell ref="C31:E31"/>
    <mergeCell ref="A33:E33"/>
    <mergeCell ref="A40:E40"/>
    <mergeCell ref="A44:K44"/>
    <mergeCell ref="A46:K46"/>
    <mergeCell ref="A50:K50"/>
    <mergeCell ref="A59:K59"/>
    <mergeCell ref="A63:K63"/>
    <mergeCell ref="A71:K71"/>
    <mergeCell ref="A73:K73"/>
    <mergeCell ref="A76:K76"/>
    <mergeCell ref="A84:K84"/>
    <mergeCell ref="B85:H85"/>
    <mergeCell ref="I85:K85"/>
    <mergeCell ref="B86:H86"/>
    <mergeCell ref="I86:K86"/>
    <mergeCell ref="B87:H87"/>
    <mergeCell ref="I87:K87"/>
    <mergeCell ref="B88:H88"/>
    <mergeCell ref="I88:K88"/>
    <mergeCell ref="B89:H89"/>
    <mergeCell ref="I89:K89"/>
  </mergeCells>
  <conditionalFormatting sqref="J46:J77">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6"/>
  <sheetViews>
    <sheetView workbookViewId="0">
      <pane xSplit="1" ySplit="12" topLeftCell="B13" activePane="bottomRight" state="frozen"/>
      <selection/>
      <selection pane="topRight"/>
      <selection pane="bottomLeft"/>
      <selection pane="bottomRight" activeCell="A1" sqref="A1:J1"/>
    </sheetView>
  </sheetViews>
  <sheetFormatPr defaultColWidth="9" defaultRowHeight="15"/>
  <cols>
    <col min="1" max="1" width="15" customWidth="1"/>
    <col min="2" max="2" width="34" customWidth="1"/>
    <col min="3" max="3" width="9" customWidth="1"/>
    <col min="4" max="4" width="34" customWidth="1"/>
    <col min="5" max="5" width="24" customWidth="1"/>
    <col min="6" max="6" width="34" customWidth="1"/>
    <col min="7" max="7" width="30" customWidth="1"/>
    <col min="8" max="8" width="38" customWidth="1"/>
    <col min="9" max="9" width="11" customWidth="1"/>
    <col min="10" max="10" width="34" customWidth="1"/>
  </cols>
  <sheetData>
    <row r="1" ht="20.25" spans="1:10">
      <c r="A1" s="61" t="s">
        <v>1539</v>
      </c>
    </row>
    <row r="3" spans="1:10">
      <c r="A3" s="62" t="s">
        <v>1008</v>
      </c>
      <c r="B3" s="63" t="s">
        <v>227</v>
      </c>
      <c r="D3" s="62" t="s">
        <v>1540</v>
      </c>
      <c r="E3" s="63" t="s">
        <v>7</v>
      </c>
    </row>
    <row r="4" ht="30" spans="1:10">
      <c r="A4" s="62" t="s">
        <v>1541</v>
      </c>
      <c r="B4" s="64" t="s">
        <v>1542</v>
      </c>
      <c r="D4" s="62" t="s">
        <v>1543</v>
      </c>
      <c r="E4" s="63" t="s">
        <v>233</v>
      </c>
    </row>
    <row r="5" ht="30" spans="1:10">
      <c r="A5" s="62" t="s">
        <v>1544</v>
      </c>
      <c r="B5" s="63" t="s">
        <v>1545</v>
      </c>
      <c r="D5" s="62" t="s">
        <v>1546</v>
      </c>
      <c r="E5" s="63" t="s">
        <v>45</v>
      </c>
    </row>
    <row r="6" ht="45" spans="1:10">
      <c r="A6" s="62" t="s">
        <v>1547</v>
      </c>
      <c r="B6" s="63" t="s">
        <v>1548</v>
      </c>
      <c r="D6" s="62" t="s">
        <v>1549</v>
      </c>
      <c r="E6" s="64" t="s">
        <v>1550</v>
      </c>
    </row>
    <row r="8" ht="15.75" spans="1:10">
      <c r="A8" s="65" t="s">
        <v>1551</v>
      </c>
      <c r="B8" s="66"/>
      <c r="C8" s="66"/>
      <c r="D8" s="66"/>
      <c r="E8" s="66"/>
    </row>
    <row r="9" ht="28.5" spans="1:10">
      <c r="A9" s="67" t="s">
        <v>1552</v>
      </c>
      <c r="B9" s="67" t="s">
        <v>1553</v>
      </c>
      <c r="C9" s="67" t="s">
        <v>1554</v>
      </c>
      <c r="D9" s="67" t="s">
        <v>1555</v>
      </c>
      <c r="E9" s="67" t="s">
        <v>1556</v>
      </c>
    </row>
    <row r="10" spans="1:10">
      <c r="A10" s="68">
        <f>COUNTIF(I13:I56,"Pass")+COUNTIF(I13:I56,"Fail")</f>
        <v>34</v>
      </c>
      <c r="B10" s="68">
        <f>COUNTIF(I13:I56,"Pass")</f>
        <v>31</v>
      </c>
      <c r="C10" s="68">
        <f>COUNTIF(I13:I56,"Fail")</f>
        <v>3</v>
      </c>
      <c r="D10" s="69">
        <f>IFERROR(B10/A10,0)</f>
        <v>0.911764705882353</v>
      </c>
      <c r="E10" s="69">
        <f>IFERROR(C10/A10,0)</f>
        <v>0.0882352941176471</v>
      </c>
    </row>
    <row r="12" ht="28.5" spans="1:10">
      <c r="A12" s="70" t="s">
        <v>1368</v>
      </c>
      <c r="B12" s="70" t="s">
        <v>1557</v>
      </c>
      <c r="C12" s="70" t="s">
        <v>1558</v>
      </c>
      <c r="D12" s="70" t="s">
        <v>1559</v>
      </c>
      <c r="E12" s="70" t="s">
        <v>1560</v>
      </c>
      <c r="F12" s="70" t="s">
        <v>1561</v>
      </c>
      <c r="G12" s="70" t="s">
        <v>1562</v>
      </c>
      <c r="H12" s="70" t="s">
        <v>1563</v>
      </c>
      <c r="I12" s="70" t="s">
        <v>1564</v>
      </c>
      <c r="J12" s="70" t="s">
        <v>1565</v>
      </c>
    </row>
    <row r="13" ht="15.75" spans="1:10">
      <c r="A13" s="71" t="s">
        <v>1566</v>
      </c>
      <c r="B13" s="48"/>
      <c r="C13" s="48"/>
      <c r="D13" s="48"/>
      <c r="E13" s="48"/>
      <c r="F13" s="48"/>
      <c r="G13" s="48"/>
      <c r="H13" s="48"/>
      <c r="I13" s="48"/>
      <c r="J13" s="32"/>
    </row>
    <row r="14" ht="105" customHeight="1" spans="1:10">
      <c r="A14" s="72" t="s">
        <v>1567</v>
      </c>
      <c r="B14" s="72" t="s">
        <v>1568</v>
      </c>
      <c r="C14" s="73" t="s">
        <v>1569</v>
      </c>
      <c r="D14" s="72" t="s">
        <v>1570</v>
      </c>
      <c r="E14" s="72" t="s">
        <v>1571</v>
      </c>
      <c r="F14" s="72" t="s">
        <v>1572</v>
      </c>
      <c r="G14" s="72" t="s">
        <v>1573</v>
      </c>
      <c r="H14" s="72" t="s">
        <v>1574</v>
      </c>
      <c r="I14" s="73" t="s">
        <v>1129</v>
      </c>
      <c r="J14" s="72" t="s">
        <v>7</v>
      </c>
    </row>
    <row r="15" ht="60" customHeight="1" spans="1:10">
      <c r="A15" s="72" t="s">
        <v>1575</v>
      </c>
      <c r="B15" s="72" t="s">
        <v>1568</v>
      </c>
      <c r="C15" s="73" t="s">
        <v>1569</v>
      </c>
      <c r="D15" s="72" t="s">
        <v>1576</v>
      </c>
      <c r="E15" s="72" t="s">
        <v>1571</v>
      </c>
      <c r="F15" s="72" t="s">
        <v>1572</v>
      </c>
      <c r="G15" s="72" t="s">
        <v>1577</v>
      </c>
      <c r="H15" s="72" t="s">
        <v>1578</v>
      </c>
      <c r="I15" s="73" t="s">
        <v>1129</v>
      </c>
      <c r="J15" s="72" t="s">
        <v>7</v>
      </c>
    </row>
    <row r="16" ht="60" customHeight="1" spans="1:10">
      <c r="A16" s="72" t="s">
        <v>1579</v>
      </c>
      <c r="B16" s="72" t="s">
        <v>1568</v>
      </c>
      <c r="C16" s="73" t="s">
        <v>1569</v>
      </c>
      <c r="D16" s="72" t="s">
        <v>1580</v>
      </c>
      <c r="E16" s="72" t="s">
        <v>1571</v>
      </c>
      <c r="F16" s="72" t="s">
        <v>1581</v>
      </c>
      <c r="G16" s="72" t="s">
        <v>1577</v>
      </c>
      <c r="H16" s="72" t="s">
        <v>1582</v>
      </c>
      <c r="I16" s="73" t="s">
        <v>1129</v>
      </c>
      <c r="J16" s="72" t="s">
        <v>7</v>
      </c>
    </row>
    <row r="17" ht="30" customHeight="1" spans="1:10">
      <c r="A17" s="72" t="s">
        <v>1583</v>
      </c>
      <c r="B17" s="72" t="s">
        <v>1584</v>
      </c>
      <c r="C17" s="73" t="s">
        <v>1585</v>
      </c>
      <c r="D17" s="72" t="s">
        <v>1586</v>
      </c>
      <c r="E17" s="72" t="s">
        <v>1587</v>
      </c>
      <c r="F17" s="72" t="s">
        <v>1588</v>
      </c>
      <c r="G17" s="72" t="s">
        <v>1589</v>
      </c>
      <c r="H17" s="72" t="s">
        <v>1590</v>
      </c>
      <c r="I17" s="73" t="s">
        <v>1129</v>
      </c>
      <c r="J17" s="72" t="s">
        <v>7</v>
      </c>
    </row>
    <row r="18" ht="15.75" spans="1:10">
      <c r="A18" s="71" t="s">
        <v>1591</v>
      </c>
      <c r="B18" s="48"/>
      <c r="C18" s="48"/>
      <c r="D18" s="48"/>
      <c r="E18" s="48"/>
      <c r="F18" s="48"/>
      <c r="G18" s="48"/>
      <c r="H18" s="48"/>
      <c r="I18" s="48"/>
      <c r="J18" s="32"/>
    </row>
    <row r="19" ht="45" customHeight="1" spans="1:10">
      <c r="A19" s="72" t="s">
        <v>1592</v>
      </c>
      <c r="B19" s="72" t="s">
        <v>1593</v>
      </c>
      <c r="C19" s="73" t="s">
        <v>1585</v>
      </c>
      <c r="D19" s="72" t="s">
        <v>1594</v>
      </c>
      <c r="E19" s="72" t="s">
        <v>1595</v>
      </c>
      <c r="F19" s="72" t="s">
        <v>1588</v>
      </c>
      <c r="G19" s="72" t="s">
        <v>1596</v>
      </c>
      <c r="H19" s="72" t="s">
        <v>1597</v>
      </c>
      <c r="I19" s="73" t="s">
        <v>1129</v>
      </c>
      <c r="J19" s="72" t="s">
        <v>7</v>
      </c>
    </row>
    <row r="20" ht="30" customHeight="1" spans="1:10">
      <c r="A20" s="72" t="s">
        <v>1598</v>
      </c>
      <c r="B20" s="72" t="s">
        <v>1593</v>
      </c>
      <c r="C20" s="73" t="s">
        <v>1585</v>
      </c>
      <c r="D20" s="72" t="s">
        <v>1599</v>
      </c>
      <c r="E20" s="72" t="s">
        <v>1571</v>
      </c>
      <c r="F20" s="72" t="s">
        <v>1588</v>
      </c>
      <c r="G20" s="72" t="s">
        <v>1600</v>
      </c>
      <c r="H20" s="72" t="s">
        <v>1601</v>
      </c>
      <c r="I20" s="73" t="s">
        <v>1129</v>
      </c>
      <c r="J20" s="72" t="s">
        <v>7</v>
      </c>
    </row>
    <row r="21" ht="60" customHeight="1" spans="1:10">
      <c r="A21" s="72" t="s">
        <v>1602</v>
      </c>
      <c r="B21" s="72" t="s">
        <v>1593</v>
      </c>
      <c r="C21" s="73" t="s">
        <v>1603</v>
      </c>
      <c r="D21" s="72" t="s">
        <v>1604</v>
      </c>
      <c r="E21" s="72" t="s">
        <v>1595</v>
      </c>
      <c r="F21" s="72" t="s">
        <v>1605</v>
      </c>
      <c r="G21" s="72" t="s">
        <v>1606</v>
      </c>
      <c r="H21" s="72" t="s">
        <v>1607</v>
      </c>
      <c r="I21" s="73" t="s">
        <v>1129</v>
      </c>
      <c r="J21" s="72" t="s">
        <v>7</v>
      </c>
    </row>
    <row r="22" ht="45" customHeight="1" spans="1:10">
      <c r="A22" s="72" t="s">
        <v>1608</v>
      </c>
      <c r="B22" s="72" t="s">
        <v>1593</v>
      </c>
      <c r="C22" s="73" t="s">
        <v>1603</v>
      </c>
      <c r="D22" s="72" t="s">
        <v>1609</v>
      </c>
      <c r="E22" s="72" t="s">
        <v>1595</v>
      </c>
      <c r="F22" s="72" t="s">
        <v>1610</v>
      </c>
      <c r="G22" s="72" t="s">
        <v>1611</v>
      </c>
      <c r="H22" s="72" t="s">
        <v>1612</v>
      </c>
      <c r="I22" s="73" t="s">
        <v>1129</v>
      </c>
      <c r="J22" s="72" t="s">
        <v>7</v>
      </c>
    </row>
    <row r="23" ht="60" customHeight="1" spans="1:10">
      <c r="A23" s="72" t="s">
        <v>1613</v>
      </c>
      <c r="B23" s="72" t="s">
        <v>1593</v>
      </c>
      <c r="C23" s="73" t="s">
        <v>1603</v>
      </c>
      <c r="D23" s="72" t="s">
        <v>1614</v>
      </c>
      <c r="E23" s="72" t="s">
        <v>1595</v>
      </c>
      <c r="F23" s="72" t="s">
        <v>1615</v>
      </c>
      <c r="G23" s="72" t="s">
        <v>1611</v>
      </c>
      <c r="H23" s="72" t="s">
        <v>1616</v>
      </c>
      <c r="I23" s="73" t="s">
        <v>1129</v>
      </c>
      <c r="J23" s="72" t="s">
        <v>7</v>
      </c>
    </row>
    <row r="24" ht="15.75" spans="1:10">
      <c r="A24" s="71" t="s">
        <v>1617</v>
      </c>
      <c r="B24" s="48"/>
      <c r="C24" s="48"/>
      <c r="D24" s="48"/>
      <c r="E24" s="48"/>
      <c r="F24" s="48"/>
      <c r="G24" s="48"/>
      <c r="H24" s="48"/>
      <c r="I24" s="48"/>
      <c r="J24" s="32"/>
    </row>
    <row r="25" ht="105" customHeight="1" spans="1:10">
      <c r="A25" s="72" t="s">
        <v>1618</v>
      </c>
      <c r="B25" s="72" t="s">
        <v>1619</v>
      </c>
      <c r="C25" s="73" t="s">
        <v>1585</v>
      </c>
      <c r="D25" s="72" t="s">
        <v>1620</v>
      </c>
      <c r="E25" s="72" t="s">
        <v>1571</v>
      </c>
      <c r="F25" s="72" t="s">
        <v>1588</v>
      </c>
      <c r="G25" s="72" t="s">
        <v>1621</v>
      </c>
      <c r="H25" s="72" t="s">
        <v>1622</v>
      </c>
      <c r="I25" s="73" t="s">
        <v>1129</v>
      </c>
      <c r="J25" s="72" t="s">
        <v>7</v>
      </c>
    </row>
    <row r="26" ht="105" customHeight="1" spans="1:10">
      <c r="A26" s="72" t="s">
        <v>1623</v>
      </c>
      <c r="B26" s="72" t="s">
        <v>1624</v>
      </c>
      <c r="C26" s="73" t="s">
        <v>1585</v>
      </c>
      <c r="D26" s="72" t="s">
        <v>1625</v>
      </c>
      <c r="E26" s="72" t="s">
        <v>1571</v>
      </c>
      <c r="F26" s="72" t="s">
        <v>1588</v>
      </c>
      <c r="G26" s="72" t="s">
        <v>1626</v>
      </c>
      <c r="H26" s="72" t="s">
        <v>1627</v>
      </c>
      <c r="I26" s="73" t="s">
        <v>1129</v>
      </c>
      <c r="J26" s="72" t="s">
        <v>7</v>
      </c>
    </row>
    <row r="27" ht="45" customHeight="1" spans="1:10">
      <c r="A27" s="72" t="s">
        <v>1628</v>
      </c>
      <c r="B27" s="72" t="s">
        <v>1629</v>
      </c>
      <c r="C27" s="73" t="s">
        <v>1585</v>
      </c>
      <c r="D27" s="72" t="s">
        <v>1630</v>
      </c>
      <c r="E27" s="72" t="s">
        <v>1571</v>
      </c>
      <c r="F27" s="72" t="s">
        <v>1588</v>
      </c>
      <c r="G27" s="72" t="s">
        <v>1631</v>
      </c>
      <c r="H27" s="72" t="s">
        <v>1632</v>
      </c>
      <c r="I27" s="73" t="s">
        <v>1129</v>
      </c>
      <c r="J27" s="72" t="s">
        <v>7</v>
      </c>
    </row>
    <row r="28" ht="150" customHeight="1" spans="1:10">
      <c r="A28" s="72" t="s">
        <v>1633</v>
      </c>
      <c r="B28" s="72" t="s">
        <v>1634</v>
      </c>
      <c r="C28" s="73" t="s">
        <v>1569</v>
      </c>
      <c r="D28" s="72" t="s">
        <v>1635</v>
      </c>
      <c r="E28" s="72" t="s">
        <v>1595</v>
      </c>
      <c r="F28" s="72" t="s">
        <v>1636</v>
      </c>
      <c r="G28" s="72" t="s">
        <v>1637</v>
      </c>
      <c r="H28" s="72" t="s">
        <v>1638</v>
      </c>
      <c r="I28" s="73" t="s">
        <v>1129</v>
      </c>
      <c r="J28" s="72" t="s">
        <v>7</v>
      </c>
    </row>
    <row r="29" ht="90" customHeight="1" spans="1:10">
      <c r="A29" s="72" t="s">
        <v>1639</v>
      </c>
      <c r="B29" s="72" t="s">
        <v>1634</v>
      </c>
      <c r="C29" s="73" t="s">
        <v>1569</v>
      </c>
      <c r="D29" s="72" t="s">
        <v>1640</v>
      </c>
      <c r="E29" s="72" t="s">
        <v>1595</v>
      </c>
      <c r="F29" s="72" t="s">
        <v>1641</v>
      </c>
      <c r="G29" s="72" t="s">
        <v>1642</v>
      </c>
      <c r="H29" s="72" t="s">
        <v>1643</v>
      </c>
      <c r="I29" s="73" t="s">
        <v>1129</v>
      </c>
      <c r="J29" s="72" t="s">
        <v>7</v>
      </c>
    </row>
    <row r="30" ht="45" customHeight="1" spans="1:10">
      <c r="A30" s="72" t="s">
        <v>1644</v>
      </c>
      <c r="B30" s="72" t="s">
        <v>1634</v>
      </c>
      <c r="C30" s="73" t="s">
        <v>1585</v>
      </c>
      <c r="D30" s="72" t="s">
        <v>1645</v>
      </c>
      <c r="E30" s="72" t="s">
        <v>1595</v>
      </c>
      <c r="F30" s="72" t="s">
        <v>1588</v>
      </c>
      <c r="G30" s="72" t="s">
        <v>1646</v>
      </c>
      <c r="H30" s="72" t="s">
        <v>1647</v>
      </c>
      <c r="I30" s="73" t="s">
        <v>1129</v>
      </c>
      <c r="J30" s="72" t="s">
        <v>7</v>
      </c>
    </row>
    <row r="31" ht="45" customHeight="1" spans="1:10">
      <c r="A31" s="72" t="s">
        <v>1648</v>
      </c>
      <c r="B31" s="72" t="s">
        <v>1649</v>
      </c>
      <c r="C31" s="73" t="s">
        <v>1650</v>
      </c>
      <c r="D31" s="72" t="s">
        <v>1651</v>
      </c>
      <c r="E31" s="72" t="s">
        <v>1652</v>
      </c>
      <c r="F31" s="72" t="s">
        <v>1588</v>
      </c>
      <c r="G31" s="72" t="s">
        <v>1653</v>
      </c>
      <c r="H31" s="72" t="s">
        <v>1654</v>
      </c>
      <c r="I31" s="73" t="s">
        <v>1129</v>
      </c>
      <c r="J31" s="72" t="s">
        <v>7</v>
      </c>
    </row>
    <row r="32" ht="45" customHeight="1" spans="1:10">
      <c r="A32" s="72" t="s">
        <v>1655</v>
      </c>
      <c r="B32" s="72" t="s">
        <v>1649</v>
      </c>
      <c r="C32" s="73" t="s">
        <v>1650</v>
      </c>
      <c r="D32" s="72" t="s">
        <v>1656</v>
      </c>
      <c r="E32" s="72" t="s">
        <v>1595</v>
      </c>
      <c r="F32" s="72" t="s">
        <v>1588</v>
      </c>
      <c r="G32" s="72" t="s">
        <v>1657</v>
      </c>
      <c r="H32" s="72" t="s">
        <v>1658</v>
      </c>
      <c r="I32" s="73" t="s">
        <v>1129</v>
      </c>
      <c r="J32" s="72" t="s">
        <v>7</v>
      </c>
    </row>
    <row r="33" ht="15.75" spans="1:10">
      <c r="A33" s="71" t="s">
        <v>1659</v>
      </c>
      <c r="B33" s="48"/>
      <c r="C33" s="48"/>
      <c r="D33" s="48"/>
      <c r="E33" s="48"/>
      <c r="F33" s="48"/>
      <c r="G33" s="48"/>
      <c r="H33" s="48"/>
      <c r="I33" s="48"/>
      <c r="J33" s="32"/>
    </row>
    <row r="34" ht="105" customHeight="1" spans="1:10">
      <c r="A34" s="72" t="s">
        <v>1660</v>
      </c>
      <c r="B34" s="72" t="s">
        <v>1661</v>
      </c>
      <c r="C34" s="73" t="s">
        <v>1585</v>
      </c>
      <c r="D34" s="72" t="s">
        <v>1662</v>
      </c>
      <c r="E34" s="72" t="s">
        <v>1663</v>
      </c>
      <c r="F34" s="72" t="s">
        <v>1588</v>
      </c>
      <c r="G34" s="72" t="s">
        <v>1664</v>
      </c>
      <c r="H34" s="72" t="s">
        <v>1665</v>
      </c>
      <c r="I34" s="73" t="s">
        <v>1129</v>
      </c>
      <c r="J34" s="72" t="s">
        <v>7</v>
      </c>
    </row>
    <row r="35" ht="105" customHeight="1" spans="1:10">
      <c r="A35" s="72" t="s">
        <v>1666</v>
      </c>
      <c r="B35" s="72" t="s">
        <v>1661</v>
      </c>
      <c r="C35" s="73" t="s">
        <v>1585</v>
      </c>
      <c r="D35" s="72" t="s">
        <v>1667</v>
      </c>
      <c r="E35" s="72" t="s">
        <v>1668</v>
      </c>
      <c r="F35" s="72" t="s">
        <v>1588</v>
      </c>
      <c r="G35" s="72" t="s">
        <v>1669</v>
      </c>
      <c r="H35" s="72" t="s">
        <v>1670</v>
      </c>
      <c r="I35" s="73" t="s">
        <v>1129</v>
      </c>
      <c r="J35" s="72" t="s">
        <v>7</v>
      </c>
    </row>
    <row r="36" ht="15.75" spans="1:10">
      <c r="A36" s="71" t="s">
        <v>1671</v>
      </c>
      <c r="B36" s="48"/>
      <c r="C36" s="48"/>
      <c r="D36" s="48"/>
      <c r="E36" s="48"/>
      <c r="F36" s="48"/>
      <c r="G36" s="48"/>
      <c r="H36" s="48"/>
      <c r="I36" s="48"/>
      <c r="J36" s="32"/>
    </row>
    <row r="37" ht="30" customHeight="1" spans="1:10">
      <c r="A37" s="72" t="s">
        <v>1672</v>
      </c>
      <c r="B37" s="72" t="s">
        <v>1673</v>
      </c>
      <c r="C37" s="73" t="s">
        <v>1585</v>
      </c>
      <c r="D37" s="72" t="s">
        <v>1674</v>
      </c>
      <c r="E37" s="72" t="s">
        <v>1595</v>
      </c>
      <c r="F37" s="72" t="s">
        <v>1588</v>
      </c>
      <c r="G37" s="72" t="s">
        <v>1675</v>
      </c>
      <c r="H37" s="72" t="s">
        <v>1676</v>
      </c>
      <c r="I37" s="73" t="s">
        <v>1129</v>
      </c>
      <c r="J37" s="72" t="s">
        <v>7</v>
      </c>
    </row>
    <row r="38" ht="15.75" spans="1:10">
      <c r="A38" s="71" t="s">
        <v>1659</v>
      </c>
      <c r="B38" s="48"/>
      <c r="C38" s="48"/>
      <c r="D38" s="48"/>
      <c r="E38" s="48"/>
      <c r="F38" s="48"/>
      <c r="G38" s="48"/>
      <c r="H38" s="48"/>
      <c r="I38" s="48"/>
      <c r="J38" s="32"/>
    </row>
    <row r="39" ht="45" customHeight="1" spans="1:10">
      <c r="A39" s="72" t="s">
        <v>1677</v>
      </c>
      <c r="B39" s="72" t="s">
        <v>1678</v>
      </c>
      <c r="C39" s="73" t="s">
        <v>1603</v>
      </c>
      <c r="D39" s="72" t="s">
        <v>1679</v>
      </c>
      <c r="E39" s="72" t="s">
        <v>1663</v>
      </c>
      <c r="F39" s="72" t="s">
        <v>1680</v>
      </c>
      <c r="G39" s="72" t="s">
        <v>1681</v>
      </c>
      <c r="H39" s="72" t="s">
        <v>1682</v>
      </c>
      <c r="I39" s="73" t="s">
        <v>1129</v>
      </c>
      <c r="J39" s="72" t="s">
        <v>7</v>
      </c>
    </row>
    <row r="40" ht="45" customHeight="1" spans="1:10">
      <c r="A40" s="72" t="s">
        <v>1683</v>
      </c>
      <c r="B40" s="72" t="s">
        <v>1678</v>
      </c>
      <c r="C40" s="73" t="s">
        <v>1603</v>
      </c>
      <c r="D40" s="72" t="s">
        <v>1684</v>
      </c>
      <c r="E40" s="72" t="s">
        <v>1663</v>
      </c>
      <c r="F40" s="72" t="s">
        <v>1685</v>
      </c>
      <c r="G40" s="72" t="s">
        <v>1686</v>
      </c>
      <c r="H40" s="72" t="s">
        <v>1687</v>
      </c>
      <c r="I40" s="73" t="s">
        <v>1129</v>
      </c>
      <c r="J40" s="72" t="s">
        <v>7</v>
      </c>
    </row>
    <row r="41" ht="15.75" spans="1:10">
      <c r="A41" s="71" t="s">
        <v>1671</v>
      </c>
      <c r="B41" s="48"/>
      <c r="C41" s="48"/>
      <c r="D41" s="48"/>
      <c r="E41" s="48"/>
      <c r="F41" s="48"/>
      <c r="G41" s="48"/>
      <c r="H41" s="48"/>
      <c r="I41" s="48"/>
      <c r="J41" s="32"/>
    </row>
    <row r="42" ht="75" customHeight="1" spans="1:10">
      <c r="A42" s="72" t="s">
        <v>1688</v>
      </c>
      <c r="B42" s="72" t="s">
        <v>1678</v>
      </c>
      <c r="C42" s="73" t="s">
        <v>1603</v>
      </c>
      <c r="D42" s="72" t="s">
        <v>1689</v>
      </c>
      <c r="E42" s="72" t="s">
        <v>1668</v>
      </c>
      <c r="F42" s="72" t="s">
        <v>1690</v>
      </c>
      <c r="G42" s="72" t="s">
        <v>1691</v>
      </c>
      <c r="H42" s="72" t="s">
        <v>1692</v>
      </c>
      <c r="I42" s="73" t="s">
        <v>1130</v>
      </c>
      <c r="J42" s="72" t="s">
        <v>1693</v>
      </c>
    </row>
    <row r="43" ht="75" customHeight="1" spans="1:10">
      <c r="A43" s="72" t="s">
        <v>1694</v>
      </c>
      <c r="B43" s="72" t="s">
        <v>1695</v>
      </c>
      <c r="C43" s="73" t="s">
        <v>1585</v>
      </c>
      <c r="D43" s="72" t="s">
        <v>1696</v>
      </c>
      <c r="E43" s="72" t="s">
        <v>1668</v>
      </c>
      <c r="F43" s="72" t="s">
        <v>1588</v>
      </c>
      <c r="G43" s="72" t="s">
        <v>1691</v>
      </c>
      <c r="H43" s="72" t="s">
        <v>1697</v>
      </c>
      <c r="I43" s="73" t="s">
        <v>1130</v>
      </c>
      <c r="J43" s="72" t="s">
        <v>1693</v>
      </c>
    </row>
    <row r="44" ht="15.75" spans="1:10">
      <c r="A44" s="71" t="s">
        <v>1659</v>
      </c>
      <c r="B44" s="48"/>
      <c r="C44" s="48"/>
      <c r="D44" s="48"/>
      <c r="E44" s="48"/>
      <c r="F44" s="48"/>
      <c r="G44" s="48"/>
      <c r="H44" s="48"/>
      <c r="I44" s="48"/>
      <c r="J44" s="32"/>
    </row>
    <row r="45" ht="45" customHeight="1" spans="1:10">
      <c r="A45" s="72" t="s">
        <v>1698</v>
      </c>
      <c r="B45" s="72" t="s">
        <v>1699</v>
      </c>
      <c r="C45" s="73" t="s">
        <v>1603</v>
      </c>
      <c r="D45" s="72" t="s">
        <v>1700</v>
      </c>
      <c r="E45" s="72" t="s">
        <v>1663</v>
      </c>
      <c r="F45" s="72" t="s">
        <v>1701</v>
      </c>
      <c r="G45" s="72" t="s">
        <v>1686</v>
      </c>
      <c r="H45" s="72" t="s">
        <v>1702</v>
      </c>
      <c r="I45" s="73" t="s">
        <v>1129</v>
      </c>
      <c r="J45" s="72" t="s">
        <v>7</v>
      </c>
    </row>
    <row r="46" ht="60" customHeight="1" spans="1:10">
      <c r="A46" s="72" t="s">
        <v>1703</v>
      </c>
      <c r="B46" s="72" t="s">
        <v>1699</v>
      </c>
      <c r="C46" s="73" t="s">
        <v>1603</v>
      </c>
      <c r="D46" s="72" t="s">
        <v>1704</v>
      </c>
      <c r="E46" s="72" t="s">
        <v>1663</v>
      </c>
      <c r="F46" s="72" t="s">
        <v>1705</v>
      </c>
      <c r="G46" s="72" t="s">
        <v>1706</v>
      </c>
      <c r="H46" s="72" t="s">
        <v>1707</v>
      </c>
      <c r="I46" s="73" t="s">
        <v>1129</v>
      </c>
      <c r="J46" s="72" t="s">
        <v>7</v>
      </c>
    </row>
    <row r="47" ht="45" customHeight="1" spans="1:10">
      <c r="A47" s="72" t="s">
        <v>1708</v>
      </c>
      <c r="B47" s="72" t="s">
        <v>1699</v>
      </c>
      <c r="C47" s="73" t="s">
        <v>1603</v>
      </c>
      <c r="D47" s="72" t="s">
        <v>1709</v>
      </c>
      <c r="E47" s="72" t="s">
        <v>1663</v>
      </c>
      <c r="F47" s="72" t="s">
        <v>1710</v>
      </c>
      <c r="G47" s="72" t="s">
        <v>1711</v>
      </c>
      <c r="H47" s="72" t="s">
        <v>1712</v>
      </c>
      <c r="I47" s="73" t="s">
        <v>1129</v>
      </c>
      <c r="J47" s="72" t="s">
        <v>7</v>
      </c>
    </row>
    <row r="48" ht="105" customHeight="1" spans="1:10">
      <c r="A48" s="72" t="s">
        <v>1713</v>
      </c>
      <c r="B48" s="72" t="s">
        <v>1673</v>
      </c>
      <c r="C48" s="73" t="s">
        <v>1569</v>
      </c>
      <c r="D48" s="72" t="s">
        <v>1714</v>
      </c>
      <c r="E48" s="72" t="s">
        <v>1663</v>
      </c>
      <c r="F48" s="72" t="s">
        <v>1715</v>
      </c>
      <c r="G48" s="72" t="s">
        <v>1716</v>
      </c>
      <c r="H48" s="72" t="s">
        <v>1717</v>
      </c>
      <c r="I48" s="73" t="s">
        <v>1130</v>
      </c>
      <c r="J48" s="72" t="s">
        <v>1718</v>
      </c>
    </row>
    <row r="49" ht="90" customHeight="1" spans="1:10">
      <c r="A49" s="72" t="s">
        <v>1719</v>
      </c>
      <c r="B49" s="72" t="s">
        <v>1673</v>
      </c>
      <c r="C49" s="73" t="s">
        <v>1569</v>
      </c>
      <c r="D49" s="72" t="s">
        <v>1720</v>
      </c>
      <c r="E49" s="72" t="s">
        <v>1663</v>
      </c>
      <c r="F49" s="72" t="s">
        <v>1721</v>
      </c>
      <c r="G49" s="72" t="s">
        <v>1722</v>
      </c>
      <c r="H49" s="72" t="s">
        <v>1723</v>
      </c>
      <c r="I49" s="73" t="s">
        <v>1129</v>
      </c>
      <c r="J49" s="72" t="s">
        <v>7</v>
      </c>
    </row>
    <row r="50" ht="15.75" spans="1:10">
      <c r="A50" s="71" t="s">
        <v>1591</v>
      </c>
      <c r="B50" s="48"/>
      <c r="C50" s="48"/>
      <c r="D50" s="48"/>
      <c r="E50" s="48"/>
      <c r="F50" s="48"/>
      <c r="G50" s="48"/>
      <c r="H50" s="48"/>
      <c r="I50" s="48"/>
      <c r="J50" s="32"/>
    </row>
    <row r="51" ht="45" customHeight="1" spans="1:10">
      <c r="A51" s="72" t="s">
        <v>1724</v>
      </c>
      <c r="B51" s="72" t="s">
        <v>1725</v>
      </c>
      <c r="C51" s="73" t="s">
        <v>1585</v>
      </c>
      <c r="D51" s="72" t="s">
        <v>1726</v>
      </c>
      <c r="E51" s="72" t="s">
        <v>1571</v>
      </c>
      <c r="F51" s="72" t="s">
        <v>1588</v>
      </c>
      <c r="G51" s="72" t="s">
        <v>1727</v>
      </c>
      <c r="H51" s="72" t="s">
        <v>1728</v>
      </c>
      <c r="I51" s="73" t="s">
        <v>1129</v>
      </c>
      <c r="J51" s="72" t="s">
        <v>7</v>
      </c>
    </row>
    <row r="52" ht="15.75" spans="1:10">
      <c r="A52" s="71" t="s">
        <v>1729</v>
      </c>
      <c r="B52" s="48"/>
      <c r="C52" s="48"/>
      <c r="D52" s="48"/>
      <c r="E52" s="48"/>
      <c r="F52" s="48"/>
      <c r="G52" s="48"/>
      <c r="H52" s="48"/>
      <c r="I52" s="48"/>
      <c r="J52" s="32"/>
    </row>
    <row r="53" ht="30" customHeight="1" spans="1:10">
      <c r="A53" s="72" t="s">
        <v>1730</v>
      </c>
      <c r="B53" s="72" t="s">
        <v>1673</v>
      </c>
      <c r="C53" s="73" t="s">
        <v>1585</v>
      </c>
      <c r="D53" s="72" t="s">
        <v>1731</v>
      </c>
      <c r="E53" s="72" t="s">
        <v>1732</v>
      </c>
      <c r="F53" s="72" t="s">
        <v>1588</v>
      </c>
      <c r="G53" s="72" t="s">
        <v>1733</v>
      </c>
      <c r="H53" s="72" t="s">
        <v>1734</v>
      </c>
      <c r="I53" s="73" t="s">
        <v>1129</v>
      </c>
      <c r="J53" s="72" t="s">
        <v>7</v>
      </c>
    </row>
    <row r="54" ht="30" customHeight="1" spans="1:10">
      <c r="A54" s="72" t="s">
        <v>1735</v>
      </c>
      <c r="B54" s="72" t="s">
        <v>1736</v>
      </c>
      <c r="C54" s="73" t="s">
        <v>1585</v>
      </c>
      <c r="D54" s="72" t="s">
        <v>1737</v>
      </c>
      <c r="E54" s="72" t="s">
        <v>1595</v>
      </c>
      <c r="F54" s="72" t="s">
        <v>1588</v>
      </c>
      <c r="G54" s="72" t="s">
        <v>1738</v>
      </c>
      <c r="H54" s="72" t="s">
        <v>1734</v>
      </c>
      <c r="I54" s="73" t="s">
        <v>1129</v>
      </c>
      <c r="J54" s="72" t="s">
        <v>7</v>
      </c>
    </row>
    <row r="55" ht="45" customHeight="1" spans="1:10">
      <c r="A55" s="72" t="s">
        <v>1739</v>
      </c>
      <c r="B55" s="72" t="s">
        <v>1740</v>
      </c>
      <c r="C55" s="73" t="s">
        <v>1585</v>
      </c>
      <c r="D55" s="72" t="s">
        <v>1741</v>
      </c>
      <c r="E55" s="72" t="s">
        <v>1595</v>
      </c>
      <c r="F55" s="72" t="s">
        <v>1588</v>
      </c>
      <c r="G55" s="72" t="s">
        <v>1742</v>
      </c>
      <c r="H55" s="72" t="s">
        <v>1743</v>
      </c>
      <c r="I55" s="73" t="s">
        <v>1129</v>
      </c>
      <c r="J55" s="72" t="s">
        <v>7</v>
      </c>
    </row>
    <row r="56" ht="45" customHeight="1" spans="1:10">
      <c r="A56" s="72" t="s">
        <v>1744</v>
      </c>
      <c r="B56" s="72" t="s">
        <v>1593</v>
      </c>
      <c r="C56" s="73" t="s">
        <v>1585</v>
      </c>
      <c r="D56" s="72" t="s">
        <v>1745</v>
      </c>
      <c r="E56" s="72" t="s">
        <v>1746</v>
      </c>
      <c r="F56" s="72" t="s">
        <v>1588</v>
      </c>
      <c r="G56" s="72" t="s">
        <v>1747</v>
      </c>
      <c r="H56" s="72" t="s">
        <v>1748</v>
      </c>
      <c r="I56" s="73" t="s">
        <v>1129</v>
      </c>
      <c r="J56" s="72" t="s">
        <v>7</v>
      </c>
    </row>
  </sheetData>
  <mergeCells count="12">
    <mergeCell ref="A1:J1"/>
    <mergeCell ref="A8:E8"/>
    <mergeCell ref="A13:J13"/>
    <mergeCell ref="A18:J18"/>
    <mergeCell ref="A24:J24"/>
    <mergeCell ref="A33:J33"/>
    <mergeCell ref="A36:J36"/>
    <mergeCell ref="A38:J38"/>
    <mergeCell ref="A41:J41"/>
    <mergeCell ref="A44:J44"/>
    <mergeCell ref="A50:J50"/>
    <mergeCell ref="A52:J52"/>
  </mergeCells>
  <conditionalFormatting sqref="I13:I56">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1"/>
  <sheetViews>
    <sheetView workbookViewId="0">
      <selection activeCell="A1" sqref="A1:K1"/>
    </sheetView>
  </sheetViews>
  <sheetFormatPr defaultColWidth="9" defaultRowHeight="15"/>
  <cols>
    <col min="1" max="1" width="7" customWidth="1"/>
    <col min="2" max="2" width="12" customWidth="1"/>
    <col min="3" max="3" width="30" customWidth="1"/>
    <col min="4" max="4" width="20" customWidth="1"/>
    <col min="5" max="5" width="36" customWidth="1"/>
    <col min="6" max="9" width="18" customWidth="1"/>
    <col min="10" max="10" width="10" customWidth="1"/>
    <col min="11" max="11" width="26" customWidth="1"/>
  </cols>
  <sheetData>
    <row r="1" ht="20.25" spans="1:11">
      <c r="A1" s="20" t="s">
        <v>1749</v>
      </c>
    </row>
    <row r="3" ht="28.5" spans="1:11">
      <c r="A3" s="49" t="s">
        <v>1008</v>
      </c>
      <c r="B3" s="49" t="s">
        <v>227</v>
      </c>
      <c r="D3" s="49" t="s">
        <v>1540</v>
      </c>
      <c r="E3" s="49" t="s">
        <v>7</v>
      </c>
    </row>
    <row r="4" ht="42.75" spans="1:11">
      <c r="A4" s="49" t="s">
        <v>1750</v>
      </c>
      <c r="B4" s="50" t="s">
        <v>1751</v>
      </c>
      <c r="D4" s="49" t="s">
        <v>1752</v>
      </c>
      <c r="E4" s="49" t="s">
        <v>1753</v>
      </c>
    </row>
    <row r="5" ht="42.75" spans="1:11">
      <c r="A5" s="49" t="s">
        <v>1754</v>
      </c>
      <c r="B5" s="49" t="s">
        <v>1755</v>
      </c>
      <c r="D5" s="49" t="s">
        <v>1543</v>
      </c>
      <c r="E5" s="49" t="s">
        <v>233</v>
      </c>
    </row>
    <row r="7" ht="15.75" spans="1:11">
      <c r="A7" s="51" t="s">
        <v>1756</v>
      </c>
    </row>
    <row r="8" spans="1:11">
      <c r="A8" s="52" t="s">
        <v>1757</v>
      </c>
      <c r="B8" s="32"/>
      <c r="C8" s="52" t="s">
        <v>1758</v>
      </c>
      <c r="D8" s="52" t="s">
        <v>1553</v>
      </c>
      <c r="E8" s="52" t="s">
        <v>1554</v>
      </c>
      <c r="F8" s="52" t="s">
        <v>1759</v>
      </c>
      <c r="G8" s="52" t="s">
        <v>1760</v>
      </c>
      <c r="H8" s="48"/>
      <c r="I8" s="48"/>
      <c r="J8" s="48"/>
      <c r="K8" s="32"/>
    </row>
    <row r="9" ht="32" customHeight="1" spans="1:11">
      <c r="A9" s="53" t="s">
        <v>1761</v>
      </c>
      <c r="B9" s="54"/>
      <c r="C9" s="55">
        <f>COUNTIF($B$15:$B$101,"Unit Test")-COUNTIFS($B$15:$B$101,"Unit Test",$J$15:$J$101,"Pending")</f>
        <v>25</v>
      </c>
      <c r="D9" s="55">
        <f>COUNTIFS($B$15:$B$101,"Unit Test",$J$15:$J$101,"Pass")</f>
        <v>21</v>
      </c>
      <c r="E9" s="55">
        <f>COUNTIFS($B$15:$B$101,"Unit Test",$J$15:$J$101,"Fail")</f>
        <v>4</v>
      </c>
      <c r="F9" s="56">
        <f>IFERROR(D9/C9,0)</f>
        <v>0.84</v>
      </c>
      <c r="G9" s="57" t="s">
        <v>1308</v>
      </c>
      <c r="H9" s="48"/>
      <c r="I9" s="48"/>
      <c r="J9" s="48"/>
      <c r="K9" s="32"/>
    </row>
    <row r="10" ht="32" customHeight="1" spans="1:11">
      <c r="A10" s="53" t="s">
        <v>1762</v>
      </c>
      <c r="B10" s="54"/>
      <c r="C10" s="55">
        <f>COUNTIF($B$15:$B$101,"API Test")-COUNTIFS($B$15:$B$101,"API Test",$J$15:$J$101,"Pending")</f>
        <v>34</v>
      </c>
      <c r="D10" s="55">
        <f>COUNTIFS($B$15:$B$101,"API Test",$J$15:$J$101,"Pass")</f>
        <v>31</v>
      </c>
      <c r="E10" s="55">
        <f>COUNTIFS($B$15:$B$101,"API Test",$J$15:$J$101,"Fail")</f>
        <v>3</v>
      </c>
      <c r="F10" s="56">
        <f>IFERROR(D10/C10,0)</f>
        <v>0.911764705882353</v>
      </c>
      <c r="G10" s="57" t="s">
        <v>1763</v>
      </c>
      <c r="H10" s="48"/>
      <c r="I10" s="48"/>
      <c r="J10" s="48"/>
      <c r="K10" s="32"/>
    </row>
    <row r="11" ht="32" customHeight="1" spans="1:11">
      <c r="A11" s="53" t="s">
        <v>1764</v>
      </c>
      <c r="B11" s="54"/>
      <c r="C11" s="55">
        <f>COUNTIF($B$15:$B$101,"UI Test")-COUNTIFS($B$15:$B$101,"UI Test",$J$15:$J$101,"Pending")</f>
        <v>25</v>
      </c>
      <c r="D11" s="55">
        <f>COUNTIFS($B$15:$B$101,"UI Test",$J$15:$J$101,"Pass")</f>
        <v>21</v>
      </c>
      <c r="E11" s="55">
        <f>COUNTIFS($B$15:$B$101,"UI Test",$J$15:$J$101,"Fail")</f>
        <v>4</v>
      </c>
      <c r="F11" s="56">
        <f>IFERROR(D11/C11,0)</f>
        <v>0.84</v>
      </c>
      <c r="G11" s="57" t="s">
        <v>1765</v>
      </c>
      <c r="H11" s="48"/>
      <c r="I11" s="48"/>
      <c r="J11" s="48"/>
      <c r="K11" s="32"/>
    </row>
    <row r="13" ht="28.5" spans="1:11">
      <c r="A13" s="25" t="s">
        <v>211</v>
      </c>
      <c r="B13" s="25" t="s">
        <v>1757</v>
      </c>
      <c r="C13" s="25" t="s">
        <v>1766</v>
      </c>
      <c r="D13" s="25" t="s">
        <v>1767</v>
      </c>
      <c r="E13" s="25" t="s">
        <v>1559</v>
      </c>
      <c r="F13" s="25" t="s">
        <v>1768</v>
      </c>
      <c r="G13" s="48"/>
      <c r="H13" s="48"/>
      <c r="I13" s="32"/>
      <c r="J13" s="25" t="s">
        <v>1564</v>
      </c>
      <c r="K13" s="25" t="s">
        <v>1565</v>
      </c>
    </row>
    <row r="15" ht="15.75" spans="1:11">
      <c r="A15" s="58" t="s">
        <v>1769</v>
      </c>
      <c r="B15" s="48"/>
      <c r="C15" s="48"/>
      <c r="D15" s="48"/>
      <c r="E15" s="48"/>
      <c r="F15" s="48"/>
      <c r="G15" s="48"/>
      <c r="H15" s="48"/>
      <c r="I15" s="48"/>
      <c r="J15" s="48"/>
      <c r="K15" s="48"/>
    </row>
    <row r="16" ht="75" customHeight="1" spans="1:11">
      <c r="A16" s="55">
        <v>1</v>
      </c>
      <c r="B16" s="55" t="s">
        <v>1770</v>
      </c>
      <c r="C16" s="59" t="s">
        <v>1771</v>
      </c>
      <c r="D16" s="59" t="s">
        <v>1379</v>
      </c>
      <c r="E16" s="59" t="s">
        <v>1382</v>
      </c>
      <c r="F16" s="60" t="s">
        <v>1772</v>
      </c>
      <c r="G16" s="48"/>
      <c r="H16" s="48"/>
      <c r="I16" s="32"/>
      <c r="J16" s="55" t="s">
        <v>1129</v>
      </c>
      <c r="K16" s="59" t="s">
        <v>7</v>
      </c>
    </row>
    <row r="17" ht="150" customHeight="1" spans="1:11">
      <c r="A17" s="55">
        <v>2</v>
      </c>
      <c r="B17" s="55" t="s">
        <v>1770</v>
      </c>
      <c r="C17" s="59" t="s">
        <v>1771</v>
      </c>
      <c r="D17" s="59" t="s">
        <v>1387</v>
      </c>
      <c r="E17" s="59" t="s">
        <v>1389</v>
      </c>
      <c r="F17" s="60" t="s">
        <v>1773</v>
      </c>
      <c r="G17" s="48"/>
      <c r="H17" s="48"/>
      <c r="I17" s="32"/>
      <c r="J17" s="55" t="s">
        <v>1129</v>
      </c>
      <c r="K17" s="59" t="s">
        <v>7</v>
      </c>
    </row>
    <row r="18" ht="150" customHeight="1" spans="1:11">
      <c r="A18" s="55">
        <v>3</v>
      </c>
      <c r="B18" s="55" t="s">
        <v>1770</v>
      </c>
      <c r="C18" s="59" t="s">
        <v>1771</v>
      </c>
      <c r="D18" s="59" t="s">
        <v>1392</v>
      </c>
      <c r="E18" s="59" t="s">
        <v>1394</v>
      </c>
      <c r="F18" s="60" t="s">
        <v>1774</v>
      </c>
      <c r="G18" s="48"/>
      <c r="H18" s="48"/>
      <c r="I18" s="32"/>
      <c r="J18" s="55" t="s">
        <v>1129</v>
      </c>
      <c r="K18" s="59" t="s">
        <v>7</v>
      </c>
    </row>
    <row r="19" ht="75" customHeight="1" spans="1:11">
      <c r="A19" s="55">
        <v>4</v>
      </c>
      <c r="B19" s="55" t="s">
        <v>1770</v>
      </c>
      <c r="C19" s="59" t="s">
        <v>1775</v>
      </c>
      <c r="D19" s="59" t="s">
        <v>1397</v>
      </c>
      <c r="E19" s="59" t="s">
        <v>1400</v>
      </c>
      <c r="F19" s="60" t="s">
        <v>1776</v>
      </c>
      <c r="G19" s="48"/>
      <c r="H19" s="48"/>
      <c r="I19" s="32"/>
      <c r="J19" s="55" t="s">
        <v>1129</v>
      </c>
      <c r="K19" s="59" t="s">
        <v>7</v>
      </c>
    </row>
    <row r="20" ht="90" customHeight="1" spans="1:11">
      <c r="A20" s="55">
        <v>5</v>
      </c>
      <c r="B20" s="55" t="s">
        <v>1770</v>
      </c>
      <c r="C20" s="59" t="s">
        <v>1775</v>
      </c>
      <c r="D20" s="59" t="s">
        <v>1405</v>
      </c>
      <c r="E20" s="59" t="s">
        <v>1406</v>
      </c>
      <c r="F20" s="60" t="s">
        <v>1777</v>
      </c>
      <c r="G20" s="48"/>
      <c r="H20" s="48"/>
      <c r="I20" s="32"/>
      <c r="J20" s="55" t="s">
        <v>1129</v>
      </c>
      <c r="K20" s="59" t="s">
        <v>7</v>
      </c>
    </row>
    <row r="21" ht="90" customHeight="1" spans="1:11">
      <c r="A21" s="55">
        <v>6</v>
      </c>
      <c r="B21" s="55" t="s">
        <v>1770</v>
      </c>
      <c r="C21" s="59" t="s">
        <v>1775</v>
      </c>
      <c r="D21" s="59" t="s">
        <v>1410</v>
      </c>
      <c r="E21" s="59" t="s">
        <v>1411</v>
      </c>
      <c r="F21" s="60" t="s">
        <v>1778</v>
      </c>
      <c r="G21" s="48"/>
      <c r="H21" s="48"/>
      <c r="I21" s="32"/>
      <c r="J21" s="55" t="s">
        <v>1129</v>
      </c>
      <c r="K21" s="59" t="s">
        <v>7</v>
      </c>
    </row>
    <row r="22" ht="75" customHeight="1" spans="1:11">
      <c r="A22" s="55">
        <v>7</v>
      </c>
      <c r="B22" s="55" t="s">
        <v>1770</v>
      </c>
      <c r="C22" s="59" t="s">
        <v>1775</v>
      </c>
      <c r="D22" s="59" t="s">
        <v>1415</v>
      </c>
      <c r="E22" s="59" t="s">
        <v>1416</v>
      </c>
      <c r="F22" s="60" t="s">
        <v>1779</v>
      </c>
      <c r="G22" s="48"/>
      <c r="H22" s="48"/>
      <c r="I22" s="32"/>
      <c r="J22" s="55" t="s">
        <v>1129</v>
      </c>
      <c r="K22" s="59" t="s">
        <v>7</v>
      </c>
    </row>
    <row r="23" ht="90" customHeight="1" spans="1:11">
      <c r="A23" s="55">
        <v>8</v>
      </c>
      <c r="B23" s="55" t="s">
        <v>1770</v>
      </c>
      <c r="C23" s="59" t="s">
        <v>1775</v>
      </c>
      <c r="D23" s="59" t="s">
        <v>1420</v>
      </c>
      <c r="E23" s="59" t="s">
        <v>1422</v>
      </c>
      <c r="F23" s="60" t="s">
        <v>1780</v>
      </c>
      <c r="G23" s="48"/>
      <c r="H23" s="48"/>
      <c r="I23" s="32"/>
      <c r="J23" s="55" t="s">
        <v>1129</v>
      </c>
      <c r="K23" s="59" t="s">
        <v>7</v>
      </c>
    </row>
    <row r="24" ht="60" customHeight="1" spans="1:11">
      <c r="A24" s="55">
        <v>9</v>
      </c>
      <c r="B24" s="55" t="s">
        <v>1770</v>
      </c>
      <c r="C24" s="59" t="s">
        <v>1775</v>
      </c>
      <c r="D24" s="59" t="s">
        <v>1426</v>
      </c>
      <c r="E24" s="59" t="s">
        <v>1427</v>
      </c>
      <c r="F24" s="60" t="s">
        <v>1781</v>
      </c>
      <c r="G24" s="48"/>
      <c r="H24" s="48"/>
      <c r="I24" s="32"/>
      <c r="J24" s="55" t="s">
        <v>1129</v>
      </c>
      <c r="K24" s="59" t="s">
        <v>7</v>
      </c>
    </row>
    <row r="25" ht="90" customHeight="1" spans="1:11">
      <c r="A25" s="55">
        <v>10</v>
      </c>
      <c r="B25" s="55" t="s">
        <v>1770</v>
      </c>
      <c r="C25" s="59" t="s">
        <v>1775</v>
      </c>
      <c r="D25" s="59" t="s">
        <v>1431</v>
      </c>
      <c r="E25" s="59" t="s">
        <v>1432</v>
      </c>
      <c r="F25" s="60" t="s">
        <v>1782</v>
      </c>
      <c r="G25" s="48"/>
      <c r="H25" s="48"/>
      <c r="I25" s="32"/>
      <c r="J25" s="55" t="s">
        <v>1129</v>
      </c>
      <c r="K25" s="59" t="s">
        <v>7</v>
      </c>
    </row>
    <row r="26" ht="75" customHeight="1" spans="1:11">
      <c r="A26" s="55">
        <v>11</v>
      </c>
      <c r="B26" s="55" t="s">
        <v>1770</v>
      </c>
      <c r="C26" s="59" t="s">
        <v>1775</v>
      </c>
      <c r="D26" s="59" t="s">
        <v>1436</v>
      </c>
      <c r="E26" s="59" t="s">
        <v>1438</v>
      </c>
      <c r="F26" s="60" t="s">
        <v>1783</v>
      </c>
      <c r="G26" s="48"/>
      <c r="H26" s="48"/>
      <c r="I26" s="32"/>
      <c r="J26" s="55" t="s">
        <v>1129</v>
      </c>
      <c r="K26" s="59" t="s">
        <v>7</v>
      </c>
    </row>
    <row r="27" ht="60" customHeight="1" spans="1:11">
      <c r="A27" s="55">
        <v>12</v>
      </c>
      <c r="B27" s="55" t="s">
        <v>1770</v>
      </c>
      <c r="C27" s="59" t="s">
        <v>1784</v>
      </c>
      <c r="D27" s="59" t="s">
        <v>1442</v>
      </c>
      <c r="E27" s="59" t="s">
        <v>1445</v>
      </c>
      <c r="F27" s="60" t="s">
        <v>1785</v>
      </c>
      <c r="G27" s="48"/>
      <c r="H27" s="48"/>
      <c r="I27" s="32"/>
      <c r="J27" s="55" t="s">
        <v>1129</v>
      </c>
      <c r="K27" s="59" t="s">
        <v>7</v>
      </c>
    </row>
    <row r="28" ht="75" customHeight="1" spans="1:11">
      <c r="A28" s="55">
        <v>13</v>
      </c>
      <c r="B28" s="55" t="s">
        <v>1770</v>
      </c>
      <c r="C28" s="59" t="s">
        <v>1784</v>
      </c>
      <c r="D28" s="59" t="s">
        <v>1449</v>
      </c>
      <c r="E28" s="59" t="s">
        <v>1450</v>
      </c>
      <c r="F28" s="60" t="s">
        <v>1786</v>
      </c>
      <c r="G28" s="48"/>
      <c r="H28" s="48"/>
      <c r="I28" s="32"/>
      <c r="J28" s="55" t="s">
        <v>1129</v>
      </c>
      <c r="K28" s="59" t="s">
        <v>7</v>
      </c>
    </row>
    <row r="29" ht="60" customHeight="1" spans="1:11">
      <c r="A29" s="55">
        <v>14</v>
      </c>
      <c r="B29" s="55" t="s">
        <v>1770</v>
      </c>
      <c r="C29" s="59" t="s">
        <v>1784</v>
      </c>
      <c r="D29" s="59" t="s">
        <v>1454</v>
      </c>
      <c r="E29" s="59" t="s">
        <v>1456</v>
      </c>
      <c r="F29" s="60" t="s">
        <v>1787</v>
      </c>
      <c r="G29" s="48"/>
      <c r="H29" s="48"/>
      <c r="I29" s="32"/>
      <c r="J29" s="55" t="s">
        <v>1129</v>
      </c>
      <c r="K29" s="59" t="s">
        <v>7</v>
      </c>
    </row>
    <row r="30" ht="75" customHeight="1" spans="1:11">
      <c r="A30" s="55">
        <v>15</v>
      </c>
      <c r="B30" s="55" t="s">
        <v>1770</v>
      </c>
      <c r="C30" s="59" t="s">
        <v>1788</v>
      </c>
      <c r="D30" s="59" t="s">
        <v>1460</v>
      </c>
      <c r="E30" s="59" t="s">
        <v>1463</v>
      </c>
      <c r="F30" s="60" t="s">
        <v>1789</v>
      </c>
      <c r="G30" s="48"/>
      <c r="H30" s="48"/>
      <c r="I30" s="32"/>
      <c r="J30" s="55" t="s">
        <v>1129</v>
      </c>
      <c r="K30" s="59" t="s">
        <v>7</v>
      </c>
    </row>
    <row r="31" ht="75" customHeight="1" spans="1:11">
      <c r="A31" s="55">
        <v>16</v>
      </c>
      <c r="B31" s="55" t="s">
        <v>1770</v>
      </c>
      <c r="C31" s="59" t="s">
        <v>1788</v>
      </c>
      <c r="D31" s="59" t="s">
        <v>1467</v>
      </c>
      <c r="E31" s="59" t="s">
        <v>1468</v>
      </c>
      <c r="F31" s="60" t="s">
        <v>1790</v>
      </c>
      <c r="G31" s="48"/>
      <c r="H31" s="48"/>
      <c r="I31" s="32"/>
      <c r="J31" s="55" t="s">
        <v>1129</v>
      </c>
      <c r="K31" s="59" t="s">
        <v>7</v>
      </c>
    </row>
    <row r="32" ht="75" customHeight="1" spans="1:11">
      <c r="A32" s="55">
        <v>17</v>
      </c>
      <c r="B32" s="55" t="s">
        <v>1770</v>
      </c>
      <c r="C32" s="59" t="s">
        <v>1788</v>
      </c>
      <c r="D32" s="59" t="s">
        <v>1472</v>
      </c>
      <c r="E32" s="59" t="s">
        <v>1474</v>
      </c>
      <c r="F32" s="60" t="s">
        <v>1791</v>
      </c>
      <c r="G32" s="48"/>
      <c r="H32" s="48"/>
      <c r="I32" s="32"/>
      <c r="J32" s="55" t="s">
        <v>1129</v>
      </c>
      <c r="K32" s="59" t="s">
        <v>7</v>
      </c>
    </row>
    <row r="33" ht="75" customHeight="1" spans="1:11">
      <c r="A33" s="55">
        <v>18</v>
      </c>
      <c r="B33" s="55" t="s">
        <v>1770</v>
      </c>
      <c r="C33" s="59" t="s">
        <v>1788</v>
      </c>
      <c r="D33" s="59" t="s">
        <v>1478</v>
      </c>
      <c r="E33" s="59" t="s">
        <v>1480</v>
      </c>
      <c r="F33" s="60" t="s">
        <v>1792</v>
      </c>
      <c r="G33" s="48"/>
      <c r="H33" s="48"/>
      <c r="I33" s="32"/>
      <c r="J33" s="55" t="s">
        <v>1129</v>
      </c>
      <c r="K33" s="59" t="s">
        <v>7</v>
      </c>
    </row>
    <row r="34" ht="45" customHeight="1" spans="1:11">
      <c r="A34" s="55">
        <v>19</v>
      </c>
      <c r="B34" s="55" t="s">
        <v>1770</v>
      </c>
      <c r="C34" s="59" t="s">
        <v>1788</v>
      </c>
      <c r="D34" s="59" t="s">
        <v>1484</v>
      </c>
      <c r="E34" s="59" t="s">
        <v>1486</v>
      </c>
      <c r="F34" s="60" t="s">
        <v>1793</v>
      </c>
      <c r="G34" s="48"/>
      <c r="H34" s="48"/>
      <c r="I34" s="32"/>
      <c r="J34" s="55" t="s">
        <v>1129</v>
      </c>
      <c r="K34" s="59" t="s">
        <v>7</v>
      </c>
    </row>
    <row r="35" ht="45" customHeight="1" spans="1:11">
      <c r="A35" s="55">
        <v>20</v>
      </c>
      <c r="B35" s="55" t="s">
        <v>1770</v>
      </c>
      <c r="C35" s="59" t="s">
        <v>1788</v>
      </c>
      <c r="D35" s="59" t="s">
        <v>1490</v>
      </c>
      <c r="E35" s="59" t="s">
        <v>1492</v>
      </c>
      <c r="F35" s="60" t="s">
        <v>1794</v>
      </c>
      <c r="G35" s="48"/>
      <c r="H35" s="48"/>
      <c r="I35" s="32"/>
      <c r="J35" s="55" t="s">
        <v>1129</v>
      </c>
      <c r="K35" s="59" t="s">
        <v>7</v>
      </c>
    </row>
    <row r="36" ht="60" customHeight="1" spans="1:11">
      <c r="A36" s="55">
        <v>21</v>
      </c>
      <c r="B36" s="55" t="s">
        <v>1770</v>
      </c>
      <c r="C36" s="59" t="s">
        <v>1788</v>
      </c>
      <c r="D36" s="59" t="s">
        <v>1496</v>
      </c>
      <c r="E36" s="59" t="s">
        <v>1498</v>
      </c>
      <c r="F36" s="60" t="s">
        <v>1795</v>
      </c>
      <c r="G36" s="48"/>
      <c r="H36" s="48"/>
      <c r="I36" s="32"/>
      <c r="J36" s="55" t="s">
        <v>1129</v>
      </c>
      <c r="K36" s="59" t="s">
        <v>7</v>
      </c>
    </row>
    <row r="37" ht="45" customHeight="1" spans="1:11">
      <c r="A37" s="55">
        <v>22</v>
      </c>
      <c r="B37" s="55" t="s">
        <v>1770</v>
      </c>
      <c r="C37" s="59" t="s">
        <v>1796</v>
      </c>
      <c r="D37" s="59" t="s">
        <v>1502</v>
      </c>
      <c r="E37" s="59" t="s">
        <v>1504</v>
      </c>
      <c r="F37" s="60" t="s">
        <v>1797</v>
      </c>
      <c r="G37" s="48"/>
      <c r="H37" s="48"/>
      <c r="I37" s="32"/>
      <c r="J37" s="55" t="s">
        <v>1130</v>
      </c>
      <c r="K37" s="59" t="s">
        <v>7</v>
      </c>
    </row>
    <row r="38" ht="45" customHeight="1" spans="1:11">
      <c r="A38" s="55">
        <v>23</v>
      </c>
      <c r="B38" s="55" t="s">
        <v>1770</v>
      </c>
      <c r="C38" s="59" t="s">
        <v>1798</v>
      </c>
      <c r="D38" s="59" t="s">
        <v>1509</v>
      </c>
      <c r="E38" s="59" t="s">
        <v>1511</v>
      </c>
      <c r="F38" s="60" t="s">
        <v>1799</v>
      </c>
      <c r="G38" s="48"/>
      <c r="H38" s="48"/>
      <c r="I38" s="32"/>
      <c r="J38" s="55" t="s">
        <v>1130</v>
      </c>
      <c r="K38" s="59" t="s">
        <v>7</v>
      </c>
    </row>
    <row r="39" ht="30" customHeight="1" spans="1:11">
      <c r="A39" s="55">
        <v>24</v>
      </c>
      <c r="B39" s="55" t="s">
        <v>1770</v>
      </c>
      <c r="C39" s="59" t="s">
        <v>1798</v>
      </c>
      <c r="D39" s="59" t="s">
        <v>1515</v>
      </c>
      <c r="E39" s="59" t="s">
        <v>1516</v>
      </c>
      <c r="F39" s="60" t="s">
        <v>1800</v>
      </c>
      <c r="G39" s="48"/>
      <c r="H39" s="48"/>
      <c r="I39" s="32"/>
      <c r="J39" s="55" t="s">
        <v>1130</v>
      </c>
      <c r="K39" s="59" t="s">
        <v>7</v>
      </c>
    </row>
    <row r="40" ht="30" customHeight="1" spans="1:11">
      <c r="A40" s="55">
        <v>25</v>
      </c>
      <c r="B40" s="55" t="s">
        <v>1770</v>
      </c>
      <c r="C40" s="59" t="s">
        <v>1801</v>
      </c>
      <c r="D40" s="59" t="s">
        <v>1519</v>
      </c>
      <c r="E40" s="59" t="s">
        <v>1522</v>
      </c>
      <c r="F40" s="60" t="s">
        <v>1802</v>
      </c>
      <c r="G40" s="48"/>
      <c r="H40" s="48"/>
      <c r="I40" s="32"/>
      <c r="J40" s="55" t="s">
        <v>1130</v>
      </c>
      <c r="K40" s="59" t="s">
        <v>7</v>
      </c>
    </row>
    <row r="41" ht="15.75" spans="1:11">
      <c r="A41" s="58" t="s">
        <v>1803</v>
      </c>
      <c r="B41" s="48"/>
      <c r="C41" s="48"/>
      <c r="D41" s="48"/>
      <c r="E41" s="48"/>
      <c r="F41" s="48"/>
      <c r="G41" s="48"/>
      <c r="H41" s="48"/>
      <c r="I41" s="48"/>
      <c r="J41" s="48"/>
      <c r="K41" s="48"/>
    </row>
    <row r="42" ht="60" customHeight="1" spans="1:11">
      <c r="A42" s="55">
        <v>26</v>
      </c>
      <c r="B42" s="55" t="s">
        <v>1804</v>
      </c>
      <c r="C42" s="59" t="s">
        <v>1548</v>
      </c>
      <c r="D42" s="59" t="s">
        <v>1567</v>
      </c>
      <c r="E42" s="59" t="s">
        <v>1570</v>
      </c>
      <c r="F42" s="60" t="s">
        <v>1805</v>
      </c>
      <c r="G42" s="48"/>
      <c r="H42" s="48"/>
      <c r="I42" s="32"/>
      <c r="J42" s="55" t="s">
        <v>1129</v>
      </c>
      <c r="K42" s="59" t="s">
        <v>7</v>
      </c>
    </row>
    <row r="43" ht="60" customHeight="1" spans="1:11">
      <c r="A43" s="55">
        <v>27</v>
      </c>
      <c r="B43" s="55" t="s">
        <v>1804</v>
      </c>
      <c r="C43" s="59" t="s">
        <v>1548</v>
      </c>
      <c r="D43" s="59" t="s">
        <v>1575</v>
      </c>
      <c r="E43" s="59" t="s">
        <v>1576</v>
      </c>
      <c r="F43" s="60" t="s">
        <v>1806</v>
      </c>
      <c r="G43" s="48"/>
      <c r="H43" s="48"/>
      <c r="I43" s="32"/>
      <c r="J43" s="55" t="s">
        <v>1129</v>
      </c>
      <c r="K43" s="59" t="s">
        <v>7</v>
      </c>
    </row>
    <row r="44" ht="30" customHeight="1" spans="1:11">
      <c r="A44" s="55">
        <v>28</v>
      </c>
      <c r="B44" s="55" t="s">
        <v>1804</v>
      </c>
      <c r="C44" s="59" t="s">
        <v>1548</v>
      </c>
      <c r="D44" s="59" t="s">
        <v>1579</v>
      </c>
      <c r="E44" s="59" t="s">
        <v>1580</v>
      </c>
      <c r="F44" s="60" t="s">
        <v>1807</v>
      </c>
      <c r="G44" s="48"/>
      <c r="H44" s="48"/>
      <c r="I44" s="32"/>
      <c r="J44" s="55" t="s">
        <v>1129</v>
      </c>
      <c r="K44" s="59" t="s">
        <v>7</v>
      </c>
    </row>
    <row r="45" ht="60" customHeight="1" spans="1:11">
      <c r="A45" s="55">
        <v>29</v>
      </c>
      <c r="B45" s="55" t="s">
        <v>1804</v>
      </c>
      <c r="C45" s="59" t="s">
        <v>1548</v>
      </c>
      <c r="D45" s="59" t="s">
        <v>1583</v>
      </c>
      <c r="E45" s="59" t="s">
        <v>1586</v>
      </c>
      <c r="F45" s="60" t="s">
        <v>1808</v>
      </c>
      <c r="G45" s="48"/>
      <c r="H45" s="48"/>
      <c r="I45" s="32"/>
      <c r="J45" s="55" t="s">
        <v>1129</v>
      </c>
      <c r="K45" s="59" t="s">
        <v>7</v>
      </c>
    </row>
    <row r="46" ht="60" customHeight="1" spans="1:11">
      <c r="A46" s="55">
        <v>30</v>
      </c>
      <c r="B46" s="55" t="s">
        <v>1804</v>
      </c>
      <c r="C46" s="59" t="s">
        <v>1548</v>
      </c>
      <c r="D46" s="59" t="s">
        <v>1592</v>
      </c>
      <c r="E46" s="59" t="s">
        <v>1594</v>
      </c>
      <c r="F46" s="60" t="s">
        <v>1809</v>
      </c>
      <c r="G46" s="48"/>
      <c r="H46" s="48"/>
      <c r="I46" s="32"/>
      <c r="J46" s="55" t="s">
        <v>1129</v>
      </c>
      <c r="K46" s="59" t="s">
        <v>7</v>
      </c>
    </row>
    <row r="47" ht="30" customHeight="1" spans="1:11">
      <c r="A47" s="55">
        <v>31</v>
      </c>
      <c r="B47" s="55" t="s">
        <v>1804</v>
      </c>
      <c r="C47" s="59" t="s">
        <v>1548</v>
      </c>
      <c r="D47" s="59" t="s">
        <v>1598</v>
      </c>
      <c r="E47" s="59" t="s">
        <v>1599</v>
      </c>
      <c r="F47" s="60" t="s">
        <v>1807</v>
      </c>
      <c r="G47" s="48"/>
      <c r="H47" s="48"/>
      <c r="I47" s="32"/>
      <c r="J47" s="55" t="s">
        <v>1129</v>
      </c>
      <c r="K47" s="59" t="s">
        <v>7</v>
      </c>
    </row>
    <row r="48" ht="60" customHeight="1" spans="1:11">
      <c r="A48" s="55">
        <v>32</v>
      </c>
      <c r="B48" s="55" t="s">
        <v>1804</v>
      </c>
      <c r="C48" s="59" t="s">
        <v>1548</v>
      </c>
      <c r="D48" s="59" t="s">
        <v>1602</v>
      </c>
      <c r="E48" s="59" t="s">
        <v>1604</v>
      </c>
      <c r="F48" s="60" t="s">
        <v>1810</v>
      </c>
      <c r="G48" s="48"/>
      <c r="H48" s="48"/>
      <c r="I48" s="32"/>
      <c r="J48" s="55" t="s">
        <v>1129</v>
      </c>
      <c r="K48" s="59" t="s">
        <v>7</v>
      </c>
    </row>
    <row r="49" ht="60" customHeight="1" spans="1:11">
      <c r="A49" s="55">
        <v>33</v>
      </c>
      <c r="B49" s="55" t="s">
        <v>1804</v>
      </c>
      <c r="C49" s="59" t="s">
        <v>1548</v>
      </c>
      <c r="D49" s="59" t="s">
        <v>1608</v>
      </c>
      <c r="E49" s="59" t="s">
        <v>1609</v>
      </c>
      <c r="F49" s="60" t="s">
        <v>1811</v>
      </c>
      <c r="G49" s="48"/>
      <c r="H49" s="48"/>
      <c r="I49" s="32"/>
      <c r="J49" s="55" t="s">
        <v>1129</v>
      </c>
      <c r="K49" s="59" t="s">
        <v>7</v>
      </c>
    </row>
    <row r="50" ht="30" customHeight="1" spans="1:11">
      <c r="A50" s="55">
        <v>34</v>
      </c>
      <c r="B50" s="55" t="s">
        <v>1804</v>
      </c>
      <c r="C50" s="59" t="s">
        <v>1548</v>
      </c>
      <c r="D50" s="59" t="s">
        <v>1613</v>
      </c>
      <c r="E50" s="59" t="s">
        <v>1614</v>
      </c>
      <c r="F50" s="60" t="s">
        <v>1807</v>
      </c>
      <c r="G50" s="48"/>
      <c r="H50" s="48"/>
      <c r="I50" s="32"/>
      <c r="J50" s="55" t="s">
        <v>1129</v>
      </c>
      <c r="K50" s="59" t="s">
        <v>7</v>
      </c>
    </row>
    <row r="51" ht="60" customHeight="1" spans="1:11">
      <c r="A51" s="55">
        <v>35</v>
      </c>
      <c r="B51" s="55" t="s">
        <v>1804</v>
      </c>
      <c r="C51" s="59" t="s">
        <v>1548</v>
      </c>
      <c r="D51" s="59" t="s">
        <v>1618</v>
      </c>
      <c r="E51" s="59" t="s">
        <v>1620</v>
      </c>
      <c r="F51" s="60" t="s">
        <v>1812</v>
      </c>
      <c r="G51" s="48"/>
      <c r="H51" s="48"/>
      <c r="I51" s="32"/>
      <c r="J51" s="55" t="s">
        <v>1129</v>
      </c>
      <c r="K51" s="59" t="s">
        <v>7</v>
      </c>
    </row>
    <row r="52" ht="45" customHeight="1" spans="1:11">
      <c r="A52" s="55">
        <v>36</v>
      </c>
      <c r="B52" s="55" t="s">
        <v>1804</v>
      </c>
      <c r="C52" s="59" t="s">
        <v>1548</v>
      </c>
      <c r="D52" s="59" t="s">
        <v>1623</v>
      </c>
      <c r="E52" s="59" t="s">
        <v>1625</v>
      </c>
      <c r="F52" s="60" t="s">
        <v>1813</v>
      </c>
      <c r="G52" s="48"/>
      <c r="H52" s="48"/>
      <c r="I52" s="32"/>
      <c r="J52" s="55" t="s">
        <v>1129</v>
      </c>
      <c r="K52" s="59" t="s">
        <v>7</v>
      </c>
    </row>
    <row r="53" ht="30" customHeight="1" spans="1:11">
      <c r="A53" s="55">
        <v>37</v>
      </c>
      <c r="B53" s="55" t="s">
        <v>1804</v>
      </c>
      <c r="C53" s="59" t="s">
        <v>1548</v>
      </c>
      <c r="D53" s="59" t="s">
        <v>1628</v>
      </c>
      <c r="E53" s="59" t="s">
        <v>1630</v>
      </c>
      <c r="F53" s="60" t="s">
        <v>1807</v>
      </c>
      <c r="G53" s="48"/>
      <c r="H53" s="48"/>
      <c r="I53" s="32"/>
      <c r="J53" s="55" t="s">
        <v>1129</v>
      </c>
      <c r="K53" s="59" t="s">
        <v>7</v>
      </c>
    </row>
    <row r="54" ht="60" customHeight="1" spans="1:11">
      <c r="A54" s="55">
        <v>38</v>
      </c>
      <c r="B54" s="55" t="s">
        <v>1804</v>
      </c>
      <c r="C54" s="59" t="s">
        <v>1548</v>
      </c>
      <c r="D54" s="59" t="s">
        <v>1633</v>
      </c>
      <c r="E54" s="59" t="s">
        <v>1635</v>
      </c>
      <c r="F54" s="60" t="s">
        <v>1814</v>
      </c>
      <c r="G54" s="48"/>
      <c r="H54" s="48"/>
      <c r="I54" s="32"/>
      <c r="J54" s="55" t="s">
        <v>1129</v>
      </c>
      <c r="K54" s="59" t="s">
        <v>7</v>
      </c>
    </row>
    <row r="55" ht="30" customHeight="1" spans="1:11">
      <c r="A55" s="55">
        <v>39</v>
      </c>
      <c r="B55" s="55" t="s">
        <v>1804</v>
      </c>
      <c r="C55" s="59" t="s">
        <v>1548</v>
      </c>
      <c r="D55" s="59" t="s">
        <v>1639</v>
      </c>
      <c r="E55" s="59" t="s">
        <v>1640</v>
      </c>
      <c r="F55" s="60" t="s">
        <v>1807</v>
      </c>
      <c r="G55" s="48"/>
      <c r="H55" s="48"/>
      <c r="I55" s="32"/>
      <c r="J55" s="55" t="s">
        <v>1129</v>
      </c>
      <c r="K55" s="59" t="s">
        <v>7</v>
      </c>
    </row>
    <row r="56" ht="60" customHeight="1" spans="1:11">
      <c r="A56" s="55">
        <v>40</v>
      </c>
      <c r="B56" s="55" t="s">
        <v>1804</v>
      </c>
      <c r="C56" s="59" t="s">
        <v>1548</v>
      </c>
      <c r="D56" s="59" t="s">
        <v>1644</v>
      </c>
      <c r="E56" s="59" t="s">
        <v>1645</v>
      </c>
      <c r="F56" s="60" t="s">
        <v>1815</v>
      </c>
      <c r="G56" s="48"/>
      <c r="H56" s="48"/>
      <c r="I56" s="32"/>
      <c r="J56" s="55" t="s">
        <v>1129</v>
      </c>
      <c r="K56" s="59" t="s">
        <v>7</v>
      </c>
    </row>
    <row r="57" ht="30" customHeight="1" spans="1:11">
      <c r="A57" s="55">
        <v>41</v>
      </c>
      <c r="B57" s="55" t="s">
        <v>1804</v>
      </c>
      <c r="C57" s="59" t="s">
        <v>1548</v>
      </c>
      <c r="D57" s="59" t="s">
        <v>1648</v>
      </c>
      <c r="E57" s="59" t="s">
        <v>1651</v>
      </c>
      <c r="F57" s="60" t="s">
        <v>1807</v>
      </c>
      <c r="G57" s="48"/>
      <c r="H57" s="48"/>
      <c r="I57" s="32"/>
      <c r="J57" s="55" t="s">
        <v>1129</v>
      </c>
      <c r="K57" s="59" t="s">
        <v>7</v>
      </c>
    </row>
    <row r="58" ht="30" customHeight="1" spans="1:11">
      <c r="A58" s="55">
        <v>42</v>
      </c>
      <c r="B58" s="55" t="s">
        <v>1804</v>
      </c>
      <c r="C58" s="59" t="s">
        <v>1548</v>
      </c>
      <c r="D58" s="59" t="s">
        <v>1655</v>
      </c>
      <c r="E58" s="59" t="s">
        <v>1656</v>
      </c>
      <c r="F58" s="60" t="s">
        <v>1807</v>
      </c>
      <c r="G58" s="48"/>
      <c r="H58" s="48"/>
      <c r="I58" s="32"/>
      <c r="J58" s="55" t="s">
        <v>1129</v>
      </c>
      <c r="K58" s="59" t="s">
        <v>7</v>
      </c>
    </row>
    <row r="59" ht="45" customHeight="1" spans="1:11">
      <c r="A59" s="55">
        <v>43</v>
      </c>
      <c r="B59" s="55" t="s">
        <v>1804</v>
      </c>
      <c r="C59" s="59" t="s">
        <v>1548</v>
      </c>
      <c r="D59" s="59" t="s">
        <v>1660</v>
      </c>
      <c r="E59" s="59" t="s">
        <v>1662</v>
      </c>
      <c r="F59" s="60" t="s">
        <v>1816</v>
      </c>
      <c r="G59" s="48"/>
      <c r="H59" s="48"/>
      <c r="I59" s="32"/>
      <c r="J59" s="55" t="s">
        <v>1129</v>
      </c>
      <c r="K59" s="59" t="s">
        <v>7</v>
      </c>
    </row>
    <row r="60" ht="30" customHeight="1" spans="1:11">
      <c r="A60" s="55">
        <v>44</v>
      </c>
      <c r="B60" s="55" t="s">
        <v>1804</v>
      </c>
      <c r="C60" s="59" t="s">
        <v>1548</v>
      </c>
      <c r="D60" s="59" t="s">
        <v>1666</v>
      </c>
      <c r="E60" s="59" t="s">
        <v>1667</v>
      </c>
      <c r="F60" s="60" t="s">
        <v>1807</v>
      </c>
      <c r="G60" s="48"/>
      <c r="H60" s="48"/>
      <c r="I60" s="32"/>
      <c r="J60" s="55" t="s">
        <v>1129</v>
      </c>
      <c r="K60" s="59" t="s">
        <v>7</v>
      </c>
    </row>
    <row r="61" ht="30" customHeight="1" spans="1:11">
      <c r="A61" s="55">
        <v>45</v>
      </c>
      <c r="B61" s="55" t="s">
        <v>1804</v>
      </c>
      <c r="C61" s="59" t="s">
        <v>1548</v>
      </c>
      <c r="D61" s="59" t="s">
        <v>1672</v>
      </c>
      <c r="E61" s="59" t="s">
        <v>1674</v>
      </c>
      <c r="F61" s="60" t="s">
        <v>1807</v>
      </c>
      <c r="G61" s="48"/>
      <c r="H61" s="48"/>
      <c r="I61" s="32"/>
      <c r="J61" s="55" t="s">
        <v>1129</v>
      </c>
      <c r="K61" s="59" t="s">
        <v>7</v>
      </c>
    </row>
    <row r="62" ht="30" customHeight="1" spans="1:11">
      <c r="A62" s="55">
        <v>46</v>
      </c>
      <c r="B62" s="55" t="s">
        <v>1804</v>
      </c>
      <c r="C62" s="59" t="s">
        <v>1548</v>
      </c>
      <c r="D62" s="59" t="s">
        <v>1677</v>
      </c>
      <c r="E62" s="59" t="s">
        <v>1679</v>
      </c>
      <c r="F62" s="60" t="s">
        <v>1807</v>
      </c>
      <c r="G62" s="48"/>
      <c r="H62" s="48"/>
      <c r="I62" s="32"/>
      <c r="J62" s="55" t="s">
        <v>1129</v>
      </c>
      <c r="K62" s="59" t="s">
        <v>7</v>
      </c>
    </row>
    <row r="63" ht="30" customHeight="1" spans="1:11">
      <c r="A63" s="55">
        <v>47</v>
      </c>
      <c r="B63" s="55" t="s">
        <v>1804</v>
      </c>
      <c r="C63" s="59" t="s">
        <v>1548</v>
      </c>
      <c r="D63" s="59" t="s">
        <v>1683</v>
      </c>
      <c r="E63" s="59" t="s">
        <v>1684</v>
      </c>
      <c r="F63" s="60" t="s">
        <v>1807</v>
      </c>
      <c r="G63" s="48"/>
      <c r="H63" s="48"/>
      <c r="I63" s="32"/>
      <c r="J63" s="55" t="s">
        <v>1129</v>
      </c>
      <c r="K63" s="59" t="s">
        <v>7</v>
      </c>
    </row>
    <row r="64" ht="30" customHeight="1" spans="1:11">
      <c r="A64" s="55">
        <v>48</v>
      </c>
      <c r="B64" s="55" t="s">
        <v>1804</v>
      </c>
      <c r="C64" s="59" t="s">
        <v>1548</v>
      </c>
      <c r="D64" s="59" t="s">
        <v>1688</v>
      </c>
      <c r="E64" s="59" t="s">
        <v>1689</v>
      </c>
      <c r="F64" s="60" t="s">
        <v>1807</v>
      </c>
      <c r="G64" s="48"/>
      <c r="H64" s="48"/>
      <c r="I64" s="32"/>
      <c r="J64" s="55" t="s">
        <v>1130</v>
      </c>
      <c r="K64" s="59" t="s">
        <v>7</v>
      </c>
    </row>
    <row r="65" ht="30" customHeight="1" spans="1:11">
      <c r="A65" s="55">
        <v>49</v>
      </c>
      <c r="B65" s="55" t="s">
        <v>1804</v>
      </c>
      <c r="C65" s="59" t="s">
        <v>1548</v>
      </c>
      <c r="D65" s="59" t="s">
        <v>1694</v>
      </c>
      <c r="E65" s="59" t="s">
        <v>1696</v>
      </c>
      <c r="F65" s="60" t="s">
        <v>1807</v>
      </c>
      <c r="G65" s="48"/>
      <c r="H65" s="48"/>
      <c r="I65" s="32"/>
      <c r="J65" s="55" t="s">
        <v>1130</v>
      </c>
      <c r="K65" s="59" t="s">
        <v>7</v>
      </c>
    </row>
    <row r="66" ht="30" customHeight="1" spans="1:11">
      <c r="A66" s="55">
        <v>50</v>
      </c>
      <c r="B66" s="55" t="s">
        <v>1804</v>
      </c>
      <c r="C66" s="59" t="s">
        <v>1548</v>
      </c>
      <c r="D66" s="59" t="s">
        <v>1698</v>
      </c>
      <c r="E66" s="59" t="s">
        <v>1700</v>
      </c>
      <c r="F66" s="60" t="s">
        <v>1807</v>
      </c>
      <c r="G66" s="48"/>
      <c r="H66" s="48"/>
      <c r="I66" s="32"/>
      <c r="J66" s="55" t="s">
        <v>1129</v>
      </c>
      <c r="K66" s="59" t="s">
        <v>7</v>
      </c>
    </row>
    <row r="67" ht="30" customHeight="1" spans="1:11">
      <c r="A67" s="55">
        <v>51</v>
      </c>
      <c r="B67" s="55" t="s">
        <v>1804</v>
      </c>
      <c r="C67" s="59" t="s">
        <v>1548</v>
      </c>
      <c r="D67" s="59" t="s">
        <v>1703</v>
      </c>
      <c r="E67" s="59" t="s">
        <v>1704</v>
      </c>
      <c r="F67" s="60" t="s">
        <v>1807</v>
      </c>
      <c r="G67" s="48"/>
      <c r="H67" s="48"/>
      <c r="I67" s="32"/>
      <c r="J67" s="55" t="s">
        <v>1129</v>
      </c>
      <c r="K67" s="59" t="s">
        <v>7</v>
      </c>
    </row>
    <row r="68" ht="30" customHeight="1" spans="1:11">
      <c r="A68" s="55">
        <v>52</v>
      </c>
      <c r="B68" s="55" t="s">
        <v>1804</v>
      </c>
      <c r="C68" s="59" t="s">
        <v>1548</v>
      </c>
      <c r="D68" s="59" t="s">
        <v>1708</v>
      </c>
      <c r="E68" s="59" t="s">
        <v>1709</v>
      </c>
      <c r="F68" s="60" t="s">
        <v>1807</v>
      </c>
      <c r="G68" s="48"/>
      <c r="H68" s="48"/>
      <c r="I68" s="32"/>
      <c r="J68" s="55" t="s">
        <v>1129</v>
      </c>
      <c r="K68" s="59" t="s">
        <v>7</v>
      </c>
    </row>
    <row r="69" ht="30" customHeight="1" spans="1:11">
      <c r="A69" s="55">
        <v>53</v>
      </c>
      <c r="B69" s="55" t="s">
        <v>1804</v>
      </c>
      <c r="C69" s="59" t="s">
        <v>1548</v>
      </c>
      <c r="D69" s="59" t="s">
        <v>1713</v>
      </c>
      <c r="E69" s="59" t="s">
        <v>1714</v>
      </c>
      <c r="F69" s="60" t="s">
        <v>1807</v>
      </c>
      <c r="G69" s="48"/>
      <c r="H69" s="48"/>
      <c r="I69" s="32"/>
      <c r="J69" s="55" t="s">
        <v>1130</v>
      </c>
      <c r="K69" s="59" t="s">
        <v>7</v>
      </c>
    </row>
    <row r="70" ht="30" customHeight="1" spans="1:11">
      <c r="A70" s="55">
        <v>54</v>
      </c>
      <c r="B70" s="55" t="s">
        <v>1804</v>
      </c>
      <c r="C70" s="59" t="s">
        <v>1548</v>
      </c>
      <c r="D70" s="59" t="s">
        <v>1719</v>
      </c>
      <c r="E70" s="59" t="s">
        <v>1720</v>
      </c>
      <c r="F70" s="60" t="s">
        <v>1807</v>
      </c>
      <c r="G70" s="48"/>
      <c r="H70" s="48"/>
      <c r="I70" s="32"/>
      <c r="J70" s="55" t="s">
        <v>1129</v>
      </c>
      <c r="K70" s="59" t="s">
        <v>7</v>
      </c>
    </row>
    <row r="71" ht="60" customHeight="1" spans="1:11">
      <c r="A71" s="55">
        <v>55</v>
      </c>
      <c r="B71" s="55" t="s">
        <v>1804</v>
      </c>
      <c r="C71" s="59" t="s">
        <v>1548</v>
      </c>
      <c r="D71" s="59" t="s">
        <v>1724</v>
      </c>
      <c r="E71" s="59" t="s">
        <v>1726</v>
      </c>
      <c r="F71" s="60" t="s">
        <v>1817</v>
      </c>
      <c r="G71" s="48"/>
      <c r="H71" s="48"/>
      <c r="I71" s="32"/>
      <c r="J71" s="55" t="s">
        <v>1129</v>
      </c>
      <c r="K71" s="59" t="s">
        <v>7</v>
      </c>
    </row>
    <row r="72" ht="30" customHeight="1" spans="1:11">
      <c r="A72" s="55">
        <v>56</v>
      </c>
      <c r="B72" s="55" t="s">
        <v>1804</v>
      </c>
      <c r="C72" s="59" t="s">
        <v>1548</v>
      </c>
      <c r="D72" s="59" t="s">
        <v>1730</v>
      </c>
      <c r="E72" s="59" t="s">
        <v>1731</v>
      </c>
      <c r="F72" s="60" t="s">
        <v>1807</v>
      </c>
      <c r="G72" s="48"/>
      <c r="H72" s="48"/>
      <c r="I72" s="32"/>
      <c r="J72" s="55" t="s">
        <v>1129</v>
      </c>
      <c r="K72" s="59" t="s">
        <v>7</v>
      </c>
    </row>
    <row r="73" ht="30" customHeight="1" spans="1:11">
      <c r="A73" s="55">
        <v>57</v>
      </c>
      <c r="B73" s="55" t="s">
        <v>1804</v>
      </c>
      <c r="C73" s="59" t="s">
        <v>1548</v>
      </c>
      <c r="D73" s="59" t="s">
        <v>1735</v>
      </c>
      <c r="E73" s="59" t="s">
        <v>1737</v>
      </c>
      <c r="F73" s="60" t="s">
        <v>1807</v>
      </c>
      <c r="G73" s="48"/>
      <c r="H73" s="48"/>
      <c r="I73" s="32"/>
      <c r="J73" s="55" t="s">
        <v>1129</v>
      </c>
      <c r="K73" s="59" t="s">
        <v>7</v>
      </c>
    </row>
    <row r="74" ht="30" customHeight="1" spans="1:11">
      <c r="A74" s="55">
        <v>58</v>
      </c>
      <c r="B74" s="55" t="s">
        <v>1804</v>
      </c>
      <c r="C74" s="59" t="s">
        <v>1548</v>
      </c>
      <c r="D74" s="59" t="s">
        <v>1739</v>
      </c>
      <c r="E74" s="59" t="s">
        <v>1741</v>
      </c>
      <c r="F74" s="60" t="s">
        <v>1807</v>
      </c>
      <c r="G74" s="48"/>
      <c r="H74" s="48"/>
      <c r="I74" s="32"/>
      <c r="J74" s="55" t="s">
        <v>1129</v>
      </c>
      <c r="K74" s="59" t="s">
        <v>7</v>
      </c>
    </row>
    <row r="75" ht="30" customHeight="1" spans="1:11">
      <c r="A75" s="55">
        <v>59</v>
      </c>
      <c r="B75" s="55" t="s">
        <v>1804</v>
      </c>
      <c r="C75" s="59" t="s">
        <v>1548</v>
      </c>
      <c r="D75" s="59" t="s">
        <v>1744</v>
      </c>
      <c r="E75" s="59" t="s">
        <v>1745</v>
      </c>
      <c r="F75" s="60" t="s">
        <v>1807</v>
      </c>
      <c r="G75" s="48"/>
      <c r="H75" s="48"/>
      <c r="I75" s="32"/>
      <c r="J75" s="55" t="s">
        <v>1129</v>
      </c>
      <c r="K75" s="59" t="s">
        <v>7</v>
      </c>
    </row>
    <row r="76" ht="15.75" spans="1:11">
      <c r="A76" s="58" t="s">
        <v>1818</v>
      </c>
      <c r="B76" s="48"/>
      <c r="C76" s="48"/>
      <c r="D76" s="48"/>
      <c r="E76" s="48"/>
      <c r="F76" s="48"/>
      <c r="G76" s="48"/>
      <c r="H76" s="48"/>
      <c r="I76" s="48"/>
      <c r="J76" s="48"/>
      <c r="K76" s="48"/>
    </row>
    <row r="77" ht="45" customHeight="1" spans="1:11">
      <c r="A77" s="55">
        <v>60</v>
      </c>
      <c r="B77" s="55" t="s">
        <v>1819</v>
      </c>
      <c r="C77" s="59" t="s">
        <v>1820</v>
      </c>
      <c r="D77" s="59" t="s">
        <v>1159</v>
      </c>
      <c r="E77" s="59" t="s">
        <v>1160</v>
      </c>
      <c r="F77" s="60" t="s">
        <v>1162</v>
      </c>
      <c r="G77" s="48"/>
      <c r="H77" s="48"/>
      <c r="I77" s="32"/>
      <c r="J77" s="55" t="s">
        <v>1129</v>
      </c>
      <c r="K77" s="59" t="s">
        <v>7</v>
      </c>
    </row>
    <row r="78" ht="45" customHeight="1" spans="1:11">
      <c r="A78" s="55">
        <v>61</v>
      </c>
      <c r="B78" s="55" t="s">
        <v>1819</v>
      </c>
      <c r="C78" s="59" t="s">
        <v>1820</v>
      </c>
      <c r="D78" s="59" t="s">
        <v>1164</v>
      </c>
      <c r="E78" s="59" t="s">
        <v>1165</v>
      </c>
      <c r="F78" s="60" t="s">
        <v>1167</v>
      </c>
      <c r="G78" s="48"/>
      <c r="H78" s="48"/>
      <c r="I78" s="32"/>
      <c r="J78" s="55" t="s">
        <v>1129</v>
      </c>
      <c r="K78" s="59" t="s">
        <v>7</v>
      </c>
    </row>
    <row r="79" ht="45" customHeight="1" spans="1:11">
      <c r="A79" s="55">
        <v>62</v>
      </c>
      <c r="B79" s="55" t="s">
        <v>1819</v>
      </c>
      <c r="C79" s="59" t="s">
        <v>1820</v>
      </c>
      <c r="D79" s="59" t="s">
        <v>1169</v>
      </c>
      <c r="E79" s="59" t="s">
        <v>1170</v>
      </c>
      <c r="F79" s="60" t="s">
        <v>1172</v>
      </c>
      <c r="G79" s="48"/>
      <c r="H79" s="48"/>
      <c r="I79" s="32"/>
      <c r="J79" s="55" t="s">
        <v>1129</v>
      </c>
      <c r="K79" s="59" t="s">
        <v>7</v>
      </c>
    </row>
    <row r="80" ht="45" customHeight="1" spans="1:11">
      <c r="A80" s="55">
        <v>63</v>
      </c>
      <c r="B80" s="55" t="s">
        <v>1819</v>
      </c>
      <c r="C80" s="59" t="s">
        <v>1820</v>
      </c>
      <c r="D80" s="59" t="s">
        <v>1175</v>
      </c>
      <c r="E80" s="59" t="s">
        <v>1176</v>
      </c>
      <c r="F80" s="60" t="s">
        <v>1178</v>
      </c>
      <c r="G80" s="48"/>
      <c r="H80" s="48"/>
      <c r="I80" s="32"/>
      <c r="J80" s="55" t="s">
        <v>1129</v>
      </c>
      <c r="K80" s="59" t="s">
        <v>7</v>
      </c>
    </row>
    <row r="81" ht="30" customHeight="1" spans="1:11">
      <c r="A81" s="55">
        <v>64</v>
      </c>
      <c r="B81" s="55" t="s">
        <v>1819</v>
      </c>
      <c r="C81" s="59" t="s">
        <v>1820</v>
      </c>
      <c r="D81" s="59" t="s">
        <v>1180</v>
      </c>
      <c r="E81" s="59" t="s">
        <v>1181</v>
      </c>
      <c r="F81" s="60" t="s">
        <v>1183</v>
      </c>
      <c r="G81" s="48"/>
      <c r="H81" s="48"/>
      <c r="I81" s="32"/>
      <c r="J81" s="55" t="s">
        <v>1129</v>
      </c>
      <c r="K81" s="59" t="s">
        <v>7</v>
      </c>
    </row>
    <row r="82" ht="45" customHeight="1" spans="1:11">
      <c r="A82" s="55">
        <v>65</v>
      </c>
      <c r="B82" s="55" t="s">
        <v>1819</v>
      </c>
      <c r="C82" s="59" t="s">
        <v>1820</v>
      </c>
      <c r="D82" s="59" t="s">
        <v>1185</v>
      </c>
      <c r="E82" s="59" t="s">
        <v>1186</v>
      </c>
      <c r="F82" s="60" t="s">
        <v>1188</v>
      </c>
      <c r="G82" s="48"/>
      <c r="H82" s="48"/>
      <c r="I82" s="32"/>
      <c r="J82" s="55" t="s">
        <v>1129</v>
      </c>
      <c r="K82" s="59" t="s">
        <v>7</v>
      </c>
    </row>
    <row r="83" ht="60" customHeight="1" spans="1:11">
      <c r="A83" s="55">
        <v>66</v>
      </c>
      <c r="B83" s="55" t="s">
        <v>1819</v>
      </c>
      <c r="C83" s="59" t="s">
        <v>1820</v>
      </c>
      <c r="D83" s="59" t="s">
        <v>1190</v>
      </c>
      <c r="E83" s="59" t="s">
        <v>1191</v>
      </c>
      <c r="F83" s="60" t="s">
        <v>1193</v>
      </c>
      <c r="G83" s="48"/>
      <c r="H83" s="48"/>
      <c r="I83" s="32"/>
      <c r="J83" s="55" t="s">
        <v>1129</v>
      </c>
      <c r="K83" s="59" t="s">
        <v>7</v>
      </c>
    </row>
    <row r="84" ht="45" customHeight="1" spans="1:11">
      <c r="A84" s="55">
        <v>67</v>
      </c>
      <c r="B84" s="55" t="s">
        <v>1819</v>
      </c>
      <c r="C84" s="59" t="s">
        <v>1820</v>
      </c>
      <c r="D84" s="59" t="s">
        <v>1196</v>
      </c>
      <c r="E84" s="59" t="s">
        <v>1197</v>
      </c>
      <c r="F84" s="60" t="s">
        <v>1199</v>
      </c>
      <c r="G84" s="48"/>
      <c r="H84" s="48"/>
      <c r="I84" s="32"/>
      <c r="J84" s="55" t="s">
        <v>1129</v>
      </c>
      <c r="K84" s="59" t="s">
        <v>7</v>
      </c>
    </row>
    <row r="85" ht="30" customHeight="1" spans="1:11">
      <c r="A85" s="55">
        <v>68</v>
      </c>
      <c r="B85" s="55" t="s">
        <v>1819</v>
      </c>
      <c r="C85" s="59" t="s">
        <v>1820</v>
      </c>
      <c r="D85" s="59" t="s">
        <v>1202</v>
      </c>
      <c r="E85" s="59" t="s">
        <v>1203</v>
      </c>
      <c r="F85" s="60" t="s">
        <v>1205</v>
      </c>
      <c r="G85" s="48"/>
      <c r="H85" s="48"/>
      <c r="I85" s="32"/>
      <c r="J85" s="55" t="s">
        <v>1129</v>
      </c>
      <c r="K85" s="59" t="s">
        <v>7</v>
      </c>
    </row>
    <row r="86" ht="60" customHeight="1" spans="1:11">
      <c r="A86" s="55">
        <v>69</v>
      </c>
      <c r="B86" s="55" t="s">
        <v>1819</v>
      </c>
      <c r="C86" s="59" t="s">
        <v>1820</v>
      </c>
      <c r="D86" s="59" t="s">
        <v>1207</v>
      </c>
      <c r="E86" s="59" t="s">
        <v>1208</v>
      </c>
      <c r="F86" s="60" t="s">
        <v>1210</v>
      </c>
      <c r="G86" s="48"/>
      <c r="H86" s="48"/>
      <c r="I86" s="32"/>
      <c r="J86" s="55" t="s">
        <v>1130</v>
      </c>
      <c r="K86" s="59" t="s">
        <v>7</v>
      </c>
    </row>
    <row r="87" ht="45" customHeight="1" spans="1:11">
      <c r="A87" s="55">
        <v>70</v>
      </c>
      <c r="B87" s="55" t="s">
        <v>1819</v>
      </c>
      <c r="C87" s="59" t="s">
        <v>1820</v>
      </c>
      <c r="D87" s="59" t="s">
        <v>1213</v>
      </c>
      <c r="E87" s="59" t="s">
        <v>1214</v>
      </c>
      <c r="F87" s="60" t="s">
        <v>1216</v>
      </c>
      <c r="G87" s="48"/>
      <c r="H87" s="48"/>
      <c r="I87" s="32"/>
      <c r="J87" s="55" t="s">
        <v>1129</v>
      </c>
      <c r="K87" s="59" t="s">
        <v>7</v>
      </c>
    </row>
    <row r="88" ht="45" customHeight="1" spans="1:11">
      <c r="A88" s="55">
        <v>71</v>
      </c>
      <c r="B88" s="55" t="s">
        <v>1819</v>
      </c>
      <c r="C88" s="59" t="s">
        <v>1820</v>
      </c>
      <c r="D88" s="59" t="s">
        <v>1219</v>
      </c>
      <c r="E88" s="59" t="s">
        <v>1220</v>
      </c>
      <c r="F88" s="60" t="s">
        <v>1222</v>
      </c>
      <c r="G88" s="48"/>
      <c r="H88" s="48"/>
      <c r="I88" s="32"/>
      <c r="J88" s="55" t="s">
        <v>1129</v>
      </c>
      <c r="K88" s="59" t="s">
        <v>7</v>
      </c>
    </row>
    <row r="89" ht="60" customHeight="1" spans="1:11">
      <c r="A89" s="55">
        <v>72</v>
      </c>
      <c r="B89" s="55" t="s">
        <v>1819</v>
      </c>
      <c r="C89" s="59" t="s">
        <v>1820</v>
      </c>
      <c r="D89" s="59" t="s">
        <v>1225</v>
      </c>
      <c r="E89" s="59" t="s">
        <v>1226</v>
      </c>
      <c r="F89" s="60" t="s">
        <v>1228</v>
      </c>
      <c r="G89" s="48"/>
      <c r="H89" s="48"/>
      <c r="I89" s="32"/>
      <c r="J89" s="55" t="s">
        <v>1129</v>
      </c>
      <c r="K89" s="59" t="s">
        <v>7</v>
      </c>
    </row>
    <row r="90" ht="30" customHeight="1" spans="1:11">
      <c r="A90" s="55">
        <v>73</v>
      </c>
      <c r="B90" s="55" t="s">
        <v>1819</v>
      </c>
      <c r="C90" s="59" t="s">
        <v>1820</v>
      </c>
      <c r="D90" s="59" t="s">
        <v>1230</v>
      </c>
      <c r="E90" s="59" t="s">
        <v>1231</v>
      </c>
      <c r="F90" s="60" t="s">
        <v>1233</v>
      </c>
      <c r="G90" s="48"/>
      <c r="H90" s="48"/>
      <c r="I90" s="32"/>
      <c r="J90" s="55" t="s">
        <v>1129</v>
      </c>
      <c r="K90" s="59" t="s">
        <v>7</v>
      </c>
    </row>
    <row r="91" ht="45" customHeight="1" spans="1:11">
      <c r="A91" s="55">
        <v>74</v>
      </c>
      <c r="B91" s="55" t="s">
        <v>1819</v>
      </c>
      <c r="C91" s="59" t="s">
        <v>1820</v>
      </c>
      <c r="D91" s="59" t="s">
        <v>1235</v>
      </c>
      <c r="E91" s="59" t="s">
        <v>1236</v>
      </c>
      <c r="F91" s="60" t="s">
        <v>1238</v>
      </c>
      <c r="G91" s="48"/>
      <c r="H91" s="48"/>
      <c r="I91" s="32"/>
      <c r="J91" s="55" t="s">
        <v>1130</v>
      </c>
      <c r="K91" s="59" t="s">
        <v>7</v>
      </c>
    </row>
    <row r="92" ht="45" customHeight="1" spans="1:11">
      <c r="A92" s="55">
        <v>75</v>
      </c>
      <c r="B92" s="55" t="s">
        <v>1819</v>
      </c>
      <c r="C92" s="59" t="s">
        <v>1820</v>
      </c>
      <c r="D92" s="59" t="s">
        <v>1241</v>
      </c>
      <c r="E92" s="59" t="s">
        <v>1242</v>
      </c>
      <c r="F92" s="60" t="s">
        <v>1244</v>
      </c>
      <c r="G92" s="48"/>
      <c r="H92" s="48"/>
      <c r="I92" s="32"/>
      <c r="J92" s="55" t="s">
        <v>1130</v>
      </c>
      <c r="K92" s="59" t="s">
        <v>7</v>
      </c>
    </row>
    <row r="93" customHeight="1" spans="1:11">
      <c r="A93" s="55">
        <v>76</v>
      </c>
      <c r="B93" s="55" t="s">
        <v>1819</v>
      </c>
      <c r="C93" s="59" t="s">
        <v>1820</v>
      </c>
      <c r="D93" s="59" t="s">
        <v>1248</v>
      </c>
      <c r="E93" s="59" t="s">
        <v>1249</v>
      </c>
      <c r="F93" s="60" t="s">
        <v>1251</v>
      </c>
      <c r="G93" s="48"/>
      <c r="H93" s="48"/>
      <c r="I93" s="32"/>
      <c r="J93" s="55" t="s">
        <v>1129</v>
      </c>
      <c r="K93" s="59" t="s">
        <v>7</v>
      </c>
    </row>
    <row r="94" ht="30" customHeight="1" spans="1:11">
      <c r="A94" s="55">
        <v>77</v>
      </c>
      <c r="B94" s="55" t="s">
        <v>1819</v>
      </c>
      <c r="C94" s="59" t="s">
        <v>1820</v>
      </c>
      <c r="D94" s="59" t="s">
        <v>1253</v>
      </c>
      <c r="E94" s="59" t="s">
        <v>1254</v>
      </c>
      <c r="F94" s="60" t="s">
        <v>1256</v>
      </c>
      <c r="G94" s="48"/>
      <c r="H94" s="48"/>
      <c r="I94" s="32"/>
      <c r="J94" s="55" t="s">
        <v>1129</v>
      </c>
      <c r="K94" s="59" t="s">
        <v>7</v>
      </c>
    </row>
    <row r="95" ht="30" customHeight="1" spans="1:11">
      <c r="A95" s="55">
        <v>78</v>
      </c>
      <c r="B95" s="55" t="s">
        <v>1819</v>
      </c>
      <c r="C95" s="59" t="s">
        <v>1820</v>
      </c>
      <c r="D95" s="59" t="s">
        <v>1258</v>
      </c>
      <c r="E95" s="59" t="s">
        <v>1259</v>
      </c>
      <c r="F95" s="60" t="s">
        <v>1261</v>
      </c>
      <c r="G95" s="48"/>
      <c r="H95" s="48"/>
      <c r="I95" s="32"/>
      <c r="J95" s="55" t="s">
        <v>1129</v>
      </c>
      <c r="K95" s="59" t="s">
        <v>7</v>
      </c>
    </row>
    <row r="96" ht="45" customHeight="1" spans="1:11">
      <c r="A96" s="55">
        <v>79</v>
      </c>
      <c r="B96" s="55" t="s">
        <v>1819</v>
      </c>
      <c r="C96" s="59" t="s">
        <v>1820</v>
      </c>
      <c r="D96" s="59" t="s">
        <v>1263</v>
      </c>
      <c r="E96" s="59" t="s">
        <v>1264</v>
      </c>
      <c r="F96" s="60" t="s">
        <v>1266</v>
      </c>
      <c r="G96" s="48"/>
      <c r="H96" s="48"/>
      <c r="I96" s="32"/>
      <c r="J96" s="55" t="s">
        <v>1129</v>
      </c>
      <c r="K96" s="59" t="s">
        <v>7</v>
      </c>
    </row>
    <row r="97" ht="45" customHeight="1" spans="1:11">
      <c r="A97" s="55">
        <v>80</v>
      </c>
      <c r="B97" s="55" t="s">
        <v>1819</v>
      </c>
      <c r="C97" s="59" t="s">
        <v>1820</v>
      </c>
      <c r="D97" s="59" t="s">
        <v>1268</v>
      </c>
      <c r="E97" s="59" t="s">
        <v>1269</v>
      </c>
      <c r="F97" s="60" t="s">
        <v>1271</v>
      </c>
      <c r="G97" s="48"/>
      <c r="H97" s="48"/>
      <c r="I97" s="32"/>
      <c r="J97" s="55" t="s">
        <v>1130</v>
      </c>
      <c r="K97" s="59" t="s">
        <v>7</v>
      </c>
    </row>
    <row r="98" ht="30" customHeight="1" spans="1:11">
      <c r="A98" s="55">
        <v>81</v>
      </c>
      <c r="B98" s="55" t="s">
        <v>1819</v>
      </c>
      <c r="C98" s="59" t="s">
        <v>1820</v>
      </c>
      <c r="D98" s="59" t="s">
        <v>1275</v>
      </c>
      <c r="E98" s="59" t="s">
        <v>1276</v>
      </c>
      <c r="F98" s="60" t="s">
        <v>1278</v>
      </c>
      <c r="G98" s="48"/>
      <c r="H98" s="48"/>
      <c r="I98" s="32"/>
      <c r="J98" s="55" t="s">
        <v>1129</v>
      </c>
      <c r="K98" s="59" t="s">
        <v>7</v>
      </c>
    </row>
    <row r="99" ht="30" customHeight="1" spans="1:11">
      <c r="A99" s="55">
        <v>82</v>
      </c>
      <c r="B99" s="55" t="s">
        <v>1819</v>
      </c>
      <c r="C99" s="59" t="s">
        <v>1820</v>
      </c>
      <c r="D99" s="59" t="s">
        <v>1280</v>
      </c>
      <c r="E99" s="59" t="s">
        <v>1281</v>
      </c>
      <c r="F99" s="60" t="s">
        <v>1283</v>
      </c>
      <c r="G99" s="48"/>
      <c r="H99" s="48"/>
      <c r="I99" s="32"/>
      <c r="J99" s="55" t="s">
        <v>1129</v>
      </c>
      <c r="K99" s="59" t="s">
        <v>7</v>
      </c>
    </row>
    <row r="100" ht="45" customHeight="1" spans="1:11">
      <c r="A100" s="55">
        <v>83</v>
      </c>
      <c r="B100" s="55" t="s">
        <v>1819</v>
      </c>
      <c r="C100" s="59" t="s">
        <v>1820</v>
      </c>
      <c r="D100" s="59" t="s">
        <v>1285</v>
      </c>
      <c r="E100" s="59" t="s">
        <v>1286</v>
      </c>
      <c r="F100" s="60" t="s">
        <v>1288</v>
      </c>
      <c r="G100" s="48"/>
      <c r="H100" s="48"/>
      <c r="I100" s="32"/>
      <c r="J100" s="55" t="s">
        <v>1129</v>
      </c>
      <c r="K100" s="59" t="s">
        <v>7</v>
      </c>
    </row>
    <row r="101" ht="45" customHeight="1" spans="1:11">
      <c r="A101" s="55">
        <v>84</v>
      </c>
      <c r="B101" s="55" t="s">
        <v>1819</v>
      </c>
      <c r="C101" s="59" t="s">
        <v>1820</v>
      </c>
      <c r="D101" s="59" t="s">
        <v>1290</v>
      </c>
      <c r="E101" s="59" t="s">
        <v>1291</v>
      </c>
      <c r="F101" s="60" t="s">
        <v>1293</v>
      </c>
      <c r="G101" s="48"/>
      <c r="H101" s="48"/>
      <c r="I101" s="32"/>
      <c r="J101" s="55" t="s">
        <v>1129</v>
      </c>
      <c r="K101" s="59" t="s">
        <v>7</v>
      </c>
    </row>
  </sheetData>
  <mergeCells count="101">
    <mergeCell ref="A1:K1"/>
    <mergeCell ref="B3:C3"/>
    <mergeCell ref="B4:C4"/>
    <mergeCell ref="B5:C5"/>
    <mergeCell ref="A7:K7"/>
    <mergeCell ref="A8:B8"/>
    <mergeCell ref="G8:K8"/>
    <mergeCell ref="A9:B9"/>
    <mergeCell ref="G9:K9"/>
    <mergeCell ref="A10:B10"/>
    <mergeCell ref="G10:K10"/>
    <mergeCell ref="A11:B11"/>
    <mergeCell ref="G11:K11"/>
    <mergeCell ref="F13:I13"/>
    <mergeCell ref="A15:K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35:I35"/>
    <mergeCell ref="F36:I36"/>
    <mergeCell ref="F37:I37"/>
    <mergeCell ref="F38:I38"/>
    <mergeCell ref="F39:I39"/>
    <mergeCell ref="F40:I40"/>
    <mergeCell ref="A41:K41"/>
    <mergeCell ref="F42:I42"/>
    <mergeCell ref="F43:I43"/>
    <mergeCell ref="F44:I44"/>
    <mergeCell ref="F45:I45"/>
    <mergeCell ref="F46:I46"/>
    <mergeCell ref="F47:I47"/>
    <mergeCell ref="F48:I48"/>
    <mergeCell ref="F49:I49"/>
    <mergeCell ref="F50:I50"/>
    <mergeCell ref="F51:I51"/>
    <mergeCell ref="F52:I52"/>
    <mergeCell ref="F53:I53"/>
    <mergeCell ref="F54:I54"/>
    <mergeCell ref="F55:I55"/>
    <mergeCell ref="F56:I56"/>
    <mergeCell ref="F57:I57"/>
    <mergeCell ref="F58:I58"/>
    <mergeCell ref="F59:I59"/>
    <mergeCell ref="F60:I60"/>
    <mergeCell ref="F61:I61"/>
    <mergeCell ref="F62:I62"/>
    <mergeCell ref="F63:I63"/>
    <mergeCell ref="F64:I64"/>
    <mergeCell ref="F65:I65"/>
    <mergeCell ref="F66:I66"/>
    <mergeCell ref="F67:I67"/>
    <mergeCell ref="F68:I68"/>
    <mergeCell ref="F69:I69"/>
    <mergeCell ref="F70:I70"/>
    <mergeCell ref="F71:I71"/>
    <mergeCell ref="F72:I72"/>
    <mergeCell ref="F73:I73"/>
    <mergeCell ref="F74:I74"/>
    <mergeCell ref="F75:I75"/>
    <mergeCell ref="A76:K76"/>
    <mergeCell ref="F77:I77"/>
    <mergeCell ref="F78:I78"/>
    <mergeCell ref="F79:I79"/>
    <mergeCell ref="F80:I80"/>
    <mergeCell ref="F81:I81"/>
    <mergeCell ref="F82:I82"/>
    <mergeCell ref="F83:I83"/>
    <mergeCell ref="F84:I84"/>
    <mergeCell ref="F85:I85"/>
    <mergeCell ref="F86:I86"/>
    <mergeCell ref="F87:I87"/>
    <mergeCell ref="F88:I88"/>
    <mergeCell ref="F89:I89"/>
    <mergeCell ref="F90:I90"/>
    <mergeCell ref="F91:I91"/>
    <mergeCell ref="F92:I92"/>
    <mergeCell ref="F93:I93"/>
    <mergeCell ref="F94:I94"/>
    <mergeCell ref="F95:I95"/>
    <mergeCell ref="F96:I96"/>
    <mergeCell ref="F97:I97"/>
    <mergeCell ref="F98:I98"/>
    <mergeCell ref="F99:I99"/>
    <mergeCell ref="F100:I100"/>
    <mergeCell ref="F101:I101"/>
  </mergeCells>
  <conditionalFormatting sqref="J15:J101">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2"/>
  <sheetViews>
    <sheetView workbookViewId="0">
      <selection activeCell="A1" sqref="A1:H1"/>
    </sheetView>
  </sheetViews>
  <sheetFormatPr defaultColWidth="9" defaultRowHeight="15"/>
  <cols>
    <col min="1" max="1" width="9" customWidth="1"/>
    <col min="2" max="2" width="14" customWidth="1"/>
    <col min="3" max="3" width="40" customWidth="1"/>
    <col min="4" max="4" width="30" customWidth="1"/>
    <col min="5" max="5" width="10" customWidth="1"/>
    <col min="6" max="6" width="9" customWidth="1"/>
    <col min="7" max="12" width="10" customWidth="1"/>
    <col min="13" max="13" width="12" customWidth="1"/>
    <col min="14" max="15" width="10" customWidth="1"/>
  </cols>
  <sheetData>
    <row r="1" ht="20.25" spans="1:4">
      <c r="A1" s="20" t="s">
        <v>1821</v>
      </c>
    </row>
    <row r="3" ht="28.5" spans="1:4">
      <c r="A3" s="21" t="s">
        <v>1822</v>
      </c>
      <c r="B3" s="22" t="s">
        <v>1823</v>
      </c>
    </row>
    <row r="4" ht="28.5" spans="1:4">
      <c r="A4" s="21" t="s">
        <v>1544</v>
      </c>
      <c r="B4" s="22" t="s">
        <v>1824</v>
      </c>
    </row>
    <row r="5" ht="42.75" spans="1:4">
      <c r="A5" s="21" t="s">
        <v>1825</v>
      </c>
      <c r="B5" s="23" t="s">
        <v>1826</v>
      </c>
    </row>
    <row r="7" ht="15.75" spans="1:4">
      <c r="A7" s="24" t="s">
        <v>1827</v>
      </c>
    </row>
    <row r="8" ht="28.5" spans="1:4">
      <c r="A8" s="25" t="s">
        <v>211</v>
      </c>
      <c r="B8" s="25" t="s">
        <v>1828</v>
      </c>
      <c r="C8" s="25" t="s">
        <v>1829</v>
      </c>
      <c r="D8" s="25" t="s">
        <v>1830</v>
      </c>
    </row>
    <row r="9" ht="30" customHeight="1" spans="1:4">
      <c r="A9" s="26">
        <v>1</v>
      </c>
      <c r="B9" s="27" t="s">
        <v>1831</v>
      </c>
      <c r="C9" s="28" t="s">
        <v>1832</v>
      </c>
      <c r="D9" s="29" t="s">
        <v>1833</v>
      </c>
    </row>
    <row r="10" ht="30" customHeight="1" spans="1:4">
      <c r="A10" s="26">
        <v>2</v>
      </c>
      <c r="B10" s="27" t="s">
        <v>1834</v>
      </c>
      <c r="C10" s="28" t="s">
        <v>1835</v>
      </c>
      <c r="D10" s="29" t="s">
        <v>1836</v>
      </c>
    </row>
    <row r="12" ht="15.75" spans="1:4">
      <c r="A12" s="30" t="s">
        <v>1837</v>
      </c>
    </row>
    <row r="13" spans="1:4">
      <c r="A13" s="31" t="s">
        <v>1838</v>
      </c>
      <c r="B13" s="32"/>
      <c r="C13" s="31" t="s">
        <v>1839</v>
      </c>
      <c r="D13" s="32"/>
    </row>
    <row r="14" customHeight="1" spans="1:4">
      <c r="A14" s="33" t="s">
        <v>1840</v>
      </c>
      <c r="B14" s="32"/>
      <c r="C14" s="34" t="s">
        <v>1841</v>
      </c>
      <c r="D14" s="32"/>
    </row>
    <row r="15" customHeight="1" spans="1:4">
      <c r="A15" s="33" t="s">
        <v>1842</v>
      </c>
      <c r="B15" s="32"/>
      <c r="C15" s="34" t="s">
        <v>1843</v>
      </c>
      <c r="D15" s="32"/>
    </row>
    <row r="16" customHeight="1" spans="1:4">
      <c r="A16" s="33" t="s">
        <v>1844</v>
      </c>
      <c r="B16" s="32"/>
      <c r="C16" s="34" t="s">
        <v>1845</v>
      </c>
      <c r="D16" s="32"/>
    </row>
    <row r="17" customHeight="1" spans="1:15">
      <c r="A17" s="33" t="s">
        <v>1846</v>
      </c>
      <c r="B17" s="32"/>
      <c r="C17" s="34" t="s">
        <v>1847</v>
      </c>
      <c r="D17" s="32"/>
    </row>
    <row r="18" customHeight="1" spans="1:15">
      <c r="A18" s="33" t="s">
        <v>1848</v>
      </c>
      <c r="B18" s="32"/>
      <c r="C18" s="34" t="s">
        <v>1849</v>
      </c>
      <c r="D18" s="32"/>
    </row>
    <row r="19" ht="30" customHeight="1" spans="1:15">
      <c r="A19" s="33" t="s">
        <v>1850</v>
      </c>
      <c r="B19" s="32"/>
      <c r="C19" s="34" t="s">
        <v>1851</v>
      </c>
      <c r="D19" s="32"/>
    </row>
    <row r="20" ht="30" customHeight="1" spans="1:15">
      <c r="A20" s="33" t="s">
        <v>1852</v>
      </c>
      <c r="B20" s="32"/>
      <c r="C20" s="34" t="s">
        <v>1853</v>
      </c>
      <c r="D20" s="32"/>
    </row>
    <row r="21" customHeight="1" spans="1:15">
      <c r="A21" s="33" t="s">
        <v>1854</v>
      </c>
      <c r="B21" s="32"/>
      <c r="C21" s="34" t="s">
        <v>1855</v>
      </c>
      <c r="D21" s="32"/>
    </row>
    <row r="23" ht="15.75" spans="1:15">
      <c r="A23" s="24" t="s">
        <v>1856</v>
      </c>
    </row>
    <row r="24" ht="28.5" spans="1:15">
      <c r="A24" s="31" t="s">
        <v>211</v>
      </c>
      <c r="B24" s="31" t="s">
        <v>1857</v>
      </c>
      <c r="C24" s="32"/>
      <c r="D24" s="31" t="s">
        <v>1858</v>
      </c>
    </row>
    <row r="25" ht="45" customHeight="1" spans="1:15">
      <c r="A25" s="35">
        <v>1</v>
      </c>
      <c r="B25" s="33" t="s">
        <v>1859</v>
      </c>
      <c r="C25" s="32"/>
      <c r="D25" s="34" t="s">
        <v>1860</v>
      </c>
    </row>
    <row r="26" ht="30" customHeight="1" spans="1:15">
      <c r="A26" s="35">
        <v>2</v>
      </c>
      <c r="B26" s="33" t="s">
        <v>1861</v>
      </c>
      <c r="C26" s="32"/>
      <c r="D26" s="34" t="s">
        <v>1862</v>
      </c>
    </row>
    <row r="28" spans="1:15">
      <c r="A28" s="36" t="s">
        <v>1863</v>
      </c>
      <c r="B28" s="37"/>
      <c r="C28" s="37"/>
      <c r="D28" s="37"/>
      <c r="E28" s="37"/>
      <c r="F28" s="37"/>
      <c r="G28" s="37"/>
      <c r="H28" s="37"/>
      <c r="I28" s="37"/>
      <c r="J28" s="37"/>
      <c r="K28" s="37"/>
      <c r="L28" s="37"/>
      <c r="M28" s="37"/>
      <c r="N28" s="37"/>
      <c r="O28" s="37"/>
    </row>
    <row r="29" ht="32" customHeight="1" spans="1:15">
      <c r="A29" s="38" t="s">
        <v>211</v>
      </c>
      <c r="B29" s="38" t="s">
        <v>1828</v>
      </c>
      <c r="C29" s="38" t="s">
        <v>1864</v>
      </c>
      <c r="D29" s="38" t="s">
        <v>1865</v>
      </c>
      <c r="E29" s="38" t="s">
        <v>1866</v>
      </c>
      <c r="F29" s="38" t="s">
        <v>1867</v>
      </c>
      <c r="G29" s="38" t="s">
        <v>1868</v>
      </c>
      <c r="H29" s="38" t="s">
        <v>1869</v>
      </c>
      <c r="I29" s="38" t="s">
        <v>1870</v>
      </c>
      <c r="J29" s="38" t="s">
        <v>1871</v>
      </c>
      <c r="K29" s="38" t="s">
        <v>1872</v>
      </c>
      <c r="L29" s="38" t="s">
        <v>1873</v>
      </c>
      <c r="M29" s="38" t="s">
        <v>1874</v>
      </c>
      <c r="N29" s="38" t="s">
        <v>1875</v>
      </c>
      <c r="O29" s="38" t="s">
        <v>1876</v>
      </c>
    </row>
    <row r="30" customHeight="1" spans="1:15">
      <c r="A30" s="39">
        <v>1</v>
      </c>
      <c r="B30" s="39" t="s">
        <v>1831</v>
      </c>
      <c r="C30" s="40" t="s">
        <v>1877</v>
      </c>
      <c r="D30" s="39" t="s">
        <v>1878</v>
      </c>
      <c r="E30" s="39">
        <v>20</v>
      </c>
      <c r="F30" s="39">
        <v>30</v>
      </c>
      <c r="G30" s="39">
        <v>41</v>
      </c>
      <c r="H30" s="39">
        <v>21197</v>
      </c>
      <c r="I30" s="39">
        <v>28</v>
      </c>
      <c r="J30" s="39">
        <v>48</v>
      </c>
      <c r="K30" s="39">
        <v>4</v>
      </c>
      <c r="L30" s="39">
        <v>164</v>
      </c>
      <c r="M30" s="39">
        <v>706.1</v>
      </c>
      <c r="N30" s="41">
        <v>0</v>
      </c>
      <c r="O30" s="39" t="s">
        <v>1385</v>
      </c>
    </row>
    <row r="31" customHeight="1" spans="1:15">
      <c r="A31" s="39">
        <v>2</v>
      </c>
      <c r="B31" s="39" t="s">
        <v>1831</v>
      </c>
      <c r="C31" s="40" t="s">
        <v>1879</v>
      </c>
      <c r="D31" s="39" t="s">
        <v>1878</v>
      </c>
      <c r="E31" s="39">
        <v>20</v>
      </c>
      <c r="F31" s="39">
        <v>30</v>
      </c>
      <c r="G31" s="39">
        <v>7</v>
      </c>
      <c r="H31" s="39">
        <v>107941</v>
      </c>
      <c r="I31" s="39">
        <v>5</v>
      </c>
      <c r="J31" s="39">
        <v>8</v>
      </c>
      <c r="K31" s="39">
        <v>1</v>
      </c>
      <c r="L31" s="39">
        <v>38</v>
      </c>
      <c r="M31" s="39">
        <v>3597.5</v>
      </c>
      <c r="N31" s="41">
        <v>0</v>
      </c>
      <c r="O31" s="39" t="s">
        <v>1385</v>
      </c>
    </row>
    <row r="32" customHeight="1" spans="1:15">
      <c r="A32" s="39">
        <v>3</v>
      </c>
      <c r="B32" s="39" t="s">
        <v>1834</v>
      </c>
      <c r="C32" s="40" t="s">
        <v>1880</v>
      </c>
      <c r="D32" s="39" t="s">
        <v>1881</v>
      </c>
      <c r="E32" s="39">
        <v>50</v>
      </c>
      <c r="F32" s="39">
        <v>30</v>
      </c>
      <c r="G32" s="39">
        <v>93</v>
      </c>
      <c r="H32" s="39">
        <v>20825</v>
      </c>
      <c r="I32" s="39">
        <v>72</v>
      </c>
      <c r="J32" s="39">
        <v>104</v>
      </c>
      <c r="K32" s="39">
        <v>4</v>
      </c>
      <c r="L32" s="39">
        <v>238</v>
      </c>
      <c r="M32" s="39">
        <v>692.5</v>
      </c>
      <c r="N32" s="41">
        <v>0</v>
      </c>
      <c r="O32" s="39" t="s">
        <v>1385</v>
      </c>
    </row>
    <row r="33" spans="1:15">
      <c r="A33" s="42" t="s">
        <v>1882</v>
      </c>
      <c r="B33" s="42" t="s">
        <v>1883</v>
      </c>
      <c r="C33" s="42" t="s">
        <v>1884</v>
      </c>
      <c r="D33" s="42" t="s">
        <v>1885</v>
      </c>
      <c r="H33" s="43">
        <f>SUM(H30:H32)</f>
        <v>149963</v>
      </c>
      <c r="I33" s="44">
        <f>IFERROR(SUMPRODUCT(H30:H32,I30:I32)/H33,0)</f>
        <v>17.555136933777</v>
      </c>
      <c r="N33" s="45">
        <f>IFERROR(SUMPRODUCT(H30:H32,N30:N32)/H33,0)</f>
        <v>0</v>
      </c>
      <c r="O33" s="43" t="str">
        <f>IF(COUNTIF(O30:O32,"FAIL")=0,"PASS","FAIL")</f>
        <v>PASS</v>
      </c>
    </row>
    <row r="35" spans="1:15">
      <c r="A35" s="46" t="s">
        <v>1886</v>
      </c>
      <c r="B35" s="16"/>
      <c r="C35" s="16"/>
      <c r="D35" s="16"/>
      <c r="E35" s="17"/>
    </row>
    <row r="36" ht="30" spans="1:15">
      <c r="A36" s="38" t="s">
        <v>1887</v>
      </c>
      <c r="B36" s="38" t="s">
        <v>332</v>
      </c>
      <c r="C36" s="38" t="s">
        <v>1888</v>
      </c>
      <c r="D36" s="38" t="s">
        <v>1889</v>
      </c>
      <c r="E36" s="38" t="s">
        <v>430</v>
      </c>
    </row>
    <row r="37" ht="30" customHeight="1" spans="1:15">
      <c r="A37" s="47" t="s">
        <v>1831</v>
      </c>
      <c r="B37" s="47" t="s">
        <v>1878</v>
      </c>
      <c r="C37" s="47" t="s">
        <v>1890</v>
      </c>
      <c r="D37" s="47" t="s">
        <v>1891</v>
      </c>
      <c r="E37" s="47" t="s">
        <v>1877</v>
      </c>
    </row>
    <row r="38" ht="30" customHeight="1" spans="1:15">
      <c r="A38" s="47" t="s">
        <v>1831</v>
      </c>
      <c r="B38" s="47" t="s">
        <v>1878</v>
      </c>
      <c r="C38" s="47" t="s">
        <v>1890</v>
      </c>
      <c r="D38" s="47" t="s">
        <v>1891</v>
      </c>
      <c r="E38" s="47" t="s">
        <v>1879</v>
      </c>
    </row>
    <row r="39" customHeight="1" spans="1:15">
      <c r="A39" s="47" t="s">
        <v>1834</v>
      </c>
      <c r="B39" s="47" t="s">
        <v>1881</v>
      </c>
      <c r="C39" s="47" t="s">
        <v>1892</v>
      </c>
      <c r="D39" s="47" t="s">
        <v>1891</v>
      </c>
      <c r="E39" s="47" t="s">
        <v>1880</v>
      </c>
    </row>
    <row r="41" spans="1:15">
      <c r="A41" s="46" t="s">
        <v>1893</v>
      </c>
      <c r="B41" s="16"/>
      <c r="C41" s="16"/>
      <c r="D41" s="16"/>
      <c r="E41" s="16"/>
      <c r="F41" s="16"/>
      <c r="G41" s="16"/>
      <c r="H41" s="16"/>
      <c r="I41" s="16"/>
      <c r="J41" s="16"/>
      <c r="K41" s="16"/>
      <c r="L41" s="16"/>
      <c r="M41" s="16"/>
      <c r="N41" s="16"/>
      <c r="O41" s="17"/>
    </row>
    <row r="42" customHeight="1" spans="1:15">
      <c r="A42" s="47" t="s">
        <v>1894</v>
      </c>
      <c r="B42" s="48"/>
      <c r="C42" s="48"/>
      <c r="D42" s="48"/>
      <c r="E42" s="48"/>
      <c r="F42" s="48"/>
      <c r="G42" s="48"/>
      <c r="H42" s="48"/>
      <c r="I42" s="48"/>
      <c r="J42" s="48"/>
      <c r="K42" s="48"/>
      <c r="L42" s="48"/>
      <c r="M42" s="48"/>
      <c r="N42" s="48"/>
      <c r="O42" s="32"/>
    </row>
  </sheetData>
  <mergeCells count="32">
    <mergeCell ref="A1:H1"/>
    <mergeCell ref="B3:H3"/>
    <mergeCell ref="B4:H4"/>
    <mergeCell ref="B5:H5"/>
    <mergeCell ref="A7:D7"/>
    <mergeCell ref="A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3:D23"/>
    <mergeCell ref="B24:C24"/>
    <mergeCell ref="B25:C25"/>
    <mergeCell ref="B26:C26"/>
    <mergeCell ref="A28:O28"/>
    <mergeCell ref="A35:E35"/>
    <mergeCell ref="A41:O41"/>
    <mergeCell ref="A42:O42"/>
  </mergeCells>
  <conditionalFormatting sqref="O30:O33">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workbookViewId="0">
      <selection activeCell="A1" sqref="A1:G1"/>
    </sheetView>
  </sheetViews>
  <sheetFormatPr defaultColWidth="9" defaultRowHeight="15" outlineLevelCol="6"/>
  <cols>
    <col min="1" max="1" width="34" customWidth="1"/>
    <col min="2" max="2" width="14" customWidth="1"/>
    <col min="3" max="6" width="13" customWidth="1"/>
    <col min="7" max="7" width="44" customWidth="1"/>
  </cols>
  <sheetData>
    <row r="1" ht="19.5" spans="1:7">
      <c r="A1" s="1" t="s">
        <v>1895</v>
      </c>
    </row>
    <row r="2" spans="1:7">
      <c r="A2" s="2" t="s">
        <v>226</v>
      </c>
      <c r="C2" s="2" t="s">
        <v>227</v>
      </c>
    </row>
    <row r="3" spans="1:7">
      <c r="A3" s="2" t="s">
        <v>528</v>
      </c>
      <c r="C3" s="2" t="s">
        <v>231</v>
      </c>
    </row>
    <row r="4" spans="1:7">
      <c r="A4" s="2" t="s">
        <v>1896</v>
      </c>
      <c r="C4" s="2" t="s">
        <v>45</v>
      </c>
    </row>
    <row r="5" spans="1:7">
      <c r="A5" s="2" t="s">
        <v>1897</v>
      </c>
      <c r="C5" s="2" t="s">
        <v>7</v>
      </c>
    </row>
    <row r="6" spans="1:7">
      <c r="A6" s="2" t="s">
        <v>1898</v>
      </c>
      <c r="C6" s="2" t="s">
        <v>233</v>
      </c>
    </row>
    <row r="7" spans="1:7">
      <c r="A7" s="2" t="s">
        <v>1899</v>
      </c>
      <c r="C7" s="2">
        <f>B16</f>
        <v>84</v>
      </c>
    </row>
    <row r="8" spans="1:7">
      <c r="A8" s="2" t="s">
        <v>1900</v>
      </c>
      <c r="C8" s="3" t="s">
        <v>1901</v>
      </c>
    </row>
    <row r="10" spans="1:7">
      <c r="A10" s="4" t="s">
        <v>1902</v>
      </c>
      <c r="B10" s="5"/>
      <c r="C10" s="5"/>
      <c r="D10" s="5"/>
      <c r="E10" s="5"/>
      <c r="F10" s="5"/>
      <c r="G10" s="6"/>
    </row>
    <row r="11" ht="32" customHeight="1" spans="1:7">
      <c r="A11" s="7" t="s">
        <v>1903</v>
      </c>
      <c r="B11" s="7" t="s">
        <v>1904</v>
      </c>
      <c r="C11" s="7" t="s">
        <v>1553</v>
      </c>
      <c r="D11" s="7" t="s">
        <v>1554</v>
      </c>
      <c r="E11" s="7" t="s">
        <v>1905</v>
      </c>
      <c r="F11" s="7" t="s">
        <v>1759</v>
      </c>
      <c r="G11" s="7" t="s">
        <v>1906</v>
      </c>
    </row>
    <row r="12" customHeight="1" spans="1:7">
      <c r="A12" s="8" t="s">
        <v>1907</v>
      </c>
      <c r="B12" s="9">
        <f>'PH1-Kiểm thử giao diện'!C16</f>
        <v>25</v>
      </c>
      <c r="C12" s="9">
        <f>'PH1-Kiểm thử giao diện'!E16</f>
        <v>21</v>
      </c>
      <c r="D12" s="9">
        <f>'PH1-Kiểm thử giao diện'!F16</f>
        <v>4</v>
      </c>
      <c r="E12" s="9">
        <f>'PH1-Kiểm thử giao diện'!D16</f>
        <v>0</v>
      </c>
      <c r="F12" s="10">
        <f>IFERROR(C12/B12,0)</f>
        <v>0.84</v>
      </c>
      <c r="G12" s="11" t="s">
        <v>1908</v>
      </c>
    </row>
    <row r="13" ht="30" customHeight="1" spans="1:7">
      <c r="A13" s="8" t="s">
        <v>1909</v>
      </c>
      <c r="B13" s="9">
        <f>'PH1-Kiểm thử API(Postman)'!A10</f>
        <v>34</v>
      </c>
      <c r="C13" s="9">
        <f>'PH1-Kiểm thử API(Postman)'!B10</f>
        <v>31</v>
      </c>
      <c r="D13" s="9">
        <f>'PH1-Kiểm thử API(Postman)'!C10</f>
        <v>3</v>
      </c>
      <c r="E13" s="9">
        <v>0</v>
      </c>
      <c r="F13" s="10">
        <f>IFERROR(C13/B13,0)</f>
        <v>0.911764705882353</v>
      </c>
      <c r="G13" s="11" t="s">
        <v>1910</v>
      </c>
    </row>
    <row r="14" ht="30" customHeight="1" spans="1:7">
      <c r="A14" s="8" t="s">
        <v>1911</v>
      </c>
      <c r="B14" s="9">
        <f>'PH1-Unit test'!B79</f>
        <v>25</v>
      </c>
      <c r="C14" s="9">
        <f>'PH1-Unit test'!B80</f>
        <v>21</v>
      </c>
      <c r="D14" s="9">
        <f>'PH1-Unit test'!B81</f>
        <v>4</v>
      </c>
      <c r="E14" s="9">
        <v>0</v>
      </c>
      <c r="F14" s="10">
        <f>IFERROR(C14/B14,0)</f>
        <v>0.84</v>
      </c>
      <c r="G14" s="11" t="s">
        <v>1912</v>
      </c>
    </row>
    <row r="15" ht="30" customHeight="1" spans="1:7">
      <c r="A15" s="8" t="s">
        <v>1913</v>
      </c>
      <c r="B15" s="9">
        <f>COUNTA('PH1-Kiểm thử hiệu năng'!O30:O32)</f>
        <v>3</v>
      </c>
      <c r="C15" s="9">
        <f>COUNTIF('PH1-Kiểm thử hiệu năng'!O30:O32,"PASS")</f>
        <v>3</v>
      </c>
      <c r="D15" s="9">
        <f>COUNTIF('PH1-Kiểm thử hiệu năng'!O30:O32,"FAIL")</f>
        <v>0</v>
      </c>
      <c r="E15" s="9">
        <v>0</v>
      </c>
      <c r="F15" s="10">
        <f>IFERROR(C15/B15,0)</f>
        <v>1</v>
      </c>
      <c r="G15" s="11" t="s">
        <v>1894</v>
      </c>
    </row>
    <row r="16" spans="1:7">
      <c r="A16" s="12" t="s">
        <v>1914</v>
      </c>
      <c r="B16" s="7">
        <f>SUMIF($A$12:$A$15,"&lt;&gt;Kiểm thử Hiệu năng*",B12:B15)</f>
        <v>84</v>
      </c>
      <c r="C16" s="7">
        <f>SUMIF($A$12:$A$15,"&lt;&gt;Kiểm thử Hiệu năng*",C12:C15)</f>
        <v>73</v>
      </c>
      <c r="D16" s="7">
        <f>SUMIF($A$12:$A$15,"&lt;&gt;Kiểm thử Hiệu năng*",D12:D15)</f>
        <v>11</v>
      </c>
      <c r="E16" s="7">
        <f>SUMIF($A$12:$A$15,"&lt;&gt;Kiểm thử Hiệu năng*",E12:E15)</f>
        <v>0</v>
      </c>
      <c r="F16" s="13">
        <f>IFERROR(C16/B16,0)</f>
        <v>0.869047619047619</v>
      </c>
      <c r="G16" s="12" t="s">
        <v>7</v>
      </c>
    </row>
    <row r="18" ht="400" customHeight="1" spans="1:7">
      <c r="A18" s="14" t="s">
        <v>1915</v>
      </c>
      <c r="B18" s="15" t="s">
        <v>1916</v>
      </c>
      <c r="C18" s="16"/>
      <c r="D18" s="16"/>
      <c r="E18" s="16"/>
      <c r="F18" s="16"/>
      <c r="G18" s="17"/>
    </row>
    <row r="19" ht="375" customHeight="1" spans="1:7">
      <c r="A19" s="18" t="s">
        <v>1917</v>
      </c>
      <c r="B19" s="15" t="s">
        <v>1918</v>
      </c>
      <c r="C19" s="16"/>
      <c r="D19" s="16"/>
      <c r="E19" s="17"/>
      <c r="F19" s="15" t="s">
        <v>1919</v>
      </c>
      <c r="G19" s="17"/>
    </row>
    <row r="20" ht="210" customHeight="1" spans="1:7">
      <c r="A20" s="14" t="s">
        <v>1920</v>
      </c>
      <c r="B20" s="15" t="s">
        <v>1107</v>
      </c>
      <c r="C20" s="16"/>
      <c r="D20" s="16"/>
      <c r="E20" s="16"/>
      <c r="F20" s="16"/>
      <c r="G20" s="17"/>
    </row>
    <row r="21" ht="45" customHeight="1" spans="1:7">
      <c r="A21" s="14" t="s">
        <v>1921</v>
      </c>
      <c r="B21" s="15" t="s">
        <v>1922</v>
      </c>
      <c r="C21" s="16"/>
      <c r="D21" s="16"/>
      <c r="E21" s="16"/>
      <c r="F21" s="16"/>
      <c r="G21" s="17"/>
    </row>
    <row r="22" ht="32" customHeight="1" spans="1:7">
      <c r="A22" s="19" t="s">
        <v>1923</v>
      </c>
    </row>
  </sheetData>
  <mergeCells count="21">
    <mergeCell ref="A1:G1"/>
    <mergeCell ref="A2:B2"/>
    <mergeCell ref="C2:F2"/>
    <mergeCell ref="A3:B3"/>
    <mergeCell ref="C3:F3"/>
    <mergeCell ref="A4:B4"/>
    <mergeCell ref="C4:F4"/>
    <mergeCell ref="A5:B5"/>
    <mergeCell ref="C5:F5"/>
    <mergeCell ref="A6:B6"/>
    <mergeCell ref="C6:F6"/>
    <mergeCell ref="A7:B7"/>
    <mergeCell ref="C7:F7"/>
    <mergeCell ref="A8:B8"/>
    <mergeCell ref="C8:F8"/>
    <mergeCell ref="A10:G10"/>
    <mergeCell ref="B18:G18"/>
    <mergeCell ref="B19:E19"/>
    <mergeCell ref="F19:G19"/>
    <mergeCell ref="B20:G20"/>
    <mergeCell ref="B21:G21"/>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
  <sheetViews>
    <sheetView workbookViewId="0">
      <pane xSplit="1" ySplit="13" topLeftCell="B14" activePane="bottomRight" state="frozen"/>
      <selection/>
      <selection pane="topRight"/>
      <selection pane="bottomLeft"/>
      <selection pane="bottomRight" activeCell="A1" sqref="A1:F1"/>
    </sheetView>
  </sheetViews>
  <sheetFormatPr defaultColWidth="9" defaultRowHeight="15" outlineLevelCol="5"/>
  <cols>
    <col min="1" max="1" width="57.7142857142857" customWidth="1"/>
    <col min="2" max="2" width="11.1428571428571" customWidth="1"/>
    <col min="3" max="3" width="13.5714285714286" customWidth="1"/>
    <col min="4" max="4" width="13" customWidth="1"/>
    <col min="5" max="5" width="38.5714285714286" customWidth="1"/>
    <col min="6" max="6" width="13" customWidth="1"/>
  </cols>
  <sheetData>
    <row r="1" ht="24" customHeight="1" spans="1:6">
      <c r="A1" s="144" t="s">
        <v>69</v>
      </c>
    </row>
    <row r="3" customHeight="1" spans="1:6">
      <c r="A3" s="145" t="s">
        <v>226</v>
      </c>
      <c r="B3" s="146" t="s">
        <v>227</v>
      </c>
      <c r="C3" s="147"/>
      <c r="D3" s="147"/>
      <c r="E3" s="147"/>
      <c r="F3" s="147"/>
    </row>
    <row r="4" customHeight="1" spans="1:6">
      <c r="A4" s="145" t="s">
        <v>528</v>
      </c>
      <c r="B4" s="146" t="s">
        <v>231</v>
      </c>
      <c r="C4" s="147"/>
      <c r="D4" s="147"/>
      <c r="E4" s="147"/>
      <c r="F4" s="147"/>
    </row>
    <row r="5" customHeight="1" spans="1:6">
      <c r="A5" s="145" t="s">
        <v>529</v>
      </c>
      <c r="B5" s="148" t="s">
        <v>46</v>
      </c>
      <c r="C5" s="147"/>
      <c r="D5" s="147"/>
      <c r="E5" s="147"/>
      <c r="F5" s="147"/>
    </row>
    <row r="6" customHeight="1" spans="1:6">
      <c r="A6" s="145" t="s">
        <v>422</v>
      </c>
      <c r="B6" s="146" t="s">
        <v>60</v>
      </c>
      <c r="C6" s="147"/>
      <c r="D6" s="147"/>
      <c r="E6" s="147"/>
      <c r="F6" s="147"/>
    </row>
    <row r="7" customHeight="1" spans="1:6">
      <c r="A7" s="145" t="s">
        <v>238</v>
      </c>
      <c r="B7" s="146" t="s">
        <v>7</v>
      </c>
      <c r="C7" s="147"/>
      <c r="D7" s="147"/>
      <c r="E7" s="147"/>
      <c r="F7" s="147"/>
    </row>
    <row r="8" customHeight="1" spans="1:6">
      <c r="A8" s="145" t="s">
        <v>421</v>
      </c>
      <c r="B8" s="146" t="s">
        <v>233</v>
      </c>
      <c r="C8" s="147"/>
      <c r="D8" s="147"/>
      <c r="E8" s="147"/>
      <c r="F8" s="147"/>
    </row>
    <row r="9" ht="60" customHeight="1" spans="1:6">
      <c r="A9" s="145" t="s">
        <v>423</v>
      </c>
      <c r="B9" s="148" t="s">
        <v>1924</v>
      </c>
      <c r="C9" s="147"/>
      <c r="D9" s="147"/>
      <c r="E9" s="147"/>
      <c r="F9" s="147"/>
    </row>
    <row r="10" customHeight="1" spans="1:6">
      <c r="A10" s="145" t="s">
        <v>532</v>
      </c>
      <c r="B10" s="146" t="s">
        <v>103</v>
      </c>
      <c r="C10" s="147"/>
      <c r="D10" s="147"/>
      <c r="E10" s="147"/>
      <c r="F10" s="147"/>
    </row>
    <row r="11" ht="120" customHeight="1" spans="1:6">
      <c r="A11" s="145" t="s">
        <v>935</v>
      </c>
      <c r="B11" s="148" t="s">
        <v>1925</v>
      </c>
      <c r="C11" s="147"/>
      <c r="D11" s="147"/>
      <c r="E11" s="147"/>
      <c r="F11" s="147"/>
    </row>
    <row r="13" spans="1:6">
      <c r="A13" s="149" t="s">
        <v>426</v>
      </c>
      <c r="B13" s="150" t="s">
        <v>427</v>
      </c>
      <c r="C13" s="150" t="s">
        <v>428</v>
      </c>
      <c r="D13" s="150" t="s">
        <v>429</v>
      </c>
      <c r="E13" s="150" t="s">
        <v>430</v>
      </c>
      <c r="F13" s="150" t="s">
        <v>431</v>
      </c>
    </row>
    <row r="14" spans="1:6">
      <c r="A14" s="149" t="s">
        <v>432</v>
      </c>
      <c r="B14" s="149"/>
      <c r="C14" s="149"/>
      <c r="D14" s="149"/>
      <c r="E14" s="149"/>
      <c r="F14" s="149"/>
    </row>
    <row r="15" ht="75" customHeight="1" spans="1:6">
      <c r="A15" s="151" t="s">
        <v>433</v>
      </c>
      <c r="B15" s="152"/>
      <c r="C15" s="152" t="s">
        <v>434</v>
      </c>
      <c r="D15" s="152"/>
      <c r="E15" s="151" t="s">
        <v>1926</v>
      </c>
      <c r="F15" s="152" t="s">
        <v>436</v>
      </c>
    </row>
    <row r="16" ht="60" customHeight="1" spans="1:6">
      <c r="A16" s="151" t="s">
        <v>437</v>
      </c>
      <c r="B16" s="152"/>
      <c r="C16" s="152" t="s">
        <v>434</v>
      </c>
      <c r="D16" s="152"/>
      <c r="E16" s="151" t="s">
        <v>1927</v>
      </c>
      <c r="F16" s="152" t="s">
        <v>436</v>
      </c>
    </row>
    <row r="17" ht="45" customHeight="1" spans="1:6">
      <c r="A17" s="151" t="s">
        <v>535</v>
      </c>
      <c r="B17" s="152"/>
      <c r="C17" s="152" t="s">
        <v>434</v>
      </c>
      <c r="D17" s="152"/>
      <c r="E17" s="151" t="s">
        <v>1928</v>
      </c>
      <c r="F17" s="152" t="s">
        <v>436</v>
      </c>
    </row>
    <row r="18" ht="30" customHeight="1" spans="1:6">
      <c r="A18" s="151" t="s">
        <v>537</v>
      </c>
      <c r="B18" s="152"/>
      <c r="C18" s="152" t="s">
        <v>434</v>
      </c>
      <c r="D18" s="152"/>
      <c r="E18" s="151" t="s">
        <v>677</v>
      </c>
      <c r="F18" s="152" t="s">
        <v>436</v>
      </c>
    </row>
    <row r="19" ht="30" customHeight="1" spans="1:6">
      <c r="A19" s="151" t="s">
        <v>539</v>
      </c>
      <c r="B19" s="152"/>
      <c r="C19" s="152" t="s">
        <v>434</v>
      </c>
      <c r="D19" s="152"/>
      <c r="E19" s="151" t="s">
        <v>678</v>
      </c>
      <c r="F19" s="152" t="s">
        <v>436</v>
      </c>
    </row>
    <row r="20" ht="30" customHeight="1" spans="1:6">
      <c r="A20" s="151" t="s">
        <v>541</v>
      </c>
      <c r="B20" s="152"/>
      <c r="C20" s="152" t="s">
        <v>434</v>
      </c>
      <c r="D20" s="152"/>
      <c r="E20" s="151" t="s">
        <v>680</v>
      </c>
      <c r="F20" s="152" t="s">
        <v>436</v>
      </c>
    </row>
    <row r="21" ht="60" customHeight="1" spans="1:6">
      <c r="A21" s="151" t="s">
        <v>543</v>
      </c>
      <c r="B21" s="152"/>
      <c r="C21" s="152" t="s">
        <v>434</v>
      </c>
      <c r="D21" s="152"/>
      <c r="E21" s="151" t="s">
        <v>1929</v>
      </c>
      <c r="F21" s="152" t="s">
        <v>436</v>
      </c>
    </row>
    <row r="22" ht="45" customHeight="1" spans="1:6">
      <c r="A22" s="151" t="s">
        <v>449</v>
      </c>
      <c r="B22" s="152"/>
      <c r="C22" s="152" t="s">
        <v>434</v>
      </c>
      <c r="D22" s="152"/>
      <c r="E22" s="151" t="s">
        <v>1930</v>
      </c>
      <c r="F22" s="152" t="s">
        <v>436</v>
      </c>
    </row>
    <row r="23" ht="45" customHeight="1" spans="1:6">
      <c r="A23" s="151" t="s">
        <v>451</v>
      </c>
      <c r="B23" s="152"/>
      <c r="C23" s="152"/>
      <c r="D23" s="152" t="s">
        <v>434</v>
      </c>
      <c r="E23" s="151" t="s">
        <v>1931</v>
      </c>
      <c r="F23" s="152" t="s">
        <v>436</v>
      </c>
    </row>
    <row r="24" spans="1:6">
      <c r="A24" s="149" t="s">
        <v>547</v>
      </c>
      <c r="B24" s="149"/>
      <c r="C24" s="149"/>
      <c r="D24" s="149"/>
      <c r="E24" s="149"/>
      <c r="F24" s="149"/>
    </row>
    <row r="25" ht="60" customHeight="1" spans="1:6">
      <c r="A25" s="151" t="s">
        <v>548</v>
      </c>
      <c r="B25" s="152" t="s">
        <v>434</v>
      </c>
      <c r="C25" s="152"/>
      <c r="D25" s="152"/>
      <c r="E25" s="151" t="s">
        <v>1932</v>
      </c>
      <c r="F25" s="152" t="s">
        <v>436</v>
      </c>
    </row>
    <row r="26" ht="75" customHeight="1" spans="1:6">
      <c r="A26" s="151" t="s">
        <v>550</v>
      </c>
      <c r="B26" s="152" t="s">
        <v>434</v>
      </c>
      <c r="C26" s="152"/>
      <c r="D26" s="152"/>
      <c r="E26" s="151" t="s">
        <v>1933</v>
      </c>
      <c r="F26" s="152" t="s">
        <v>436</v>
      </c>
    </row>
    <row r="27" ht="120" customHeight="1" spans="1:6">
      <c r="A27" s="151" t="s">
        <v>552</v>
      </c>
      <c r="B27" s="152" t="s">
        <v>434</v>
      </c>
      <c r="C27" s="152"/>
      <c r="D27" s="152"/>
      <c r="E27" s="151" t="s">
        <v>1934</v>
      </c>
      <c r="F27" s="152" t="s">
        <v>436</v>
      </c>
    </row>
    <row r="28" ht="75" customHeight="1" spans="1:6">
      <c r="A28" s="151" t="s">
        <v>554</v>
      </c>
      <c r="B28" s="152"/>
      <c r="C28" s="152" t="s">
        <v>434</v>
      </c>
      <c r="D28" s="152"/>
      <c r="E28" s="151" t="s">
        <v>1935</v>
      </c>
      <c r="F28" s="152" t="s">
        <v>436</v>
      </c>
    </row>
    <row r="29" customHeight="1" spans="1:6">
      <c r="A29" s="151" t="s">
        <v>556</v>
      </c>
      <c r="B29" s="152"/>
      <c r="C29" s="152"/>
      <c r="D29" s="152" t="s">
        <v>434</v>
      </c>
      <c r="E29" s="151" t="s">
        <v>557</v>
      </c>
      <c r="F29" s="152" t="s">
        <v>7</v>
      </c>
    </row>
    <row r="30" customHeight="1" spans="1:6">
      <c r="A30" s="151" t="s">
        <v>224</v>
      </c>
      <c r="B30" s="152"/>
      <c r="C30" s="152"/>
      <c r="D30" s="152" t="s">
        <v>434</v>
      </c>
      <c r="E30" s="151" t="s">
        <v>557</v>
      </c>
      <c r="F30" s="152" t="s">
        <v>7</v>
      </c>
    </row>
    <row r="31" customHeight="1" spans="1:6">
      <c r="A31" s="151" t="s">
        <v>558</v>
      </c>
      <c r="B31" s="152"/>
      <c r="C31" s="152"/>
      <c r="D31" s="152" t="s">
        <v>434</v>
      </c>
      <c r="E31" s="151" t="s">
        <v>557</v>
      </c>
      <c r="F31" s="152" t="s">
        <v>7</v>
      </c>
    </row>
    <row r="32" customHeight="1" spans="1:6">
      <c r="A32" s="151" t="s">
        <v>246</v>
      </c>
      <c r="B32" s="152"/>
      <c r="C32" s="152"/>
      <c r="D32" s="152" t="s">
        <v>434</v>
      </c>
      <c r="E32" s="151" t="s">
        <v>557</v>
      </c>
      <c r="F32" s="152" t="s">
        <v>7</v>
      </c>
    </row>
    <row r="33" ht="60" customHeight="1" spans="1:6">
      <c r="A33" s="151" t="s">
        <v>559</v>
      </c>
      <c r="B33" s="152" t="s">
        <v>434</v>
      </c>
      <c r="C33" s="152"/>
      <c r="D33" s="152"/>
      <c r="E33" s="151" t="s">
        <v>1936</v>
      </c>
      <c r="F33" s="152" t="s">
        <v>436</v>
      </c>
    </row>
    <row r="34" ht="30" customHeight="1" spans="1:6">
      <c r="A34" s="151" t="s">
        <v>561</v>
      </c>
      <c r="B34" s="152"/>
      <c r="C34" s="152" t="s">
        <v>434</v>
      </c>
      <c r="D34" s="152"/>
      <c r="E34" s="151" t="s">
        <v>1937</v>
      </c>
      <c r="F34" s="152" t="s">
        <v>436</v>
      </c>
    </row>
    <row r="35" spans="1:6">
      <c r="A35" s="149" t="s">
        <v>563</v>
      </c>
      <c r="B35" s="149"/>
      <c r="C35" s="149"/>
      <c r="D35" s="149"/>
      <c r="E35" s="149"/>
      <c r="F35" s="149"/>
    </row>
    <row r="36" ht="60" customHeight="1" spans="1:6">
      <c r="A36" s="151" t="s">
        <v>564</v>
      </c>
      <c r="B36" s="152" t="s">
        <v>434</v>
      </c>
      <c r="C36" s="152"/>
      <c r="D36" s="152"/>
      <c r="E36" s="151" t="s">
        <v>1938</v>
      </c>
      <c r="F36" s="152" t="s">
        <v>436</v>
      </c>
    </row>
    <row r="37" ht="30" customHeight="1" spans="1:6">
      <c r="A37" s="151" t="s">
        <v>566</v>
      </c>
      <c r="B37" s="152" t="s">
        <v>434</v>
      </c>
      <c r="C37" s="152"/>
      <c r="D37" s="152"/>
      <c r="E37" s="151" t="s">
        <v>1939</v>
      </c>
      <c r="F37" s="152" t="s">
        <v>436</v>
      </c>
    </row>
    <row r="38" customHeight="1" spans="1:6">
      <c r="A38" s="151" t="s">
        <v>568</v>
      </c>
      <c r="B38" s="152" t="s">
        <v>434</v>
      </c>
      <c r="C38" s="152"/>
      <c r="D38" s="152"/>
      <c r="E38" s="151" t="s">
        <v>953</v>
      </c>
      <c r="F38" s="152" t="s">
        <v>436</v>
      </c>
    </row>
    <row r="39" ht="60" customHeight="1" spans="1:6">
      <c r="A39" s="151" t="s">
        <v>570</v>
      </c>
      <c r="B39" s="152" t="s">
        <v>434</v>
      </c>
      <c r="C39" s="152"/>
      <c r="D39" s="152"/>
      <c r="E39" s="151" t="s">
        <v>1940</v>
      </c>
      <c r="F39" s="152" t="s">
        <v>436</v>
      </c>
    </row>
    <row r="40" ht="165" customHeight="1" spans="1:6">
      <c r="A40" s="151" t="s">
        <v>572</v>
      </c>
      <c r="B40" s="152"/>
      <c r="C40" s="152" t="s">
        <v>434</v>
      </c>
      <c r="D40" s="152"/>
      <c r="E40" s="151" t="s">
        <v>1941</v>
      </c>
      <c r="F40" s="152" t="s">
        <v>436</v>
      </c>
    </row>
    <row r="41" ht="45" customHeight="1" spans="1:6">
      <c r="A41" s="151" t="s">
        <v>574</v>
      </c>
      <c r="B41" s="152" t="s">
        <v>434</v>
      </c>
      <c r="C41" s="152"/>
      <c r="D41" s="152"/>
      <c r="E41" s="151" t="s">
        <v>1942</v>
      </c>
      <c r="F41" s="152" t="s">
        <v>7</v>
      </c>
    </row>
    <row r="42" ht="60" customHeight="1" spans="1:6">
      <c r="A42" s="151" t="s">
        <v>576</v>
      </c>
      <c r="B42" s="152" t="s">
        <v>434</v>
      </c>
      <c r="C42" s="152"/>
      <c r="D42" s="152"/>
      <c r="E42" s="151" t="s">
        <v>1943</v>
      </c>
      <c r="F42" s="152" t="s">
        <v>7</v>
      </c>
    </row>
    <row r="43" ht="45" customHeight="1" spans="1:6">
      <c r="A43" s="151" t="s">
        <v>578</v>
      </c>
      <c r="B43" s="152" t="s">
        <v>434</v>
      </c>
      <c r="C43" s="152"/>
      <c r="D43" s="152"/>
      <c r="E43" s="151" t="s">
        <v>1944</v>
      </c>
      <c r="F43" s="152" t="s">
        <v>7</v>
      </c>
    </row>
    <row r="44" ht="45" customHeight="1" spans="1:6">
      <c r="A44" s="151" t="s">
        <v>580</v>
      </c>
      <c r="B44" s="152"/>
      <c r="C44" s="152" t="s">
        <v>434</v>
      </c>
      <c r="D44" s="152"/>
      <c r="E44" s="151" t="s">
        <v>1945</v>
      </c>
      <c r="F44" s="152" t="s">
        <v>436</v>
      </c>
    </row>
    <row r="45" ht="60" customHeight="1" spans="1:6">
      <c r="A45" s="151" t="s">
        <v>582</v>
      </c>
      <c r="B45" s="152" t="s">
        <v>434</v>
      </c>
      <c r="C45" s="152"/>
      <c r="D45" s="152"/>
      <c r="E45" s="151" t="s">
        <v>1946</v>
      </c>
      <c r="F45" s="152" t="s">
        <v>7</v>
      </c>
    </row>
    <row r="46" ht="75" customHeight="1" spans="1:6">
      <c r="A46" s="151" t="s">
        <v>584</v>
      </c>
      <c r="B46" s="152" t="s">
        <v>434</v>
      </c>
      <c r="C46" s="152"/>
      <c r="D46" s="152"/>
      <c r="E46" s="151" t="s">
        <v>1947</v>
      </c>
      <c r="F46" s="152" t="s">
        <v>7</v>
      </c>
    </row>
    <row r="47" spans="1:6">
      <c r="A47" s="153" t="s">
        <v>586</v>
      </c>
      <c r="B47" s="149"/>
      <c r="C47" s="149"/>
      <c r="D47" s="149"/>
      <c r="E47" s="149"/>
      <c r="F47" s="149"/>
    </row>
    <row r="48" ht="30" customHeight="1" spans="1:6">
      <c r="A48" s="151" t="s">
        <v>962</v>
      </c>
      <c r="B48" s="152"/>
      <c r="C48" s="152" t="s">
        <v>434</v>
      </c>
      <c r="D48" s="152"/>
      <c r="E48" s="151" t="s">
        <v>1948</v>
      </c>
      <c r="F48" s="152" t="s">
        <v>436</v>
      </c>
    </row>
    <row r="49" ht="105" customHeight="1" spans="1:6">
      <c r="A49" s="151" t="s">
        <v>589</v>
      </c>
      <c r="B49" s="152"/>
      <c r="C49" s="152" t="s">
        <v>434</v>
      </c>
      <c r="D49" s="152"/>
      <c r="E49" s="151" t="s">
        <v>1949</v>
      </c>
      <c r="F49" s="152" t="s">
        <v>436</v>
      </c>
    </row>
    <row r="50" ht="30" customHeight="1" spans="1:6">
      <c r="A50" s="151" t="s">
        <v>591</v>
      </c>
      <c r="B50" s="152"/>
      <c r="C50" s="152" t="s">
        <v>434</v>
      </c>
      <c r="D50" s="152"/>
      <c r="E50" s="151" t="s">
        <v>1950</v>
      </c>
      <c r="F50" s="152" t="s">
        <v>436</v>
      </c>
    </row>
    <row r="51" ht="45" customHeight="1" spans="1:6">
      <c r="A51" s="151" t="s">
        <v>593</v>
      </c>
      <c r="B51" s="152"/>
      <c r="C51" s="152" t="s">
        <v>434</v>
      </c>
      <c r="D51" s="152"/>
      <c r="E51" s="151" t="s">
        <v>1951</v>
      </c>
      <c r="F51" s="152" t="s">
        <v>436</v>
      </c>
    </row>
    <row r="52" ht="60" customHeight="1" spans="1:6">
      <c r="A52" s="151" t="s">
        <v>595</v>
      </c>
      <c r="B52" s="152"/>
      <c r="C52" s="152" t="s">
        <v>434</v>
      </c>
      <c r="D52" s="152"/>
      <c r="E52" s="151" t="s">
        <v>1952</v>
      </c>
      <c r="F52" s="152" t="s">
        <v>7</v>
      </c>
    </row>
    <row r="53" ht="45" customHeight="1" spans="1:6">
      <c r="A53" s="151" t="s">
        <v>597</v>
      </c>
      <c r="B53" s="152"/>
      <c r="C53" s="152" t="s">
        <v>434</v>
      </c>
      <c r="D53" s="152"/>
      <c r="E53" s="151" t="s">
        <v>1953</v>
      </c>
      <c r="F53" s="152" t="s">
        <v>436</v>
      </c>
    </row>
    <row r="54" ht="75" customHeight="1" spans="1:6">
      <c r="A54" s="151" t="s">
        <v>599</v>
      </c>
      <c r="B54" s="152"/>
      <c r="C54" s="152" t="s">
        <v>434</v>
      </c>
      <c r="D54" s="152"/>
      <c r="E54" s="151" t="s">
        <v>1954</v>
      </c>
      <c r="F54" s="152" t="s">
        <v>7</v>
      </c>
    </row>
    <row r="55" ht="60" customHeight="1" spans="1:6">
      <c r="A55" s="151" t="s">
        <v>601</v>
      </c>
      <c r="B55" s="152" t="s">
        <v>434</v>
      </c>
      <c r="C55" s="152"/>
      <c r="D55" s="152"/>
      <c r="E55" s="151" t="s">
        <v>1955</v>
      </c>
      <c r="F55" s="152" t="s">
        <v>7</v>
      </c>
    </row>
    <row r="56" ht="60" customHeight="1" spans="1:6">
      <c r="A56" s="151" t="s">
        <v>603</v>
      </c>
      <c r="B56" s="152"/>
      <c r="C56" s="152" t="s">
        <v>434</v>
      </c>
      <c r="D56" s="152"/>
      <c r="E56" s="151" t="s">
        <v>1956</v>
      </c>
      <c r="F56" s="152" t="s">
        <v>7</v>
      </c>
    </row>
    <row r="57" ht="75" customHeight="1" spans="1:6">
      <c r="A57" s="151" t="s">
        <v>605</v>
      </c>
      <c r="B57" s="152"/>
      <c r="C57" s="152" t="s">
        <v>434</v>
      </c>
      <c r="D57" s="152"/>
      <c r="E57" s="151" t="s">
        <v>1957</v>
      </c>
      <c r="F57" s="152" t="s">
        <v>7</v>
      </c>
    </row>
    <row r="58" ht="60" customHeight="1" spans="1:6">
      <c r="A58" s="151" t="s">
        <v>607</v>
      </c>
      <c r="B58" s="152"/>
      <c r="C58" s="152" t="s">
        <v>434</v>
      </c>
      <c r="D58" s="152"/>
      <c r="E58" s="151" t="s">
        <v>1958</v>
      </c>
      <c r="F58" s="152" t="s">
        <v>7</v>
      </c>
    </row>
    <row r="59" ht="60" customHeight="1" spans="1:6">
      <c r="A59" s="151" t="s">
        <v>609</v>
      </c>
      <c r="B59" s="152" t="s">
        <v>434</v>
      </c>
      <c r="C59" s="152"/>
      <c r="D59" s="152"/>
      <c r="E59" s="151" t="s">
        <v>1959</v>
      </c>
      <c r="F59" s="152" t="s">
        <v>7</v>
      </c>
    </row>
    <row r="60" spans="1:6">
      <c r="A60" s="153" t="s">
        <v>611</v>
      </c>
      <c r="B60" s="149"/>
      <c r="C60" s="149"/>
      <c r="D60" s="149"/>
      <c r="E60" s="149"/>
      <c r="F60" s="149"/>
    </row>
    <row r="61" ht="45" customHeight="1" spans="1:6">
      <c r="A61" s="151" t="s">
        <v>612</v>
      </c>
      <c r="B61" s="152" t="s">
        <v>434</v>
      </c>
      <c r="C61" s="152"/>
      <c r="D61" s="152"/>
      <c r="E61" s="151" t="s">
        <v>1960</v>
      </c>
      <c r="F61" s="152" t="s">
        <v>436</v>
      </c>
    </row>
    <row r="62" ht="45" customHeight="1" spans="1:6">
      <c r="A62" s="151" t="s">
        <v>614</v>
      </c>
      <c r="B62" s="152" t="s">
        <v>434</v>
      </c>
      <c r="C62" s="152"/>
      <c r="D62" s="152"/>
      <c r="E62" s="151" t="s">
        <v>1961</v>
      </c>
      <c r="F62" s="152" t="s">
        <v>436</v>
      </c>
    </row>
    <row r="63" ht="90" customHeight="1" spans="1:6">
      <c r="A63" s="151" t="s">
        <v>616</v>
      </c>
      <c r="B63" s="152" t="s">
        <v>434</v>
      </c>
      <c r="C63" s="152"/>
      <c r="D63" s="152"/>
      <c r="E63" s="151" t="s">
        <v>1962</v>
      </c>
      <c r="F63" s="152" t="s">
        <v>7</v>
      </c>
    </row>
    <row r="64" ht="45" customHeight="1" spans="1:6">
      <c r="A64" s="151" t="s">
        <v>978</v>
      </c>
      <c r="B64" s="152" t="s">
        <v>434</v>
      </c>
      <c r="C64" s="152"/>
      <c r="D64" s="152"/>
      <c r="E64" s="151" t="s">
        <v>1963</v>
      </c>
      <c r="F64" s="152" t="s">
        <v>436</v>
      </c>
    </row>
    <row r="65" ht="105" customHeight="1" spans="1:6">
      <c r="A65" s="151" t="s">
        <v>620</v>
      </c>
      <c r="B65" s="152"/>
      <c r="C65" s="152" t="s">
        <v>434</v>
      </c>
      <c r="D65" s="152"/>
      <c r="E65" s="151" t="s">
        <v>1964</v>
      </c>
      <c r="F65" s="152" t="s">
        <v>7</v>
      </c>
    </row>
    <row r="66" ht="60" customHeight="1" spans="1:6">
      <c r="A66" s="151" t="s">
        <v>622</v>
      </c>
      <c r="B66" s="152" t="s">
        <v>434</v>
      </c>
      <c r="C66" s="152"/>
      <c r="D66" s="152"/>
      <c r="E66" s="151" t="s">
        <v>1965</v>
      </c>
      <c r="F66" s="152" t="s">
        <v>7</v>
      </c>
    </row>
    <row r="67" ht="25.5" spans="1:6">
      <c r="A67" s="153" t="s">
        <v>624</v>
      </c>
      <c r="B67" s="149"/>
      <c r="C67" s="149"/>
      <c r="D67" s="149"/>
      <c r="E67" s="149"/>
      <c r="F67" s="149"/>
    </row>
    <row r="68" ht="60" customHeight="1" spans="1:6">
      <c r="A68" s="151" t="s">
        <v>625</v>
      </c>
      <c r="B68" s="152" t="s">
        <v>434</v>
      </c>
      <c r="C68" s="152"/>
      <c r="D68" s="152"/>
      <c r="E68" s="151" t="s">
        <v>1966</v>
      </c>
      <c r="F68" s="152" t="s">
        <v>436</v>
      </c>
    </row>
    <row r="69" ht="75" customHeight="1" spans="1:6">
      <c r="A69" s="151" t="s">
        <v>627</v>
      </c>
      <c r="B69" s="152" t="s">
        <v>434</v>
      </c>
      <c r="C69" s="152"/>
      <c r="D69" s="152"/>
      <c r="E69" s="151" t="s">
        <v>1967</v>
      </c>
      <c r="F69" s="152" t="s">
        <v>7</v>
      </c>
    </row>
    <row r="70" ht="30" customHeight="1" spans="1:6">
      <c r="A70" s="151" t="s">
        <v>629</v>
      </c>
      <c r="B70" s="152"/>
      <c r="C70" s="152" t="s">
        <v>434</v>
      </c>
      <c r="D70" s="152"/>
      <c r="E70" s="151" t="s">
        <v>1968</v>
      </c>
      <c r="F70" s="152" t="s">
        <v>7</v>
      </c>
    </row>
    <row r="71" ht="45" customHeight="1" spans="1:6">
      <c r="A71" s="151" t="s">
        <v>631</v>
      </c>
      <c r="B71" s="152"/>
      <c r="C71" s="152" t="s">
        <v>434</v>
      </c>
      <c r="D71" s="152"/>
      <c r="E71" s="151" t="s">
        <v>1969</v>
      </c>
      <c r="F71" s="152" t="s">
        <v>7</v>
      </c>
    </row>
    <row r="72" ht="45" customHeight="1" spans="1:6">
      <c r="A72" s="151" t="s">
        <v>633</v>
      </c>
      <c r="B72" s="152" t="s">
        <v>434</v>
      </c>
      <c r="C72" s="152"/>
      <c r="D72" s="152"/>
      <c r="E72" s="151" t="s">
        <v>1970</v>
      </c>
      <c r="F72" s="152" t="s">
        <v>7</v>
      </c>
    </row>
    <row r="73" ht="45" customHeight="1" spans="1:6">
      <c r="A73" s="151" t="s">
        <v>635</v>
      </c>
      <c r="B73" s="152" t="s">
        <v>434</v>
      </c>
      <c r="C73" s="152"/>
      <c r="D73" s="152"/>
      <c r="E73" s="151" t="s">
        <v>1971</v>
      </c>
      <c r="F73" s="152" t="s">
        <v>7</v>
      </c>
    </row>
    <row r="74" ht="60" customHeight="1" spans="1:6">
      <c r="A74" s="151" t="s">
        <v>637</v>
      </c>
      <c r="B74" s="152" t="s">
        <v>434</v>
      </c>
      <c r="C74" s="152"/>
      <c r="D74" s="152"/>
      <c r="E74" s="151" t="s">
        <v>1972</v>
      </c>
      <c r="F74" s="152" t="s">
        <v>436</v>
      </c>
    </row>
    <row r="75" ht="45" customHeight="1" spans="1:6">
      <c r="A75" s="151" t="s">
        <v>639</v>
      </c>
      <c r="B75" s="152"/>
      <c r="C75" s="152" t="s">
        <v>434</v>
      </c>
      <c r="D75" s="152"/>
      <c r="E75" s="151" t="s">
        <v>1973</v>
      </c>
      <c r="F75" s="152" t="s">
        <v>7</v>
      </c>
    </row>
    <row r="76" ht="75" customHeight="1" spans="1:6">
      <c r="A76" s="151" t="s">
        <v>641</v>
      </c>
      <c r="B76" s="152" t="s">
        <v>434</v>
      </c>
      <c r="C76" s="152"/>
      <c r="D76" s="152"/>
      <c r="E76" s="151" t="s">
        <v>1974</v>
      </c>
      <c r="F76" s="152" t="s">
        <v>436</v>
      </c>
    </row>
    <row r="77" customHeight="1" spans="1:6">
      <c r="A77" s="151" t="s">
        <v>643</v>
      </c>
      <c r="B77" s="152" t="s">
        <v>434</v>
      </c>
      <c r="C77" s="152"/>
      <c r="D77" s="152"/>
      <c r="E77" s="151" t="s">
        <v>991</v>
      </c>
      <c r="F77" s="152" t="s">
        <v>7</v>
      </c>
    </row>
    <row r="78" ht="60" customHeight="1" spans="1:6">
      <c r="A78" s="151" t="s">
        <v>645</v>
      </c>
      <c r="B78" s="152" t="s">
        <v>434</v>
      </c>
      <c r="C78" s="152"/>
      <c r="D78" s="152"/>
      <c r="E78" s="151" t="s">
        <v>1975</v>
      </c>
      <c r="F78" s="152" t="s">
        <v>436</v>
      </c>
    </row>
    <row r="79" customHeight="1" spans="1:6">
      <c r="A79" s="151" t="s">
        <v>647</v>
      </c>
      <c r="B79" s="152"/>
      <c r="C79" s="152"/>
      <c r="D79" s="152" t="s">
        <v>434</v>
      </c>
      <c r="E79" s="151" t="s">
        <v>993</v>
      </c>
      <c r="F79" s="152" t="s">
        <v>7</v>
      </c>
    </row>
    <row r="80" customHeight="1" spans="1:6">
      <c r="A80" s="151" t="s">
        <v>649</v>
      </c>
      <c r="B80" s="152" t="s">
        <v>434</v>
      </c>
      <c r="C80" s="152"/>
      <c r="D80" s="152"/>
      <c r="E80" s="151" t="s">
        <v>991</v>
      </c>
      <c r="F80" s="152" t="s">
        <v>7</v>
      </c>
    </row>
    <row r="81" ht="45" customHeight="1" spans="1:6">
      <c r="A81" s="151" t="s">
        <v>650</v>
      </c>
      <c r="B81" s="152" t="s">
        <v>434</v>
      </c>
      <c r="C81" s="152"/>
      <c r="D81" s="152"/>
      <c r="E81" s="151" t="s">
        <v>1976</v>
      </c>
      <c r="F81" s="152" t="s">
        <v>436</v>
      </c>
    </row>
    <row r="82" ht="90" customHeight="1" spans="1:6">
      <c r="A82" s="151" t="s">
        <v>652</v>
      </c>
      <c r="B82" s="152" t="s">
        <v>434</v>
      </c>
      <c r="C82" s="152"/>
      <c r="D82" s="152"/>
      <c r="E82" s="151" t="s">
        <v>1977</v>
      </c>
      <c r="F82" s="152" t="s">
        <v>436</v>
      </c>
    </row>
    <row r="83" ht="60" customHeight="1" spans="1:6">
      <c r="A83" s="151" t="s">
        <v>654</v>
      </c>
      <c r="B83" s="152" t="s">
        <v>434</v>
      </c>
      <c r="C83" s="152"/>
      <c r="D83" s="152"/>
      <c r="E83" s="151" t="s">
        <v>1978</v>
      </c>
      <c r="F83" s="152" t="s">
        <v>7</v>
      </c>
    </row>
    <row r="84" ht="30" customHeight="1" spans="1:6">
      <c r="A84" s="151" t="s">
        <v>656</v>
      </c>
      <c r="B84" s="152"/>
      <c r="C84" s="152" t="s">
        <v>434</v>
      </c>
      <c r="D84" s="152"/>
      <c r="E84" s="151" t="s">
        <v>1979</v>
      </c>
      <c r="F84" s="152" t="s">
        <v>7</v>
      </c>
    </row>
    <row r="85" ht="45" customHeight="1" spans="1:6">
      <c r="A85" s="151" t="s">
        <v>658</v>
      </c>
      <c r="B85" s="152" t="s">
        <v>434</v>
      </c>
      <c r="C85" s="152"/>
      <c r="D85" s="152"/>
      <c r="E85" s="151" t="s">
        <v>1980</v>
      </c>
      <c r="F85" s="152" t="s">
        <v>7</v>
      </c>
    </row>
    <row r="86" ht="60" customHeight="1" spans="1:6">
      <c r="A86" s="151" t="s">
        <v>660</v>
      </c>
      <c r="B86" s="152" t="s">
        <v>434</v>
      </c>
      <c r="C86" s="152"/>
      <c r="D86" s="152"/>
      <c r="E86" s="151" t="s">
        <v>1981</v>
      </c>
      <c r="F86" s="152" t="s">
        <v>436</v>
      </c>
    </row>
    <row r="87" ht="75" customHeight="1" spans="1:6">
      <c r="A87" s="151" t="s">
        <v>662</v>
      </c>
      <c r="B87" s="152" t="s">
        <v>434</v>
      </c>
      <c r="C87" s="152"/>
      <c r="D87" s="152"/>
      <c r="E87" s="151" t="s">
        <v>1982</v>
      </c>
      <c r="F87" s="152" t="s">
        <v>7</v>
      </c>
    </row>
    <row r="88" ht="30" customHeight="1" spans="1:6">
      <c r="A88" s="151" t="s">
        <v>660</v>
      </c>
      <c r="B88" s="152"/>
      <c r="C88" s="152" t="s">
        <v>434</v>
      </c>
      <c r="D88" s="152"/>
      <c r="E88" s="151" t="s">
        <v>1983</v>
      </c>
      <c r="F88" s="152" t="s">
        <v>436</v>
      </c>
    </row>
    <row r="89" ht="30" customHeight="1" spans="1:6">
      <c r="A89" s="151" t="s">
        <v>665</v>
      </c>
      <c r="B89" s="152"/>
      <c r="C89" s="152" t="s">
        <v>434</v>
      </c>
      <c r="D89" s="152"/>
      <c r="E89" s="151" t="s">
        <v>1984</v>
      </c>
      <c r="F89" s="152" t="s">
        <v>7</v>
      </c>
    </row>
    <row r="90" customHeight="1" spans="1:6">
      <c r="A90" s="151" t="s">
        <v>660</v>
      </c>
      <c r="B90" s="152"/>
      <c r="C90" s="152"/>
      <c r="D90" s="152" t="s">
        <v>434</v>
      </c>
      <c r="E90" s="151" t="s">
        <v>1985</v>
      </c>
      <c r="F90" s="152" t="s">
        <v>436</v>
      </c>
    </row>
    <row r="91" spans="1:6">
      <c r="A91" s="149" t="s">
        <v>519</v>
      </c>
      <c r="B91" s="150">
        <f>COUNTIF(B14:B90,"x")</f>
        <v>35</v>
      </c>
      <c r="C91" s="150">
        <f>COUNTIF(C14:C90,"x")</f>
        <v>29</v>
      </c>
      <c r="D91" s="150">
        <f>COUNTIF(D14:D90,"x")</f>
        <v>7</v>
      </c>
    </row>
    <row r="93" spans="1:6">
      <c r="A93" s="149" t="s">
        <v>1004</v>
      </c>
      <c r="B93" s="154"/>
      <c r="C93" s="154"/>
      <c r="D93" s="154"/>
      <c r="E93" s="154"/>
      <c r="F93" s="155"/>
    </row>
    <row r="94" ht="75" customHeight="1" spans="1:6">
      <c r="A94" s="151" t="s">
        <v>1986</v>
      </c>
      <c r="B94" s="156"/>
      <c r="C94" s="156"/>
      <c r="D94" s="156"/>
      <c r="E94" s="156"/>
      <c r="F94" s="157"/>
    </row>
    <row r="95" spans="1:6">
      <c r="A95" s="149" t="s">
        <v>522</v>
      </c>
      <c r="B95" s="154"/>
      <c r="C95" s="154"/>
      <c r="D95" s="154"/>
      <c r="E95" s="154"/>
      <c r="F95" s="155"/>
    </row>
    <row r="96" ht="120" customHeight="1" spans="1:6">
      <c r="A96" s="151" t="s">
        <v>1987</v>
      </c>
      <c r="B96" s="156"/>
      <c r="C96" s="156"/>
      <c r="D96" s="156"/>
      <c r="E96" s="156"/>
      <c r="F96" s="157"/>
    </row>
    <row r="97" spans="1:6">
      <c r="A97" s="158" t="s">
        <v>524</v>
      </c>
      <c r="B97" s="156"/>
      <c r="C97" s="156"/>
      <c r="D97" s="156"/>
      <c r="E97" s="156"/>
      <c r="F97" s="157"/>
    </row>
    <row r="98" spans="1:6">
      <c r="A98" s="158" t="s">
        <v>525</v>
      </c>
      <c r="B98" s="156"/>
      <c r="C98" s="156"/>
      <c r="D98" s="156"/>
      <c r="E98" s="156"/>
      <c r="F98" s="157"/>
    </row>
    <row r="99" spans="1:6">
      <c r="A99" s="158" t="s">
        <v>526</v>
      </c>
      <c r="B99" s="156"/>
      <c r="C99" s="156"/>
      <c r="D99" s="156"/>
      <c r="E99" s="156"/>
      <c r="F99" s="157"/>
    </row>
  </sheetData>
  <mergeCells count="17">
    <mergeCell ref="A1:F1"/>
    <mergeCell ref="B3:F3"/>
    <mergeCell ref="B4:F4"/>
    <mergeCell ref="B5:F5"/>
    <mergeCell ref="B6:F6"/>
    <mergeCell ref="B7:F7"/>
    <mergeCell ref="B8:F8"/>
    <mergeCell ref="B9:F9"/>
    <mergeCell ref="B10:F10"/>
    <mergeCell ref="B11:F11"/>
    <mergeCell ref="A93:F93"/>
    <mergeCell ref="A94:F94"/>
    <mergeCell ref="A95:F95"/>
    <mergeCell ref="A96:F96"/>
    <mergeCell ref="A97:F97"/>
    <mergeCell ref="A98:F98"/>
    <mergeCell ref="A99:F99"/>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9"/>
  <sheetViews>
    <sheetView workbookViewId="0">
      <pane xSplit="1" ySplit="12" topLeftCell="B13" activePane="bottomRight" state="frozen"/>
      <selection/>
      <selection pane="topRight"/>
      <selection pane="bottomLeft"/>
      <selection pane="bottomRight" activeCell="A1" sqref="A1:F1"/>
    </sheetView>
  </sheetViews>
  <sheetFormatPr defaultColWidth="9" defaultRowHeight="15" outlineLevelCol="5"/>
  <cols>
    <col min="1" max="1" width="64.2857142857143" customWidth="1"/>
    <col min="2" max="2" width="7.42857142857143" customWidth="1"/>
    <col min="3" max="3" width="6.71428571428571" customWidth="1"/>
    <col min="4" max="4" width="4" customWidth="1"/>
    <col min="5" max="5" width="53.8571428571429" customWidth="1"/>
    <col min="6" max="6" width="9.14285714285714" customWidth="1"/>
  </cols>
  <sheetData>
    <row r="1" ht="24" customHeight="1" spans="1:6">
      <c r="A1" s="128" t="s">
        <v>1007</v>
      </c>
      <c r="B1" s="129"/>
      <c r="C1" s="129"/>
      <c r="D1" s="129"/>
      <c r="E1" s="129"/>
      <c r="F1" s="130"/>
    </row>
    <row r="3" customHeight="1" spans="1:6">
      <c r="A3" s="131" t="s">
        <v>1008</v>
      </c>
      <c r="B3" s="132" t="s">
        <v>227</v>
      </c>
      <c r="C3" s="133"/>
      <c r="D3" s="133"/>
      <c r="E3" s="133"/>
      <c r="F3" s="134"/>
    </row>
    <row r="4" ht="45" customHeight="1" spans="1:6">
      <c r="A4" s="131" t="s">
        <v>1009</v>
      </c>
      <c r="B4" s="135" t="s">
        <v>1988</v>
      </c>
      <c r="C4" s="133"/>
      <c r="D4" s="133"/>
      <c r="E4" s="133"/>
      <c r="F4" s="134"/>
    </row>
    <row r="5" customHeight="1" spans="1:6">
      <c r="A5" s="131" t="s">
        <v>1011</v>
      </c>
      <c r="B5" s="132" t="s">
        <v>231</v>
      </c>
      <c r="C5" s="133"/>
      <c r="D5" s="133"/>
      <c r="E5" s="133"/>
      <c r="F5" s="134"/>
    </row>
    <row r="6" customHeight="1" spans="1:6">
      <c r="A6" s="131" t="s">
        <v>1012</v>
      </c>
      <c r="B6" s="132" t="s">
        <v>60</v>
      </c>
      <c r="C6" s="133"/>
      <c r="D6" s="133"/>
      <c r="E6" s="133"/>
      <c r="F6" s="134"/>
    </row>
    <row r="7" customHeight="1" spans="1:6">
      <c r="A7" s="131" t="s">
        <v>1013</v>
      </c>
      <c r="B7" s="132" t="s">
        <v>7</v>
      </c>
      <c r="C7" s="133"/>
      <c r="D7" s="133"/>
      <c r="E7" s="133"/>
      <c r="F7" s="134"/>
    </row>
    <row r="8" customHeight="1" spans="1:6">
      <c r="A8" s="131" t="s">
        <v>1014</v>
      </c>
      <c r="B8" s="132" t="s">
        <v>233</v>
      </c>
      <c r="C8" s="133"/>
      <c r="D8" s="133"/>
      <c r="E8" s="133"/>
      <c r="F8" s="134"/>
    </row>
    <row r="9" ht="120" customHeight="1" spans="1:6">
      <c r="A9" s="131" t="s">
        <v>1015</v>
      </c>
      <c r="B9" s="135" t="s">
        <v>1989</v>
      </c>
      <c r="C9" s="133"/>
      <c r="D9" s="133"/>
      <c r="E9" s="133"/>
      <c r="F9" s="134"/>
    </row>
    <row r="10" customHeight="1" spans="1:6">
      <c r="A10" s="131" t="s">
        <v>1017</v>
      </c>
      <c r="B10" s="132" t="s">
        <v>103</v>
      </c>
      <c r="C10" s="133"/>
      <c r="D10" s="133"/>
      <c r="E10" s="133"/>
      <c r="F10" s="134"/>
    </row>
    <row r="12" spans="1:6">
      <c r="A12" s="136" t="s">
        <v>426</v>
      </c>
      <c r="B12" s="137" t="s">
        <v>427</v>
      </c>
      <c r="C12" s="137" t="s">
        <v>428</v>
      </c>
      <c r="D12" s="137" t="s">
        <v>429</v>
      </c>
      <c r="E12" s="137" t="s">
        <v>430</v>
      </c>
    </row>
    <row r="13" spans="1:6">
      <c r="A13" s="136" t="s">
        <v>1018</v>
      </c>
      <c r="B13" s="136"/>
      <c r="C13" s="136"/>
      <c r="D13" s="136"/>
      <c r="E13" s="136"/>
    </row>
    <row r="14" ht="75" customHeight="1" spans="1:6">
      <c r="A14" s="138" t="s">
        <v>1019</v>
      </c>
      <c r="B14" s="139" t="s">
        <v>434</v>
      </c>
      <c r="C14" s="139"/>
      <c r="D14" s="139"/>
      <c r="E14" s="138" t="s">
        <v>1990</v>
      </c>
    </row>
    <row r="15" spans="1:6">
      <c r="A15" s="136" t="s">
        <v>1021</v>
      </c>
      <c r="B15" s="136"/>
      <c r="C15" s="136"/>
      <c r="D15" s="136"/>
      <c r="E15" s="136"/>
    </row>
    <row r="16" ht="90" customHeight="1" spans="1:6">
      <c r="A16" s="138" t="s">
        <v>1022</v>
      </c>
      <c r="B16" s="139" t="s">
        <v>434</v>
      </c>
      <c r="C16" s="139"/>
      <c r="D16" s="139"/>
      <c r="E16" s="138" t="s">
        <v>1991</v>
      </c>
    </row>
    <row r="17" ht="45" customHeight="1" spans="1:5">
      <c r="A17" s="138" t="s">
        <v>1024</v>
      </c>
      <c r="B17" s="139" t="s">
        <v>434</v>
      </c>
      <c r="C17" s="139"/>
      <c r="D17" s="139"/>
      <c r="E17" s="138" t="s">
        <v>1992</v>
      </c>
    </row>
    <row r="18" customHeight="1" spans="1:5">
      <c r="A18" s="138" t="s">
        <v>1026</v>
      </c>
      <c r="B18" s="139" t="s">
        <v>434</v>
      </c>
      <c r="C18" s="139"/>
      <c r="D18" s="139"/>
      <c r="E18" s="138" t="s">
        <v>1993</v>
      </c>
    </row>
    <row r="19" ht="30" customHeight="1" spans="1:5">
      <c r="A19" s="138" t="s">
        <v>1028</v>
      </c>
      <c r="B19" s="139" t="s">
        <v>434</v>
      </c>
      <c r="C19" s="139"/>
      <c r="D19" s="139"/>
      <c r="E19" s="138" t="s">
        <v>1994</v>
      </c>
    </row>
    <row r="20" ht="30" customHeight="1" spans="1:5">
      <c r="A20" s="138" t="s">
        <v>1030</v>
      </c>
      <c r="B20" s="139"/>
      <c r="C20" s="139" t="s">
        <v>434</v>
      </c>
      <c r="D20" s="139"/>
      <c r="E20" s="138" t="s">
        <v>1995</v>
      </c>
    </row>
    <row r="21" ht="75" customHeight="1" spans="1:5">
      <c r="A21" s="138" t="s">
        <v>1032</v>
      </c>
      <c r="B21" s="139"/>
      <c r="C21" s="139" t="s">
        <v>434</v>
      </c>
      <c r="D21" s="139"/>
      <c r="E21" s="138" t="s">
        <v>1996</v>
      </c>
    </row>
    <row r="22" ht="75" customHeight="1" spans="1:5">
      <c r="A22" s="138" t="s">
        <v>1034</v>
      </c>
      <c r="B22" s="139"/>
      <c r="C22" s="139" t="s">
        <v>434</v>
      </c>
      <c r="D22" s="139"/>
      <c r="E22" s="138" t="s">
        <v>1997</v>
      </c>
    </row>
    <row r="23" ht="60" customHeight="1" spans="1:5">
      <c r="A23" s="138" t="s">
        <v>1036</v>
      </c>
      <c r="B23" s="139"/>
      <c r="C23" s="139" t="s">
        <v>434</v>
      </c>
      <c r="D23" s="139"/>
      <c r="E23" s="138" t="s">
        <v>1998</v>
      </c>
    </row>
    <row r="24" ht="75" customHeight="1" spans="1:5">
      <c r="A24" s="138" t="s">
        <v>1038</v>
      </c>
      <c r="B24" s="139" t="s">
        <v>434</v>
      </c>
      <c r="C24" s="139"/>
      <c r="D24" s="139"/>
      <c r="E24" s="138" t="s">
        <v>1999</v>
      </c>
    </row>
    <row r="25" ht="30" customHeight="1" spans="1:5">
      <c r="A25" s="138" t="s">
        <v>1040</v>
      </c>
      <c r="B25" s="139"/>
      <c r="C25" s="139"/>
      <c r="D25" s="139" t="s">
        <v>434</v>
      </c>
      <c r="E25" s="138" t="s">
        <v>2000</v>
      </c>
    </row>
    <row r="26" ht="90" customHeight="1" spans="1:5">
      <c r="A26" s="138" t="s">
        <v>1042</v>
      </c>
      <c r="B26" s="139"/>
      <c r="C26" s="139" t="s">
        <v>434</v>
      </c>
      <c r="D26" s="139"/>
      <c r="E26" s="138" t="s">
        <v>2001</v>
      </c>
    </row>
    <row r="27" ht="60" customHeight="1" spans="1:5">
      <c r="A27" s="138" t="s">
        <v>1044</v>
      </c>
      <c r="B27" s="139" t="s">
        <v>434</v>
      </c>
      <c r="C27" s="139"/>
      <c r="D27" s="139"/>
      <c r="E27" s="138" t="s">
        <v>2002</v>
      </c>
    </row>
    <row r="28" ht="60" customHeight="1" spans="1:5">
      <c r="A28" s="138" t="s">
        <v>1046</v>
      </c>
      <c r="B28" s="139" t="s">
        <v>434</v>
      </c>
      <c r="C28" s="139"/>
      <c r="D28" s="139"/>
      <c r="E28" s="138" t="s">
        <v>2003</v>
      </c>
    </row>
    <row r="29" ht="60" customHeight="1" spans="1:5">
      <c r="A29" s="138" t="s">
        <v>1048</v>
      </c>
      <c r="B29" s="139" t="s">
        <v>434</v>
      </c>
      <c r="C29" s="139"/>
      <c r="D29" s="139"/>
      <c r="E29" s="138" t="s">
        <v>2004</v>
      </c>
    </row>
    <row r="30" spans="1:5">
      <c r="A30" s="136" t="s">
        <v>1050</v>
      </c>
      <c r="B30" s="136"/>
      <c r="C30" s="136"/>
      <c r="D30" s="136"/>
      <c r="E30" s="136"/>
    </row>
    <row r="31" ht="90" customHeight="1" spans="1:5">
      <c r="A31" s="138" t="s">
        <v>1051</v>
      </c>
      <c r="B31" s="139"/>
      <c r="C31" s="139" t="s">
        <v>434</v>
      </c>
      <c r="D31" s="139"/>
      <c r="E31" s="138" t="s">
        <v>2005</v>
      </c>
    </row>
    <row r="32" ht="45" customHeight="1" spans="1:5">
      <c r="A32" s="138" t="s">
        <v>1053</v>
      </c>
      <c r="B32" s="139" t="s">
        <v>434</v>
      </c>
      <c r="C32" s="139"/>
      <c r="D32" s="139"/>
      <c r="E32" s="138" t="s">
        <v>2006</v>
      </c>
    </row>
    <row r="33" ht="75" customHeight="1" spans="1:5">
      <c r="A33" s="138" t="s">
        <v>1055</v>
      </c>
      <c r="B33" s="139"/>
      <c r="C33" s="139" t="s">
        <v>434</v>
      </c>
      <c r="D33" s="139"/>
      <c r="E33" s="138" t="s">
        <v>2007</v>
      </c>
    </row>
    <row r="34" spans="1:5">
      <c r="A34" s="136" t="s">
        <v>1057</v>
      </c>
      <c r="B34" s="136"/>
      <c r="C34" s="136"/>
      <c r="D34" s="136"/>
      <c r="E34" s="136"/>
    </row>
    <row r="35" ht="60" customHeight="1" spans="1:5">
      <c r="A35" s="138" t="s">
        <v>1058</v>
      </c>
      <c r="B35" s="139"/>
      <c r="C35" s="139" t="s">
        <v>434</v>
      </c>
      <c r="D35" s="139"/>
      <c r="E35" s="138" t="s">
        <v>2008</v>
      </c>
    </row>
    <row r="36" ht="60" customHeight="1" spans="1:5">
      <c r="A36" s="138" t="s">
        <v>1060</v>
      </c>
      <c r="B36" s="139" t="s">
        <v>434</v>
      </c>
      <c r="C36" s="139"/>
      <c r="D36" s="139"/>
      <c r="E36" s="138" t="s">
        <v>2009</v>
      </c>
    </row>
    <row r="37" customHeight="1" spans="1:5">
      <c r="A37" s="138" t="s">
        <v>1062</v>
      </c>
      <c r="B37" s="139"/>
      <c r="C37" s="139" t="s">
        <v>434</v>
      </c>
      <c r="D37" s="139"/>
      <c r="E37" s="138" t="s">
        <v>2010</v>
      </c>
    </row>
    <row r="38" spans="1:5">
      <c r="A38" s="136" t="s">
        <v>1064</v>
      </c>
      <c r="B38" s="136"/>
      <c r="C38" s="136"/>
      <c r="D38" s="136"/>
      <c r="E38" s="136"/>
    </row>
    <row r="39" ht="135" customHeight="1" spans="1:5">
      <c r="A39" s="138" t="s">
        <v>1065</v>
      </c>
      <c r="B39" s="139"/>
      <c r="C39" s="139" t="s">
        <v>434</v>
      </c>
      <c r="D39" s="139"/>
      <c r="E39" s="138" t="s">
        <v>2011</v>
      </c>
    </row>
    <row r="40" ht="60" customHeight="1" spans="1:5">
      <c r="A40" s="138" t="s">
        <v>1067</v>
      </c>
      <c r="B40" s="139" t="s">
        <v>434</v>
      </c>
      <c r="C40" s="139"/>
      <c r="D40" s="139"/>
      <c r="E40" s="138" t="s">
        <v>2012</v>
      </c>
    </row>
    <row r="41" ht="30" customHeight="1" spans="1:5">
      <c r="A41" s="138" t="s">
        <v>1069</v>
      </c>
      <c r="B41" s="139" t="s">
        <v>434</v>
      </c>
      <c r="C41" s="139"/>
      <c r="D41" s="139"/>
      <c r="E41" s="138" t="s">
        <v>2013</v>
      </c>
    </row>
    <row r="42" ht="30" customHeight="1" spans="1:5">
      <c r="A42" s="138" t="s">
        <v>1071</v>
      </c>
      <c r="B42" s="139"/>
      <c r="C42" s="139" t="s">
        <v>434</v>
      </c>
      <c r="D42" s="139"/>
      <c r="E42" s="138" t="s">
        <v>2014</v>
      </c>
    </row>
    <row r="43" spans="1:5">
      <c r="A43" s="136" t="s">
        <v>1073</v>
      </c>
      <c r="B43" s="136"/>
      <c r="C43" s="136"/>
      <c r="D43" s="136"/>
      <c r="E43" s="136"/>
    </row>
    <row r="44" ht="75" customHeight="1" spans="1:5">
      <c r="A44" s="138" t="s">
        <v>1074</v>
      </c>
      <c r="B44" s="139" t="s">
        <v>434</v>
      </c>
      <c r="C44" s="139"/>
      <c r="D44" s="139"/>
      <c r="E44" s="138" t="s">
        <v>2015</v>
      </c>
    </row>
    <row r="45" ht="45" customHeight="1" spans="1:5">
      <c r="A45" s="138" t="s">
        <v>1076</v>
      </c>
      <c r="B45" s="139"/>
      <c r="C45" s="139" t="s">
        <v>434</v>
      </c>
      <c r="D45" s="139"/>
      <c r="E45" s="138" t="s">
        <v>2016</v>
      </c>
    </row>
    <row r="46" ht="75" customHeight="1" spans="1:5">
      <c r="A46" s="138" t="s">
        <v>1078</v>
      </c>
      <c r="B46" s="139"/>
      <c r="C46" s="139" t="s">
        <v>434</v>
      </c>
      <c r="D46" s="139"/>
      <c r="E46" s="138" t="s">
        <v>2017</v>
      </c>
    </row>
    <row r="47" spans="1:5">
      <c r="A47" s="136" t="s">
        <v>1080</v>
      </c>
      <c r="B47" s="136"/>
      <c r="C47" s="136"/>
      <c r="D47" s="136"/>
      <c r="E47" s="136"/>
    </row>
    <row r="48" ht="75" customHeight="1" spans="1:5">
      <c r="A48" s="138" t="s">
        <v>1081</v>
      </c>
      <c r="B48" s="139" t="s">
        <v>434</v>
      </c>
      <c r="C48" s="139"/>
      <c r="D48" s="139"/>
      <c r="E48" s="138" t="s">
        <v>2018</v>
      </c>
    </row>
    <row r="49" ht="105" customHeight="1" spans="1:6">
      <c r="A49" s="138" t="s">
        <v>1083</v>
      </c>
      <c r="B49" s="139" t="s">
        <v>434</v>
      </c>
      <c r="C49" s="139"/>
      <c r="D49" s="139"/>
      <c r="E49" s="138" t="s">
        <v>2019</v>
      </c>
    </row>
    <row r="50" ht="105" customHeight="1" spans="1:6">
      <c r="A50" s="138" t="s">
        <v>1085</v>
      </c>
      <c r="B50" s="139"/>
      <c r="C50" s="139" t="s">
        <v>434</v>
      </c>
      <c r="D50" s="139"/>
      <c r="E50" s="138" t="s">
        <v>2020</v>
      </c>
    </row>
    <row r="51" spans="1:6">
      <c r="A51" s="136" t="s">
        <v>1087</v>
      </c>
      <c r="B51" s="136"/>
      <c r="C51" s="136"/>
      <c r="D51" s="136"/>
      <c r="E51" s="136"/>
    </row>
    <row r="52" ht="90" customHeight="1" spans="1:6">
      <c r="A52" s="138" t="s">
        <v>1088</v>
      </c>
      <c r="B52" s="139"/>
      <c r="C52" s="139" t="s">
        <v>434</v>
      </c>
      <c r="D52" s="139"/>
      <c r="E52" s="138" t="s">
        <v>2021</v>
      </c>
    </row>
    <row r="53" ht="60" customHeight="1" spans="1:6">
      <c r="A53" s="138" t="s">
        <v>1090</v>
      </c>
      <c r="B53" s="139" t="s">
        <v>434</v>
      </c>
      <c r="C53" s="139"/>
      <c r="D53" s="139"/>
      <c r="E53" s="138" t="s">
        <v>2022</v>
      </c>
    </row>
    <row r="54" ht="45" customHeight="1" spans="1:6">
      <c r="A54" s="138" t="s">
        <v>1092</v>
      </c>
      <c r="B54" s="139" t="s">
        <v>434</v>
      </c>
      <c r="C54" s="139"/>
      <c r="D54" s="139"/>
      <c r="E54" s="138" t="s">
        <v>2023</v>
      </c>
    </row>
    <row r="55" ht="75" customHeight="1" spans="1:6">
      <c r="A55" s="138" t="s">
        <v>1094</v>
      </c>
      <c r="B55" s="139" t="s">
        <v>434</v>
      </c>
      <c r="C55" s="139"/>
      <c r="D55" s="139"/>
      <c r="E55" s="138" t="s">
        <v>2024</v>
      </c>
    </row>
    <row r="56" ht="105" customHeight="1" spans="1:6">
      <c r="A56" s="138" t="s">
        <v>2025</v>
      </c>
      <c r="B56" s="139"/>
      <c r="C56" s="139" t="s">
        <v>434</v>
      </c>
      <c r="D56" s="139"/>
      <c r="E56" s="138" t="s">
        <v>2026</v>
      </c>
    </row>
    <row r="57" ht="75" customHeight="1" spans="1:6">
      <c r="A57" s="138" t="s">
        <v>2027</v>
      </c>
      <c r="B57" s="139"/>
      <c r="C57" s="139" t="s">
        <v>434</v>
      </c>
      <c r="D57" s="139"/>
      <c r="E57" s="138" t="s">
        <v>2028</v>
      </c>
    </row>
    <row r="58" ht="60" customHeight="1" spans="1:6">
      <c r="A58" s="138" t="s">
        <v>2029</v>
      </c>
      <c r="B58" s="139"/>
      <c r="C58" s="139" t="s">
        <v>434</v>
      </c>
      <c r="D58" s="139"/>
      <c r="E58" s="138" t="s">
        <v>2030</v>
      </c>
    </row>
    <row r="59" ht="75" customHeight="1" spans="1:6">
      <c r="A59" s="138" t="s">
        <v>2031</v>
      </c>
      <c r="B59" s="139"/>
      <c r="C59" s="139" t="s">
        <v>434</v>
      </c>
      <c r="D59" s="139"/>
      <c r="E59" s="138" t="s">
        <v>2032</v>
      </c>
    </row>
    <row r="60" ht="75" customHeight="1" spans="1:6">
      <c r="A60" s="138" t="s">
        <v>2033</v>
      </c>
      <c r="B60" s="139"/>
      <c r="C60" s="139" t="s">
        <v>434</v>
      </c>
      <c r="D60" s="139"/>
      <c r="E60" s="138" t="s">
        <v>2034</v>
      </c>
    </row>
    <row r="61" spans="1:6">
      <c r="A61" s="136" t="s">
        <v>519</v>
      </c>
      <c r="B61" s="137">
        <f>COUNTIF(B13:B60,"x")</f>
        <v>19</v>
      </c>
      <c r="C61" s="137">
        <f>COUNTIF(C13:C60,"x")</f>
        <v>20</v>
      </c>
      <c r="D61" s="137">
        <f>COUNTIF(D13:D60,"x")</f>
        <v>1</v>
      </c>
    </row>
    <row r="63" spans="1:6">
      <c r="A63" s="136" t="s">
        <v>1004</v>
      </c>
      <c r="B63" s="140"/>
      <c r="C63" s="140"/>
      <c r="D63" s="140"/>
      <c r="E63" s="140"/>
      <c r="F63" s="141"/>
    </row>
    <row r="64" ht="105" customHeight="1" spans="1:6">
      <c r="A64" s="138" t="s">
        <v>2035</v>
      </c>
      <c r="B64" s="140"/>
      <c r="C64" s="140"/>
      <c r="D64" s="140"/>
      <c r="E64" s="140"/>
      <c r="F64" s="142"/>
    </row>
    <row r="65" spans="1:6">
      <c r="A65" s="136" t="s">
        <v>522</v>
      </c>
      <c r="B65" s="140"/>
      <c r="C65" s="140"/>
      <c r="D65" s="140"/>
      <c r="E65" s="140"/>
      <c r="F65" s="141"/>
    </row>
    <row r="66" ht="135" customHeight="1" spans="1:6">
      <c r="A66" s="138" t="s">
        <v>2036</v>
      </c>
      <c r="B66" s="140"/>
      <c r="C66" s="140"/>
      <c r="D66" s="140"/>
      <c r="E66" s="140"/>
      <c r="F66" s="142"/>
    </row>
    <row r="67" spans="1:6">
      <c r="A67" s="143" t="s">
        <v>524</v>
      </c>
      <c r="B67" s="140"/>
      <c r="C67" s="140"/>
      <c r="D67" s="140"/>
      <c r="E67" s="140"/>
      <c r="F67" s="142"/>
    </row>
    <row r="68" spans="1:6">
      <c r="A68" s="143" t="s">
        <v>525</v>
      </c>
      <c r="B68" s="140"/>
      <c r="C68" s="140"/>
      <c r="D68" s="140"/>
      <c r="E68" s="140"/>
      <c r="F68" s="142"/>
    </row>
    <row r="69" spans="1:6">
      <c r="A69" s="143" t="s">
        <v>526</v>
      </c>
      <c r="B69" s="140"/>
      <c r="C69" s="140"/>
      <c r="D69" s="140"/>
      <c r="E69" s="140"/>
      <c r="F69" s="142"/>
    </row>
  </sheetData>
  <mergeCells count="16">
    <mergeCell ref="A1:F1"/>
    <mergeCell ref="B3:F3"/>
    <mergeCell ref="B4:F4"/>
    <mergeCell ref="B5:F5"/>
    <mergeCell ref="B6:F6"/>
    <mergeCell ref="B7:F7"/>
    <mergeCell ref="B8:F8"/>
    <mergeCell ref="B9:F9"/>
    <mergeCell ref="B10:F10"/>
    <mergeCell ref="A63:F63"/>
    <mergeCell ref="A64:F64"/>
    <mergeCell ref="A65:F65"/>
    <mergeCell ref="A66:F66"/>
    <mergeCell ref="A67:F67"/>
    <mergeCell ref="A68:F68"/>
    <mergeCell ref="A69:F69"/>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8"/>
  <sheetViews>
    <sheetView workbookViewId="0">
      <selection activeCell="A1" sqref="A1:C1"/>
    </sheetView>
  </sheetViews>
  <sheetFormatPr defaultColWidth="9" defaultRowHeight="15"/>
  <cols>
    <col min="1" max="1" width="18" customWidth="1"/>
    <col min="2" max="2" width="34" customWidth="1"/>
    <col min="3" max="3" width="13" customWidth="1"/>
    <col min="4" max="4" width="26" customWidth="1"/>
    <col min="5" max="6" width="40" customWidth="1"/>
    <col min="7" max="7" width="10" customWidth="1"/>
    <col min="8" max="8" width="9" customWidth="1"/>
    <col min="9" max="9" width="36" customWidth="1"/>
  </cols>
  <sheetData>
    <row r="1" spans="1:14">
      <c r="A1" s="107" t="s">
        <v>1108</v>
      </c>
      <c r="B1" s="16"/>
      <c r="C1" s="17"/>
    </row>
    <row r="2" ht="15.75" spans="1:14">
      <c r="A2" s="108" t="s">
        <v>1109</v>
      </c>
      <c r="B2" s="108" t="s">
        <v>13</v>
      </c>
      <c r="C2" s="108" t="s">
        <v>1110</v>
      </c>
    </row>
    <row r="3" ht="15.75" spans="1:14">
      <c r="A3" s="109" t="s">
        <v>2037</v>
      </c>
      <c r="B3" s="16"/>
      <c r="C3" s="17"/>
    </row>
    <row r="4" ht="105" customHeight="1" spans="1:14">
      <c r="A4" s="110" t="s">
        <v>1112</v>
      </c>
      <c r="B4" s="110" t="s">
        <v>2038</v>
      </c>
      <c r="C4" s="111" t="s">
        <v>2039</v>
      </c>
    </row>
    <row r="5" ht="135" customHeight="1" spans="1:14">
      <c r="A5" s="110" t="s">
        <v>1115</v>
      </c>
      <c r="B5" s="110" t="s">
        <v>2040</v>
      </c>
      <c r="C5" s="111" t="s">
        <v>2041</v>
      </c>
    </row>
    <row r="6" ht="105" customHeight="1" spans="1:14">
      <c r="A6" s="110" t="s">
        <v>1118</v>
      </c>
      <c r="B6" s="110" t="s">
        <v>2042</v>
      </c>
      <c r="C6" s="111" t="s">
        <v>2043</v>
      </c>
    </row>
    <row r="7" ht="105" customHeight="1" spans="1:14">
      <c r="A7" s="110" t="s">
        <v>1121</v>
      </c>
      <c r="B7" s="110" t="s">
        <v>2044</v>
      </c>
      <c r="C7" s="111" t="s">
        <v>2045</v>
      </c>
    </row>
    <row r="10" ht="15.75" spans="1:14">
      <c r="A10" s="112" t="s">
        <v>1124</v>
      </c>
      <c r="B10" s="16"/>
      <c r="C10" s="16"/>
      <c r="D10" s="16"/>
      <c r="E10" s="16"/>
      <c r="F10" s="16"/>
      <c r="G10" s="16"/>
      <c r="H10" s="16"/>
      <c r="I10" s="16"/>
      <c r="J10" s="16"/>
      <c r="K10" s="16"/>
      <c r="L10" s="16"/>
      <c r="M10" s="16"/>
      <c r="N10" s="17"/>
    </row>
    <row r="11" ht="45" customHeight="1" spans="1:14">
      <c r="A11" s="113" t="s">
        <v>1125</v>
      </c>
      <c r="B11" s="113" t="s">
        <v>1126</v>
      </c>
      <c r="C11" s="113" t="s">
        <v>1127</v>
      </c>
      <c r="D11" s="113" t="s">
        <v>1128</v>
      </c>
      <c r="E11" s="113" t="s">
        <v>1129</v>
      </c>
      <c r="F11" s="113" t="s">
        <v>1130</v>
      </c>
      <c r="G11" s="113" t="s">
        <v>1131</v>
      </c>
      <c r="H11" s="113" t="s">
        <v>1132</v>
      </c>
      <c r="I11" s="113" t="s">
        <v>1133</v>
      </c>
      <c r="J11" s="113" t="s">
        <v>1134</v>
      </c>
      <c r="K11" s="113" t="s">
        <v>1135</v>
      </c>
      <c r="L11" s="113" t="s">
        <v>1136</v>
      </c>
      <c r="M11" s="113" t="s">
        <v>1137</v>
      </c>
      <c r="N11" s="113" t="s">
        <v>1138</v>
      </c>
    </row>
    <row r="12" customHeight="1" spans="1:14">
      <c r="A12" s="114" t="s">
        <v>1112</v>
      </c>
      <c r="B12" s="114" t="s">
        <v>2038</v>
      </c>
      <c r="C12" s="115">
        <f>COUNTIF($A$60:$A$88,"UI_PH2_FR01_*")</f>
        <v>7</v>
      </c>
      <c r="D12" s="115">
        <f>COUNTIFS($A$60:$A$88,"UI_PH2_FR01_*",$G$60:$G$88,"Pending")</f>
        <v>0</v>
      </c>
      <c r="E12" s="115">
        <f>COUNTIFS($A$60:$A$88,"UI_PH2_FR01_*",$G$60:$G$88,"Pass")</f>
        <v>5</v>
      </c>
      <c r="F12" s="115">
        <f>COUNTIFS($A$60:$A$88,"UI_PH2_FR01_*",$G$60:$G$88,"Fail")</f>
        <v>2</v>
      </c>
      <c r="G12" s="115">
        <f>SUMIFS($H$60:$H$88,$A$60:$A$88,"UI_PH2_FR01_*")</f>
        <v>2</v>
      </c>
      <c r="H12" s="116">
        <f>IFERROR(E12/C12,0)</f>
        <v>0.714285714285714</v>
      </c>
      <c r="I12" s="115">
        <f>COUNTIFS($A$60:$A$88,"UI_PH2_FR01_*",$C$60:$C$88,"UI/UX")</f>
        <v>3</v>
      </c>
      <c r="J12" s="115">
        <f>COUNTIFS($A$60:$A$88,"UI_PH2_FR01_*",$C$60:$C$88,"Function")</f>
        <v>3</v>
      </c>
      <c r="K12" s="115">
        <f>COUNTIFS($A$60:$A$88,"UI_PH2_FR01_*",$C$60:$C$88,"Negative")</f>
        <v>1</v>
      </c>
      <c r="L12" s="115">
        <f>SUMIFS($H$60:$H$88,$A$60:$A$88,"UI_PH2_FR01_*",$C$60:$C$88,"UI/UX")</f>
        <v>1</v>
      </c>
      <c r="M12" s="115">
        <f>SUMIFS($H$60:$H$88,$A$60:$A$88,"UI_PH2_FR01_*",$C$60:$C$88,"Function")</f>
        <v>1</v>
      </c>
      <c r="N12" s="115">
        <f>SUMIFS($H$60:$H$88,$A$60:$A$88,"UI_PH2_FR01_*",$C$60:$C$88,"Negative")</f>
        <v>0</v>
      </c>
    </row>
    <row r="13" ht="30" customHeight="1" spans="1:14">
      <c r="A13" s="114" t="s">
        <v>1115</v>
      </c>
      <c r="B13" s="114" t="s">
        <v>2040</v>
      </c>
      <c r="C13" s="115">
        <f>COUNTIF($A$60:$A$88,"UI_PH2_FR02_*")</f>
        <v>7</v>
      </c>
      <c r="D13" s="115">
        <f>COUNTIFS($A$60:$A$88,"UI_PH2_FR02_*",$G$60:$G$88,"Pending")</f>
        <v>0</v>
      </c>
      <c r="E13" s="115">
        <f>COUNTIFS($A$60:$A$88,"UI_PH2_FR02_*",$G$60:$G$88,"Pass")</f>
        <v>5</v>
      </c>
      <c r="F13" s="115">
        <f>COUNTIFS($A$60:$A$88,"UI_PH2_FR02_*",$G$60:$G$88,"Fail")</f>
        <v>2</v>
      </c>
      <c r="G13" s="115">
        <f>SUMIFS($H$60:$H$88,$A$60:$A$88,"UI_PH2_FR02_*")</f>
        <v>2</v>
      </c>
      <c r="H13" s="116">
        <f>IFERROR(E13/C13,0)</f>
        <v>0.714285714285714</v>
      </c>
      <c r="I13" s="115">
        <f>COUNTIFS($A$60:$A$88,"UI_PH2_FR02_*",$C$60:$C$88,"UI/UX")</f>
        <v>1</v>
      </c>
      <c r="J13" s="115">
        <f>COUNTIFS($A$60:$A$88,"UI_PH2_FR02_*",$C$60:$C$88,"Function")</f>
        <v>4</v>
      </c>
      <c r="K13" s="115">
        <f>COUNTIFS($A$60:$A$88,"UI_PH2_FR02_*",$C$60:$C$88,"Negative")</f>
        <v>2</v>
      </c>
      <c r="L13" s="115">
        <f>SUMIFS($H$60:$H$88,$A$60:$A$88,"UI_PH2_FR02_*",$C$60:$C$88,"UI/UX")</f>
        <v>0</v>
      </c>
      <c r="M13" s="115">
        <f>SUMIFS($H$60:$H$88,$A$60:$A$88,"UI_PH2_FR02_*",$C$60:$C$88,"Function")</f>
        <v>1</v>
      </c>
      <c r="N13" s="115">
        <f>SUMIFS($H$60:$H$88,$A$60:$A$88,"UI_PH2_FR02_*",$C$60:$C$88,"Negative")</f>
        <v>1</v>
      </c>
    </row>
    <row r="14" customHeight="1" spans="1:14">
      <c r="A14" s="114" t="s">
        <v>1118</v>
      </c>
      <c r="B14" s="114" t="s">
        <v>2042</v>
      </c>
      <c r="C14" s="115">
        <f>COUNTIF($A$60:$A$88,"UI_PH2_FR03_*")</f>
        <v>7</v>
      </c>
      <c r="D14" s="115">
        <f>COUNTIFS($A$60:$A$88,"UI_PH2_FR03_*",$G$60:$G$88,"Pending")</f>
        <v>0</v>
      </c>
      <c r="E14" s="115">
        <f>COUNTIFS($A$60:$A$88,"UI_PH2_FR03_*",$G$60:$G$88,"Pass")</f>
        <v>7</v>
      </c>
      <c r="F14" s="115">
        <f>COUNTIFS($A$60:$A$88,"UI_PH2_FR03_*",$G$60:$G$88,"Fail")</f>
        <v>0</v>
      </c>
      <c r="G14" s="115">
        <f>SUMIFS($H$60:$H$88,$A$60:$A$88,"UI_PH2_FR03_*")</f>
        <v>0</v>
      </c>
      <c r="H14" s="116">
        <f>IFERROR(E14/C14,0)</f>
        <v>1</v>
      </c>
      <c r="I14" s="115">
        <f>COUNTIFS($A$60:$A$88,"UI_PH2_FR03_*",$C$60:$C$88,"UI/UX")</f>
        <v>1</v>
      </c>
      <c r="J14" s="115">
        <f>COUNTIFS($A$60:$A$88,"UI_PH2_FR03_*",$C$60:$C$88,"Function")</f>
        <v>2</v>
      </c>
      <c r="K14" s="115">
        <f>COUNTIFS($A$60:$A$88,"UI_PH2_FR03_*",$C$60:$C$88,"Negative")</f>
        <v>4</v>
      </c>
      <c r="L14" s="115">
        <f>SUMIFS($H$60:$H$88,$A$60:$A$88,"UI_PH2_FR03_*",$C$60:$C$88,"UI/UX")</f>
        <v>0</v>
      </c>
      <c r="M14" s="115">
        <f>SUMIFS($H$60:$H$88,$A$60:$A$88,"UI_PH2_FR03_*",$C$60:$C$88,"Function")</f>
        <v>0</v>
      </c>
      <c r="N14" s="115">
        <f>SUMIFS($H$60:$H$88,$A$60:$A$88,"UI_PH2_FR03_*",$C$60:$C$88,"Negative")</f>
        <v>0</v>
      </c>
    </row>
    <row r="15" customHeight="1" spans="1:14">
      <c r="A15" s="114" t="s">
        <v>1121</v>
      </c>
      <c r="B15" s="114" t="s">
        <v>2044</v>
      </c>
      <c r="C15" s="115">
        <f>COUNTIF($A$60:$A$88,"UI_PH2_FR04_*")</f>
        <v>4</v>
      </c>
      <c r="D15" s="115">
        <f>COUNTIFS($A$60:$A$88,"UI_PH2_FR04_*",$G$60:$G$88,"Pending")</f>
        <v>0</v>
      </c>
      <c r="E15" s="115">
        <f>COUNTIFS($A$60:$A$88,"UI_PH2_FR04_*",$G$60:$G$88,"Pass")</f>
        <v>4</v>
      </c>
      <c r="F15" s="115">
        <f>COUNTIFS($A$60:$A$88,"UI_PH2_FR04_*",$G$60:$G$88,"Fail")</f>
        <v>0</v>
      </c>
      <c r="G15" s="115">
        <f>SUMIFS($H$60:$H$88,$A$60:$A$88,"UI_PH2_FR04_*")</f>
        <v>0</v>
      </c>
      <c r="H15" s="116">
        <f>IFERROR(E15/C15,0)</f>
        <v>1</v>
      </c>
      <c r="I15" s="115">
        <f>COUNTIFS($A$60:$A$88,"UI_PH2_FR04_*",$C$60:$C$88,"UI/UX")</f>
        <v>1</v>
      </c>
      <c r="J15" s="115">
        <f>COUNTIFS($A$60:$A$88,"UI_PH2_FR04_*",$C$60:$C$88,"Function")</f>
        <v>1</v>
      </c>
      <c r="K15" s="115">
        <f>COUNTIFS($A$60:$A$88,"UI_PH2_FR04_*",$C$60:$C$88,"Negative")</f>
        <v>2</v>
      </c>
      <c r="L15" s="115">
        <f>SUMIFS($H$60:$H$88,$A$60:$A$88,"UI_PH2_FR04_*",$C$60:$C$88,"UI/UX")</f>
        <v>0</v>
      </c>
      <c r="M15" s="115">
        <f>SUMIFS($H$60:$H$88,$A$60:$A$88,"UI_PH2_FR04_*",$C$60:$C$88,"Function")</f>
        <v>0</v>
      </c>
      <c r="N15" s="115">
        <f>SUMIFS($H$60:$H$88,$A$60:$A$88,"UI_PH2_FR04_*",$C$60:$C$88,"Negative")</f>
        <v>0</v>
      </c>
    </row>
    <row r="16" ht="15.75" spans="1:14">
      <c r="A16" s="117" t="s">
        <v>1127</v>
      </c>
      <c r="B16" s="117" t="s">
        <v>7</v>
      </c>
      <c r="C16" s="118">
        <f>SUM(C12:C15)</f>
        <v>25</v>
      </c>
      <c r="D16" s="118">
        <f>SUM(D12:D15)</f>
        <v>0</v>
      </c>
      <c r="E16" s="118">
        <f>SUM(E12:E15)</f>
        <v>21</v>
      </c>
      <c r="F16" s="118">
        <f>SUM(F12:F15)</f>
        <v>4</v>
      </c>
      <c r="G16" s="118">
        <f>SUM(G12:G15)</f>
        <v>4</v>
      </c>
      <c r="H16" s="119">
        <f>IFERROR(E16/C16,0)</f>
        <v>0.84</v>
      </c>
      <c r="I16" s="118">
        <f t="shared" ref="I16:N16" si="0">SUM(I12:I15)</f>
        <v>6</v>
      </c>
      <c r="J16" s="118">
        <f t="shared" si="0"/>
        <v>10</v>
      </c>
      <c r="K16" s="118">
        <f t="shared" si="0"/>
        <v>9</v>
      </c>
      <c r="L16" s="118">
        <f t="shared" si="0"/>
        <v>1</v>
      </c>
      <c r="M16" s="118">
        <f t="shared" si="0"/>
        <v>2</v>
      </c>
      <c r="N16" s="118">
        <f t="shared" si="0"/>
        <v>1</v>
      </c>
    </row>
    <row r="19" ht="15.75" spans="1:5">
      <c r="A19" s="120" t="s">
        <v>1139</v>
      </c>
      <c r="B19" s="110" t="s">
        <v>1112</v>
      </c>
    </row>
    <row r="20" ht="15.75" spans="1:5">
      <c r="A20" s="120" t="s">
        <v>1140</v>
      </c>
      <c r="B20" s="110" t="s">
        <v>2038</v>
      </c>
    </row>
    <row r="21" ht="15.75" spans="1:5">
      <c r="A21" s="120" t="s">
        <v>1141</v>
      </c>
      <c r="B21" s="110" t="s">
        <v>7</v>
      </c>
    </row>
    <row r="22" ht="15.75" spans="1:5">
      <c r="A22" s="121" t="s">
        <v>1129</v>
      </c>
      <c r="B22" s="122">
        <f>E12</f>
        <v>5</v>
      </c>
      <c r="D22" s="121" t="s">
        <v>1133</v>
      </c>
      <c r="E22" s="122">
        <f>I12</f>
        <v>3</v>
      </c>
    </row>
    <row r="23" ht="15.75" spans="1:5">
      <c r="A23" s="121" t="s">
        <v>1130</v>
      </c>
      <c r="B23" s="122">
        <f>F12</f>
        <v>2</v>
      </c>
      <c r="D23" s="121" t="s">
        <v>1134</v>
      </c>
      <c r="E23" s="122">
        <f>J12</f>
        <v>3</v>
      </c>
    </row>
    <row r="24" ht="15.75" spans="1:5">
      <c r="A24" s="121" t="s">
        <v>1128</v>
      </c>
      <c r="B24" s="122">
        <f>D12</f>
        <v>0</v>
      </c>
      <c r="D24" s="121" t="s">
        <v>1135</v>
      </c>
      <c r="E24" s="122">
        <f>K12</f>
        <v>1</v>
      </c>
    </row>
    <row r="25" ht="15.75" spans="1:5">
      <c r="A25" s="121" t="s">
        <v>1131</v>
      </c>
      <c r="B25" s="122">
        <f>G12</f>
        <v>2</v>
      </c>
      <c r="D25" s="121" t="s">
        <v>1127</v>
      </c>
      <c r="E25" s="122">
        <f>C12</f>
        <v>7</v>
      </c>
    </row>
    <row r="26" ht="15.75" spans="1:5">
      <c r="A26" s="120" t="s">
        <v>1139</v>
      </c>
      <c r="B26" s="110" t="s">
        <v>1115</v>
      </c>
    </row>
    <row r="27" ht="31.5" spans="1:5">
      <c r="A27" s="120" t="s">
        <v>1140</v>
      </c>
      <c r="B27" s="110" t="s">
        <v>2040</v>
      </c>
    </row>
    <row r="28" ht="15.75" spans="1:5">
      <c r="A28" s="120" t="s">
        <v>1141</v>
      </c>
      <c r="B28" s="110" t="s">
        <v>7</v>
      </c>
    </row>
    <row r="29" ht="15.75" spans="1:5">
      <c r="A29" s="121" t="s">
        <v>1129</v>
      </c>
      <c r="B29" s="122">
        <f>E13</f>
        <v>5</v>
      </c>
      <c r="D29" s="121" t="s">
        <v>1133</v>
      </c>
      <c r="E29" s="122">
        <f>I13</f>
        <v>1</v>
      </c>
    </row>
    <row r="30" ht="15.75" spans="1:5">
      <c r="A30" s="121" t="s">
        <v>1130</v>
      </c>
      <c r="B30" s="122">
        <f>F13</f>
        <v>2</v>
      </c>
      <c r="D30" s="121" t="s">
        <v>1134</v>
      </c>
      <c r="E30" s="122">
        <f>J13</f>
        <v>4</v>
      </c>
    </row>
    <row r="31" ht="15.75" spans="1:5">
      <c r="A31" s="121" t="s">
        <v>1128</v>
      </c>
      <c r="B31" s="122">
        <f>D13</f>
        <v>0</v>
      </c>
      <c r="D31" s="121" t="s">
        <v>1135</v>
      </c>
      <c r="E31" s="122">
        <f>K13</f>
        <v>2</v>
      </c>
    </row>
    <row r="32" ht="15.75" spans="1:5">
      <c r="A32" s="121" t="s">
        <v>1131</v>
      </c>
      <c r="B32" s="122">
        <f>G13</f>
        <v>2</v>
      </c>
      <c r="D32" s="121" t="s">
        <v>1127</v>
      </c>
      <c r="E32" s="122">
        <f>C13</f>
        <v>7</v>
      </c>
    </row>
    <row r="33" ht="15.75" spans="1:9">
      <c r="A33" s="120" t="s">
        <v>1139</v>
      </c>
      <c r="B33" s="110" t="s">
        <v>1118</v>
      </c>
    </row>
    <row r="34" ht="15.75" spans="1:9">
      <c r="A34" s="120" t="s">
        <v>1140</v>
      </c>
      <c r="B34" s="110" t="s">
        <v>2042</v>
      </c>
    </row>
    <row r="35" ht="15.75" spans="1:9">
      <c r="A35" s="120" t="s">
        <v>1141</v>
      </c>
      <c r="B35" s="110" t="s">
        <v>7</v>
      </c>
    </row>
    <row r="36" ht="15.75" spans="1:9">
      <c r="A36" s="121" t="s">
        <v>1129</v>
      </c>
      <c r="B36" s="122">
        <f>E14</f>
        <v>7</v>
      </c>
      <c r="D36" s="121" t="s">
        <v>1133</v>
      </c>
      <c r="E36" s="122">
        <f>I14</f>
        <v>1</v>
      </c>
    </row>
    <row r="37" ht="15.75" spans="1:9">
      <c r="A37" s="121" t="s">
        <v>1130</v>
      </c>
      <c r="B37" s="122">
        <f>F14</f>
        <v>0</v>
      </c>
      <c r="D37" s="121" t="s">
        <v>1134</v>
      </c>
      <c r="E37" s="122">
        <f>J14</f>
        <v>2</v>
      </c>
    </row>
    <row r="38" ht="15.75" spans="1:9">
      <c r="A38" s="121" t="s">
        <v>1128</v>
      </c>
      <c r="B38" s="122">
        <f>D14</f>
        <v>0</v>
      </c>
      <c r="D38" s="121" t="s">
        <v>1135</v>
      </c>
      <c r="E38" s="122">
        <f>K14</f>
        <v>4</v>
      </c>
    </row>
    <row r="39" ht="15.75" spans="1:9">
      <c r="A39" s="121" t="s">
        <v>1131</v>
      </c>
      <c r="B39" s="122">
        <f>G14</f>
        <v>0</v>
      </c>
      <c r="D39" s="121" t="s">
        <v>1127</v>
      </c>
      <c r="E39" s="122">
        <f>C14</f>
        <v>7</v>
      </c>
    </row>
    <row r="40" ht="15.75" spans="1:9">
      <c r="A40" s="120" t="s">
        <v>1139</v>
      </c>
      <c r="B40" s="110" t="s">
        <v>1121</v>
      </c>
    </row>
    <row r="41" ht="15.75" spans="1:9">
      <c r="A41" s="120" t="s">
        <v>1140</v>
      </c>
      <c r="B41" s="110" t="s">
        <v>2044</v>
      </c>
    </row>
    <row r="42" ht="15.75" spans="1:9">
      <c r="A42" s="120" t="s">
        <v>1141</v>
      </c>
      <c r="B42" s="110" t="s">
        <v>7</v>
      </c>
    </row>
    <row r="43" ht="15.75" spans="1:9">
      <c r="A43" s="121" t="s">
        <v>1129</v>
      </c>
      <c r="B43" s="122">
        <f>E15</f>
        <v>4</v>
      </c>
      <c r="D43" s="121" t="s">
        <v>1133</v>
      </c>
      <c r="E43" s="122">
        <f>I15</f>
        <v>1</v>
      </c>
    </row>
    <row r="44" ht="15.75" spans="1:9">
      <c r="A44" s="121" t="s">
        <v>1130</v>
      </c>
      <c r="B44" s="122">
        <f>F15</f>
        <v>0</v>
      </c>
      <c r="D44" s="121" t="s">
        <v>1134</v>
      </c>
      <c r="E44" s="122">
        <f>J15</f>
        <v>1</v>
      </c>
    </row>
    <row r="45" ht="15.75" spans="1:9">
      <c r="A45" s="121" t="s">
        <v>1128</v>
      </c>
      <c r="B45" s="122">
        <f>D15</f>
        <v>0</v>
      </c>
      <c r="D45" s="121" t="s">
        <v>1135</v>
      </c>
      <c r="E45" s="122">
        <f>K15</f>
        <v>2</v>
      </c>
    </row>
    <row r="46" ht="15.75" spans="1:9">
      <c r="A46" s="121" t="s">
        <v>1131</v>
      </c>
      <c r="B46" s="122">
        <f>G15</f>
        <v>0</v>
      </c>
      <c r="D46" s="121" t="s">
        <v>1127</v>
      </c>
      <c r="E46" s="122">
        <f>C15</f>
        <v>4</v>
      </c>
    </row>
    <row r="47" ht="15.75" spans="1:9">
      <c r="A47" s="123" t="s">
        <v>1142</v>
      </c>
      <c r="B47" s="16"/>
      <c r="C47" s="16"/>
      <c r="D47" s="16"/>
      <c r="E47" s="16"/>
      <c r="F47" s="16"/>
      <c r="G47" s="16"/>
      <c r="H47" s="16"/>
      <c r="I47" s="17"/>
    </row>
    <row r="48" ht="15.75" spans="1:9">
      <c r="A48" s="124" t="s">
        <v>1143</v>
      </c>
      <c r="B48" s="16"/>
      <c r="C48" s="16"/>
      <c r="D48" s="16"/>
      <c r="E48" s="16"/>
      <c r="F48" s="16"/>
      <c r="G48" s="16"/>
      <c r="H48" s="16"/>
      <c r="I48" s="17"/>
    </row>
    <row r="49" ht="60" customHeight="1" spans="1:9">
      <c r="A49" s="310" t="s">
        <v>2046</v>
      </c>
      <c r="B49" s="16"/>
      <c r="C49" s="16"/>
      <c r="D49" s="16"/>
      <c r="E49" s="16"/>
      <c r="F49" s="16"/>
      <c r="G49" s="16"/>
      <c r="H49" s="16"/>
      <c r="I49" s="17"/>
    </row>
    <row r="50" ht="15.75" spans="1:9">
      <c r="A50" s="124" t="s">
        <v>1145</v>
      </c>
      <c r="B50" s="16"/>
      <c r="C50" s="16"/>
      <c r="D50" s="16"/>
      <c r="E50" s="16"/>
      <c r="F50" s="16"/>
      <c r="G50" s="16"/>
      <c r="H50" s="16"/>
      <c r="I50" s="17"/>
    </row>
    <row r="51" ht="120" customHeight="1" spans="1:9">
      <c r="A51" s="310" t="s">
        <v>2047</v>
      </c>
      <c r="B51" s="16"/>
      <c r="C51" s="16"/>
      <c r="D51" s="16"/>
      <c r="E51" s="16"/>
      <c r="F51" s="16"/>
      <c r="G51" s="16"/>
      <c r="H51" s="16"/>
      <c r="I51" s="17"/>
    </row>
    <row r="52" ht="15.75" spans="1:9">
      <c r="A52" s="124" t="s">
        <v>1147</v>
      </c>
      <c r="B52" s="16"/>
      <c r="C52" s="16"/>
      <c r="D52" s="16"/>
      <c r="E52" s="16"/>
      <c r="F52" s="16"/>
      <c r="G52" s="16"/>
      <c r="H52" s="16"/>
      <c r="I52" s="17"/>
    </row>
    <row r="53" ht="75" customHeight="1" spans="1:9">
      <c r="A53" s="310" t="s">
        <v>2048</v>
      </c>
      <c r="B53" s="16"/>
      <c r="C53" s="16"/>
      <c r="D53" s="16"/>
      <c r="E53" s="16"/>
      <c r="F53" s="16"/>
      <c r="G53" s="16"/>
      <c r="H53" s="16"/>
      <c r="I53" s="17"/>
    </row>
    <row r="54" ht="15.75" spans="1:9">
      <c r="A54" s="124" t="s">
        <v>1149</v>
      </c>
      <c r="B54" s="16"/>
      <c r="C54" s="16"/>
      <c r="D54" s="16"/>
      <c r="E54" s="16"/>
      <c r="F54" s="16"/>
      <c r="G54" s="16"/>
      <c r="H54" s="16"/>
      <c r="I54" s="17"/>
    </row>
    <row r="55" ht="45" customHeight="1" spans="1:9">
      <c r="A55" s="310" t="s">
        <v>2049</v>
      </c>
      <c r="B55" s="16"/>
      <c r="C55" s="16"/>
      <c r="D55" s="16"/>
      <c r="E55" s="16"/>
      <c r="F55" s="16"/>
      <c r="G55" s="16"/>
      <c r="H55" s="16"/>
      <c r="I55" s="17"/>
    </row>
    <row r="59" ht="15.75" spans="1:9">
      <c r="A59" s="126" t="s">
        <v>1109</v>
      </c>
      <c r="B59" s="126" t="s">
        <v>1151</v>
      </c>
      <c r="C59" s="126" t="s">
        <v>1152</v>
      </c>
      <c r="D59" s="126" t="s">
        <v>1153</v>
      </c>
      <c r="E59" s="126" t="s">
        <v>1154</v>
      </c>
      <c r="F59" s="126" t="s">
        <v>1155</v>
      </c>
      <c r="G59" s="126" t="s">
        <v>1156</v>
      </c>
      <c r="H59" s="126" t="s">
        <v>1131</v>
      </c>
      <c r="I59" s="126" t="s">
        <v>1157</v>
      </c>
    </row>
    <row r="60" ht="15.75" spans="1:9">
      <c r="A60" s="127" t="s">
        <v>2050</v>
      </c>
      <c r="B60" s="16"/>
      <c r="C60" s="16"/>
      <c r="D60" s="16"/>
      <c r="E60" s="16"/>
      <c r="F60" s="16"/>
      <c r="G60" s="16"/>
      <c r="H60" s="16"/>
      <c r="I60" s="17"/>
    </row>
    <row r="61" ht="60" customHeight="1" spans="1:9">
      <c r="A61" s="111" t="s">
        <v>2051</v>
      </c>
      <c r="B61" s="111" t="s">
        <v>2052</v>
      </c>
      <c r="C61" s="122" t="s">
        <v>1133</v>
      </c>
      <c r="D61" s="111" t="s">
        <v>2053</v>
      </c>
      <c r="E61" s="111" t="s">
        <v>2054</v>
      </c>
      <c r="F61" s="111" t="s">
        <v>2055</v>
      </c>
      <c r="G61" s="122" t="s">
        <v>1129</v>
      </c>
      <c r="H61" s="122"/>
      <c r="I61" s="111" t="s">
        <v>7</v>
      </c>
    </row>
    <row r="62" ht="45" customHeight="1" spans="1:9">
      <c r="A62" s="111" t="s">
        <v>2056</v>
      </c>
      <c r="B62" s="111" t="s">
        <v>2057</v>
      </c>
      <c r="C62" s="122" t="s">
        <v>1133</v>
      </c>
      <c r="D62" s="111" t="s">
        <v>2058</v>
      </c>
      <c r="E62" s="111" t="s">
        <v>2059</v>
      </c>
      <c r="F62" s="111" t="s">
        <v>2060</v>
      </c>
      <c r="G62" s="122" t="s">
        <v>1129</v>
      </c>
      <c r="H62" s="122"/>
      <c r="I62" s="111" t="s">
        <v>7</v>
      </c>
    </row>
    <row r="63" ht="60" customHeight="1" spans="1:9">
      <c r="A63" s="111" t="s">
        <v>2061</v>
      </c>
      <c r="B63" s="111" t="s">
        <v>2062</v>
      </c>
      <c r="C63" s="122" t="s">
        <v>1134</v>
      </c>
      <c r="D63" s="111" t="s">
        <v>2063</v>
      </c>
      <c r="E63" s="111" t="s">
        <v>2064</v>
      </c>
      <c r="F63" s="111" t="s">
        <v>2065</v>
      </c>
      <c r="G63" s="122" t="s">
        <v>1129</v>
      </c>
      <c r="H63" s="122"/>
      <c r="I63" s="111" t="s">
        <v>2066</v>
      </c>
    </row>
    <row r="64" ht="195" customHeight="1" spans="1:9">
      <c r="A64" s="111" t="s">
        <v>2067</v>
      </c>
      <c r="B64" s="111" t="s">
        <v>2068</v>
      </c>
      <c r="C64" s="122" t="s">
        <v>1134</v>
      </c>
      <c r="D64" s="111" t="s">
        <v>2069</v>
      </c>
      <c r="E64" s="111" t="s">
        <v>2070</v>
      </c>
      <c r="F64" s="111" t="s">
        <v>2071</v>
      </c>
      <c r="G64" s="122" t="s">
        <v>1130</v>
      </c>
      <c r="H64" s="122">
        <v>1</v>
      </c>
      <c r="I64" s="111" t="s">
        <v>2072</v>
      </c>
    </row>
    <row r="65" ht="45" customHeight="1" spans="1:9">
      <c r="A65" s="111" t="s">
        <v>2073</v>
      </c>
      <c r="B65" s="111" t="s">
        <v>2074</v>
      </c>
      <c r="C65" s="122" t="s">
        <v>1134</v>
      </c>
      <c r="D65" s="111" t="s">
        <v>2075</v>
      </c>
      <c r="E65" s="111" t="s">
        <v>2076</v>
      </c>
      <c r="F65" s="111" t="s">
        <v>2077</v>
      </c>
      <c r="G65" s="122" t="s">
        <v>1129</v>
      </c>
      <c r="H65" s="122"/>
      <c r="I65" s="111" t="s">
        <v>2078</v>
      </c>
    </row>
    <row r="66" ht="60" customHeight="1" spans="1:9">
      <c r="A66" s="111" t="s">
        <v>2079</v>
      </c>
      <c r="B66" s="111" t="s">
        <v>2080</v>
      </c>
      <c r="C66" s="122" t="s">
        <v>1135</v>
      </c>
      <c r="D66" s="111" t="s">
        <v>2081</v>
      </c>
      <c r="E66" s="111" t="s">
        <v>2082</v>
      </c>
      <c r="F66" s="111" t="s">
        <v>2083</v>
      </c>
      <c r="G66" s="122" t="s">
        <v>1129</v>
      </c>
      <c r="H66" s="122"/>
      <c r="I66" s="111" t="s">
        <v>2084</v>
      </c>
    </row>
    <row r="67" ht="90" customHeight="1" spans="1:9">
      <c r="A67" s="111" t="s">
        <v>2085</v>
      </c>
      <c r="B67" s="111" t="s">
        <v>2086</v>
      </c>
      <c r="C67" s="122" t="s">
        <v>1133</v>
      </c>
      <c r="D67" s="111" t="s">
        <v>1243</v>
      </c>
      <c r="E67" s="111" t="s">
        <v>2087</v>
      </c>
      <c r="F67" s="111" t="s">
        <v>2088</v>
      </c>
      <c r="G67" s="122" t="s">
        <v>1130</v>
      </c>
      <c r="H67" s="122">
        <v>1</v>
      </c>
      <c r="I67" s="111" t="s">
        <v>2089</v>
      </c>
    </row>
    <row r="68" ht="15.75" spans="1:9">
      <c r="A68" s="109" t="s">
        <v>2090</v>
      </c>
      <c r="B68" s="16"/>
      <c r="C68" s="16"/>
      <c r="D68" s="16"/>
      <c r="E68" s="16"/>
      <c r="F68" s="16"/>
      <c r="G68" s="16"/>
      <c r="H68" s="16"/>
      <c r="I68" s="17"/>
    </row>
    <row r="69" ht="60" customHeight="1" spans="1:9">
      <c r="A69" s="111" t="s">
        <v>2091</v>
      </c>
      <c r="B69" s="111" t="s">
        <v>2092</v>
      </c>
      <c r="C69" s="122" t="s">
        <v>1133</v>
      </c>
      <c r="D69" s="111" t="s">
        <v>2093</v>
      </c>
      <c r="E69" s="111" t="s">
        <v>2094</v>
      </c>
      <c r="F69" s="111" t="s">
        <v>2095</v>
      </c>
      <c r="G69" s="122" t="s">
        <v>1129</v>
      </c>
      <c r="H69" s="122"/>
      <c r="I69" s="111" t="s">
        <v>7</v>
      </c>
    </row>
    <row r="70" ht="30" customHeight="1" spans="1:9">
      <c r="A70" s="111" t="s">
        <v>2096</v>
      </c>
      <c r="B70" s="111" t="s">
        <v>2097</v>
      </c>
      <c r="C70" s="122" t="s">
        <v>1134</v>
      </c>
      <c r="D70" s="111" t="s">
        <v>2098</v>
      </c>
      <c r="E70" s="111" t="s">
        <v>2099</v>
      </c>
      <c r="F70" s="111" t="s">
        <v>2100</v>
      </c>
      <c r="G70" s="122" t="s">
        <v>1129</v>
      </c>
      <c r="H70" s="122"/>
      <c r="I70" s="111" t="s">
        <v>7</v>
      </c>
    </row>
    <row r="71" ht="30" customHeight="1" spans="1:9">
      <c r="A71" s="111" t="s">
        <v>2101</v>
      </c>
      <c r="B71" s="111" t="s">
        <v>2102</v>
      </c>
      <c r="C71" s="122" t="s">
        <v>1134</v>
      </c>
      <c r="D71" s="111" t="s">
        <v>2103</v>
      </c>
      <c r="E71" s="111" t="s">
        <v>2104</v>
      </c>
      <c r="F71" s="111" t="s">
        <v>2105</v>
      </c>
      <c r="G71" s="122" t="s">
        <v>1129</v>
      </c>
      <c r="H71" s="122"/>
      <c r="I71" s="111" t="s">
        <v>7</v>
      </c>
    </row>
    <row r="72" ht="150" customHeight="1" spans="1:9">
      <c r="A72" s="111" t="s">
        <v>2106</v>
      </c>
      <c r="B72" s="111" t="s">
        <v>2107</v>
      </c>
      <c r="C72" s="122" t="s">
        <v>1134</v>
      </c>
      <c r="D72" s="111" t="s">
        <v>2108</v>
      </c>
      <c r="E72" s="111" t="s">
        <v>2109</v>
      </c>
      <c r="F72" s="111" t="s">
        <v>2110</v>
      </c>
      <c r="G72" s="122" t="s">
        <v>1130</v>
      </c>
      <c r="H72" s="122">
        <v>1</v>
      </c>
      <c r="I72" s="111" t="s">
        <v>2111</v>
      </c>
    </row>
    <row r="73" ht="45" customHeight="1" spans="1:9">
      <c r="A73" s="111" t="s">
        <v>2112</v>
      </c>
      <c r="B73" s="111" t="s">
        <v>2113</v>
      </c>
      <c r="C73" s="122" t="s">
        <v>1135</v>
      </c>
      <c r="D73" s="111" t="s">
        <v>2114</v>
      </c>
      <c r="E73" s="111" t="s">
        <v>2115</v>
      </c>
      <c r="F73" s="111" t="s">
        <v>2116</v>
      </c>
      <c r="G73" s="122" t="s">
        <v>1129</v>
      </c>
      <c r="H73" s="122"/>
      <c r="I73" s="111" t="s">
        <v>7</v>
      </c>
    </row>
    <row r="74" ht="135" customHeight="1" spans="1:9">
      <c r="A74" s="111" t="s">
        <v>2117</v>
      </c>
      <c r="B74" s="111" t="s">
        <v>2118</v>
      </c>
      <c r="C74" s="122" t="s">
        <v>1135</v>
      </c>
      <c r="D74" s="111" t="s">
        <v>2119</v>
      </c>
      <c r="E74" s="111" t="s">
        <v>2120</v>
      </c>
      <c r="F74" s="111" t="s">
        <v>2121</v>
      </c>
      <c r="G74" s="122" t="s">
        <v>1130</v>
      </c>
      <c r="H74" s="122">
        <v>1</v>
      </c>
      <c r="I74" s="111" t="s">
        <v>2122</v>
      </c>
    </row>
    <row r="75" ht="45" customHeight="1" spans="1:9">
      <c r="A75" s="111" t="s">
        <v>2123</v>
      </c>
      <c r="B75" s="111" t="s">
        <v>2124</v>
      </c>
      <c r="C75" s="122" t="s">
        <v>1134</v>
      </c>
      <c r="D75" s="111" t="s">
        <v>2125</v>
      </c>
      <c r="E75" s="111" t="s">
        <v>2126</v>
      </c>
      <c r="F75" s="111" t="s">
        <v>2127</v>
      </c>
      <c r="G75" s="122" t="s">
        <v>1129</v>
      </c>
      <c r="H75" s="122"/>
      <c r="I75" s="111" t="s">
        <v>7</v>
      </c>
    </row>
    <row r="76" ht="15.75" spans="1:9">
      <c r="A76" s="127" t="s">
        <v>2128</v>
      </c>
      <c r="B76" s="16"/>
      <c r="C76" s="16"/>
      <c r="D76" s="16"/>
      <c r="E76" s="16"/>
      <c r="F76" s="16"/>
      <c r="G76" s="16"/>
      <c r="H76" s="16"/>
      <c r="I76" s="17"/>
    </row>
    <row r="77" ht="30" customHeight="1" spans="1:9">
      <c r="A77" s="111" t="s">
        <v>2129</v>
      </c>
      <c r="B77" s="111" t="s">
        <v>2130</v>
      </c>
      <c r="C77" s="122" t="s">
        <v>1134</v>
      </c>
      <c r="D77" s="111" t="s">
        <v>2131</v>
      </c>
      <c r="E77" s="111" t="s">
        <v>2132</v>
      </c>
      <c r="F77" s="111" t="s">
        <v>2133</v>
      </c>
      <c r="G77" s="122" t="s">
        <v>1129</v>
      </c>
      <c r="H77" s="122"/>
      <c r="I77" s="111" t="s">
        <v>2134</v>
      </c>
    </row>
    <row r="78" ht="30" customHeight="1" spans="1:9">
      <c r="A78" s="111" t="s">
        <v>2135</v>
      </c>
      <c r="B78" s="111" t="s">
        <v>2136</v>
      </c>
      <c r="C78" s="122" t="s">
        <v>1135</v>
      </c>
      <c r="D78" s="111" t="s">
        <v>2137</v>
      </c>
      <c r="E78" s="111" t="s">
        <v>2138</v>
      </c>
      <c r="F78" s="111" t="s">
        <v>2139</v>
      </c>
      <c r="G78" s="122" t="s">
        <v>1129</v>
      </c>
      <c r="H78" s="122"/>
      <c r="I78" s="111" t="s">
        <v>7</v>
      </c>
    </row>
    <row r="79" ht="45" customHeight="1" spans="1:9">
      <c r="A79" s="111" t="s">
        <v>2140</v>
      </c>
      <c r="B79" s="111" t="s">
        <v>2141</v>
      </c>
      <c r="C79" s="122" t="s">
        <v>1135</v>
      </c>
      <c r="D79" s="111" t="s">
        <v>2142</v>
      </c>
      <c r="E79" s="111" t="s">
        <v>2143</v>
      </c>
      <c r="F79" s="111" t="s">
        <v>2144</v>
      </c>
      <c r="G79" s="122" t="s">
        <v>1129</v>
      </c>
      <c r="H79" s="122"/>
      <c r="I79" s="111" t="s">
        <v>7</v>
      </c>
    </row>
    <row r="80" ht="30" customHeight="1" spans="1:9">
      <c r="A80" s="111" t="s">
        <v>2145</v>
      </c>
      <c r="B80" s="111" t="s">
        <v>2146</v>
      </c>
      <c r="C80" s="122" t="s">
        <v>1135</v>
      </c>
      <c r="D80" s="111" t="s">
        <v>2147</v>
      </c>
      <c r="E80" s="111" t="s">
        <v>2148</v>
      </c>
      <c r="F80" s="111" t="s">
        <v>2149</v>
      </c>
      <c r="G80" s="122" t="s">
        <v>1129</v>
      </c>
      <c r="H80" s="122"/>
      <c r="I80" s="111" t="s">
        <v>7</v>
      </c>
    </row>
    <row r="81" ht="75" customHeight="1" spans="1:9">
      <c r="A81" s="111" t="s">
        <v>2150</v>
      </c>
      <c r="B81" s="111" t="s">
        <v>2151</v>
      </c>
      <c r="C81" s="122" t="s">
        <v>1133</v>
      </c>
      <c r="D81" s="111" t="s">
        <v>2152</v>
      </c>
      <c r="E81" s="111" t="s">
        <v>2153</v>
      </c>
      <c r="F81" s="111" t="s">
        <v>2154</v>
      </c>
      <c r="G81" s="122" t="s">
        <v>1129</v>
      </c>
      <c r="H81" s="122"/>
      <c r="I81" s="111" t="s">
        <v>7</v>
      </c>
    </row>
    <row r="82" ht="60" customHeight="1" spans="1:9">
      <c r="A82" s="111" t="s">
        <v>2155</v>
      </c>
      <c r="B82" s="111" t="s">
        <v>2156</v>
      </c>
      <c r="C82" s="122" t="s">
        <v>1134</v>
      </c>
      <c r="D82" s="111" t="s">
        <v>2157</v>
      </c>
      <c r="E82" s="111" t="s">
        <v>2158</v>
      </c>
      <c r="F82" s="111" t="s">
        <v>2159</v>
      </c>
      <c r="G82" s="122" t="s">
        <v>1129</v>
      </c>
      <c r="H82" s="122"/>
      <c r="I82" s="111" t="s">
        <v>2160</v>
      </c>
    </row>
    <row r="83" ht="45" customHeight="1" spans="1:9">
      <c r="A83" s="111" t="s">
        <v>2161</v>
      </c>
      <c r="B83" s="111" t="s">
        <v>2162</v>
      </c>
      <c r="C83" s="122" t="s">
        <v>1135</v>
      </c>
      <c r="D83" s="111" t="s">
        <v>2163</v>
      </c>
      <c r="E83" s="111" t="s">
        <v>2164</v>
      </c>
      <c r="F83" s="111" t="s">
        <v>2165</v>
      </c>
      <c r="G83" s="122" t="s">
        <v>1129</v>
      </c>
      <c r="H83" s="122"/>
      <c r="I83" s="111" t="s">
        <v>2166</v>
      </c>
    </row>
    <row r="84" ht="15.75" spans="1:9">
      <c r="A84" s="127" t="s">
        <v>2167</v>
      </c>
      <c r="B84" s="16"/>
      <c r="C84" s="16"/>
      <c r="D84" s="16"/>
      <c r="E84" s="16"/>
      <c r="F84" s="16"/>
      <c r="G84" s="16"/>
      <c r="H84" s="16"/>
      <c r="I84" s="17"/>
    </row>
    <row r="85" ht="75" customHeight="1" spans="1:9">
      <c r="A85" s="111" t="s">
        <v>2168</v>
      </c>
      <c r="B85" s="111" t="s">
        <v>2169</v>
      </c>
      <c r="C85" s="122" t="s">
        <v>1133</v>
      </c>
      <c r="D85" s="111" t="s">
        <v>2170</v>
      </c>
      <c r="E85" s="111" t="s">
        <v>2171</v>
      </c>
      <c r="F85" s="111" t="s">
        <v>2172</v>
      </c>
      <c r="G85" s="122" t="s">
        <v>1129</v>
      </c>
      <c r="H85" s="122"/>
      <c r="I85" s="111" t="s">
        <v>7</v>
      </c>
    </row>
    <row r="86" ht="45" customHeight="1" spans="1:9">
      <c r="A86" s="111" t="s">
        <v>2173</v>
      </c>
      <c r="B86" s="111" t="s">
        <v>2174</v>
      </c>
      <c r="C86" s="122" t="s">
        <v>1134</v>
      </c>
      <c r="D86" s="111" t="s">
        <v>2175</v>
      </c>
      <c r="E86" s="111" t="s">
        <v>2176</v>
      </c>
      <c r="F86" s="111" t="s">
        <v>2177</v>
      </c>
      <c r="G86" s="122" t="s">
        <v>1129</v>
      </c>
      <c r="H86" s="122"/>
      <c r="I86" s="111" t="s">
        <v>2178</v>
      </c>
    </row>
    <row r="87" ht="60" customHeight="1" spans="1:9">
      <c r="A87" s="111" t="s">
        <v>2179</v>
      </c>
      <c r="B87" s="111" t="s">
        <v>2180</v>
      </c>
      <c r="C87" s="122" t="s">
        <v>1135</v>
      </c>
      <c r="D87" s="111" t="s">
        <v>2181</v>
      </c>
      <c r="E87" s="111" t="s">
        <v>2182</v>
      </c>
      <c r="F87" s="111" t="s">
        <v>2183</v>
      </c>
      <c r="G87" s="122" t="s">
        <v>1129</v>
      </c>
      <c r="H87" s="122"/>
      <c r="I87" s="111" t="s">
        <v>2184</v>
      </c>
    </row>
    <row r="88" ht="75" customHeight="1" spans="1:9">
      <c r="A88" s="111" t="s">
        <v>2185</v>
      </c>
      <c r="B88" s="111" t="s">
        <v>2186</v>
      </c>
      <c r="C88" s="122" t="s">
        <v>1135</v>
      </c>
      <c r="D88" s="111" t="s">
        <v>2187</v>
      </c>
      <c r="E88" s="111" t="s">
        <v>2188</v>
      </c>
      <c r="F88" s="111" t="s">
        <v>2189</v>
      </c>
      <c r="G88" s="122" t="s">
        <v>1129</v>
      </c>
      <c r="H88" s="122"/>
      <c r="I88" s="111" t="s">
        <v>2190</v>
      </c>
    </row>
  </sheetData>
  <mergeCells count="16">
    <mergeCell ref="A1:C1"/>
    <mergeCell ref="A3:C3"/>
    <mergeCell ref="A10:N10"/>
    <mergeCell ref="A47:I47"/>
    <mergeCell ref="A48:I48"/>
    <mergeCell ref="A49:I49"/>
    <mergeCell ref="A50:I50"/>
    <mergeCell ref="A51:I51"/>
    <mergeCell ref="A52:I52"/>
    <mergeCell ref="A53:I53"/>
    <mergeCell ref="A54:I54"/>
    <mergeCell ref="A55:I55"/>
    <mergeCell ref="A60:I60"/>
    <mergeCell ref="A68:I68"/>
    <mergeCell ref="A76:I76"/>
    <mergeCell ref="A84:I84"/>
  </mergeCells>
  <conditionalFormatting sqref="G60:G88">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0"/>
  <sheetViews>
    <sheetView workbookViewId="0">
      <selection activeCell="A1" sqref="A1:E1"/>
    </sheetView>
  </sheetViews>
  <sheetFormatPr defaultColWidth="9" defaultRowHeight="15"/>
  <cols>
    <col min="1" max="1" width="18" customWidth="1"/>
    <col min="2" max="2" width="24" customWidth="1"/>
    <col min="3" max="3" width="34" customWidth="1"/>
    <col min="4" max="4" width="18" customWidth="1"/>
    <col min="5" max="5" width="10" customWidth="1"/>
    <col min="6" max="6" width="34" customWidth="1"/>
    <col min="7" max="7" width="26" customWidth="1"/>
    <col min="8" max="8" width="30" customWidth="1"/>
    <col min="9" max="9" width="36" customWidth="1"/>
    <col min="10" max="10" width="10" customWidth="1"/>
    <col min="11" max="11" width="30" customWidth="1"/>
    <col min="12" max="12" width="9.14285714285714" customWidth="1"/>
  </cols>
  <sheetData>
    <row r="1" ht="20.25" spans="1:5">
      <c r="A1" s="74" t="s">
        <v>1295</v>
      </c>
    </row>
    <row r="2" spans="1:5">
      <c r="A2" s="75" t="s">
        <v>2191</v>
      </c>
      <c r="B2" s="16"/>
      <c r="C2" s="16"/>
      <c r="D2" s="16"/>
      <c r="E2" s="17"/>
    </row>
    <row r="3" ht="30" customHeight="1" spans="1:5">
      <c r="A3" s="76" t="s">
        <v>1297</v>
      </c>
      <c r="B3" s="17"/>
      <c r="C3" s="77" t="s">
        <v>2192</v>
      </c>
      <c r="D3" s="16"/>
      <c r="E3" s="17"/>
    </row>
    <row r="4" ht="30" customHeight="1" spans="1:5">
      <c r="A4" s="76" t="s">
        <v>1299</v>
      </c>
      <c r="B4" s="17"/>
      <c r="C4" s="77" t="s">
        <v>2193</v>
      </c>
      <c r="D4" s="16"/>
      <c r="E4" s="17"/>
    </row>
    <row r="5" ht="45" customHeight="1" spans="1:5">
      <c r="A5" s="76" t="s">
        <v>1301</v>
      </c>
      <c r="B5" s="17"/>
      <c r="C5" s="77" t="s">
        <v>2194</v>
      </c>
      <c r="D5" s="16"/>
      <c r="E5" s="17"/>
    </row>
    <row r="6" customHeight="1" spans="1:5">
      <c r="A6" s="76" t="s">
        <v>1303</v>
      </c>
      <c r="B6" s="17"/>
      <c r="C6" s="78" t="s">
        <v>2195</v>
      </c>
      <c r="D6" s="16"/>
      <c r="E6" s="17"/>
    </row>
    <row r="7" ht="30" customHeight="1" spans="1:5">
      <c r="A7" s="76" t="s">
        <v>1305</v>
      </c>
      <c r="B7" s="17"/>
      <c r="C7" s="77" t="s">
        <v>2196</v>
      </c>
      <c r="D7" s="16"/>
      <c r="E7" s="17"/>
    </row>
    <row r="8" ht="150" customHeight="1" spans="1:5">
      <c r="A8" s="76" t="s">
        <v>1307</v>
      </c>
      <c r="B8" s="17"/>
      <c r="C8" s="77" t="s">
        <v>2197</v>
      </c>
      <c r="D8" s="16"/>
      <c r="E8" s="17"/>
    </row>
    <row r="10" ht="16.5" spans="1:5">
      <c r="A10" s="79" t="s">
        <v>1309</v>
      </c>
    </row>
    <row r="11" spans="1:5">
      <c r="A11" s="80" t="s">
        <v>1310</v>
      </c>
    </row>
    <row r="12" spans="1:5">
      <c r="A12" s="81" t="s">
        <v>211</v>
      </c>
      <c r="B12" s="81" t="s">
        <v>1311</v>
      </c>
      <c r="C12" s="81" t="s">
        <v>1312</v>
      </c>
      <c r="D12" s="82"/>
      <c r="E12" s="81" t="s">
        <v>430</v>
      </c>
    </row>
    <row r="13" ht="75" customHeight="1" spans="1:5">
      <c r="A13" s="83">
        <v>1</v>
      </c>
      <c r="B13" s="84" t="s">
        <v>2198</v>
      </c>
      <c r="C13" s="85" t="s">
        <v>2199</v>
      </c>
      <c r="D13" s="17"/>
      <c r="E13" s="85" t="s">
        <v>2200</v>
      </c>
    </row>
    <row r="14" ht="60" customHeight="1" spans="1:5">
      <c r="A14" s="83">
        <v>2</v>
      </c>
      <c r="B14" s="84" t="s">
        <v>2201</v>
      </c>
      <c r="C14" s="84" t="s">
        <v>2202</v>
      </c>
      <c r="D14" s="17"/>
      <c r="E14" s="85" t="s">
        <v>2203</v>
      </c>
    </row>
    <row r="15" ht="30" customHeight="1" spans="1:5">
      <c r="A15" s="83">
        <v>3</v>
      </c>
      <c r="B15" s="84" t="s">
        <v>2204</v>
      </c>
      <c r="C15" s="85" t="s">
        <v>2205</v>
      </c>
      <c r="D15" s="17"/>
      <c r="E15" s="85" t="s">
        <v>2206</v>
      </c>
    </row>
    <row r="16" ht="30" customHeight="1" spans="1:5">
      <c r="A16" s="83">
        <v>4</v>
      </c>
      <c r="B16" s="84" t="s">
        <v>2207</v>
      </c>
      <c r="C16" s="84" t="s">
        <v>2208</v>
      </c>
      <c r="D16" s="17"/>
      <c r="E16" s="85" t="s">
        <v>2209</v>
      </c>
    </row>
    <row r="17" ht="45" customHeight="1" spans="1:5">
      <c r="A17" s="83">
        <v>5</v>
      </c>
      <c r="B17" s="84" t="s">
        <v>2210</v>
      </c>
      <c r="C17" s="84" t="s">
        <v>2211</v>
      </c>
      <c r="D17" s="17"/>
      <c r="E17" s="85" t="s">
        <v>2212</v>
      </c>
    </row>
    <row r="18" ht="30" customHeight="1" spans="1:5">
      <c r="A18" s="83">
        <v>6</v>
      </c>
      <c r="B18" s="84" t="s">
        <v>2213</v>
      </c>
      <c r="C18" s="84" t="s">
        <v>2214</v>
      </c>
      <c r="D18" s="17"/>
      <c r="E18" s="85" t="s">
        <v>2215</v>
      </c>
    </row>
    <row r="19" ht="60" customHeight="1" spans="1:5">
      <c r="A19" s="83">
        <v>7</v>
      </c>
      <c r="B19" s="85" t="s">
        <v>2216</v>
      </c>
      <c r="C19" s="85" t="s">
        <v>2217</v>
      </c>
      <c r="D19" s="17"/>
      <c r="E19" s="85" t="s">
        <v>2218</v>
      </c>
    </row>
    <row r="20" ht="60" customHeight="1" spans="1:5">
      <c r="A20" s="83">
        <v>8</v>
      </c>
      <c r="B20" s="85" t="s">
        <v>2219</v>
      </c>
      <c r="C20" s="85" t="s">
        <v>2220</v>
      </c>
      <c r="D20" s="17"/>
      <c r="E20" s="85" t="s">
        <v>2221</v>
      </c>
    </row>
    <row r="21" ht="60" customHeight="1" spans="1:5">
      <c r="A21" s="83">
        <v>9</v>
      </c>
      <c r="B21" s="85" t="s">
        <v>2222</v>
      </c>
      <c r="C21" s="85" t="s">
        <v>2223</v>
      </c>
      <c r="D21" s="17"/>
      <c r="E21" s="85" t="s">
        <v>2224</v>
      </c>
    </row>
    <row r="22" ht="45" customHeight="1" spans="1:5">
      <c r="A22" s="83">
        <v>10</v>
      </c>
      <c r="B22" s="85" t="s">
        <v>2225</v>
      </c>
      <c r="C22" s="84" t="s">
        <v>2226</v>
      </c>
      <c r="D22" s="17"/>
      <c r="E22" s="85" t="s">
        <v>2227</v>
      </c>
    </row>
    <row r="23" ht="75" customHeight="1" spans="1:5">
      <c r="A23" s="83">
        <v>11</v>
      </c>
      <c r="B23" s="85" t="s">
        <v>2228</v>
      </c>
      <c r="C23" s="85" t="s">
        <v>2229</v>
      </c>
      <c r="D23" s="17"/>
      <c r="E23" s="85" t="s">
        <v>2230</v>
      </c>
    </row>
    <row r="25" spans="1:5">
      <c r="A25" s="86" t="s">
        <v>1328</v>
      </c>
      <c r="B25" s="16"/>
      <c r="C25" s="16"/>
      <c r="D25" s="16"/>
      <c r="E25" s="17"/>
    </row>
    <row r="26" ht="45" customHeight="1" spans="1:5">
      <c r="A26" s="87">
        <v>1</v>
      </c>
      <c r="B26" s="88" t="s">
        <v>2231</v>
      </c>
      <c r="C26" s="89" t="s">
        <v>2232</v>
      </c>
      <c r="D26" s="16"/>
      <c r="E26" s="17"/>
    </row>
    <row r="27" ht="30" customHeight="1" spans="1:5">
      <c r="A27" s="87">
        <v>2</v>
      </c>
      <c r="B27" s="88" t="s">
        <v>2233</v>
      </c>
      <c r="C27" s="89" t="s">
        <v>2234</v>
      </c>
      <c r="D27" s="16"/>
      <c r="E27" s="17"/>
    </row>
    <row r="28" ht="30" customHeight="1" spans="1:5">
      <c r="A28" s="87">
        <v>3</v>
      </c>
      <c r="B28" s="88" t="s">
        <v>2235</v>
      </c>
      <c r="C28" s="89" t="s">
        <v>2236</v>
      </c>
      <c r="D28" s="16"/>
      <c r="E28" s="17"/>
    </row>
    <row r="29" ht="45" customHeight="1" spans="1:5">
      <c r="A29" s="87">
        <v>4</v>
      </c>
      <c r="B29" s="88" t="s">
        <v>2237</v>
      </c>
      <c r="C29" s="89" t="s">
        <v>2238</v>
      </c>
      <c r="D29" s="16"/>
      <c r="E29" s="17"/>
    </row>
    <row r="31" spans="1:5">
      <c r="A31" s="90" t="s">
        <v>1335</v>
      </c>
      <c r="B31" s="16"/>
      <c r="C31" s="16"/>
      <c r="D31" s="16"/>
      <c r="E31" s="17"/>
    </row>
    <row r="32" spans="1:5">
      <c r="A32" s="81" t="s">
        <v>211</v>
      </c>
      <c r="B32" s="81" t="s">
        <v>1311</v>
      </c>
      <c r="C32" s="81" t="s">
        <v>1336</v>
      </c>
      <c r="D32" s="91"/>
      <c r="E32" s="82"/>
    </row>
    <row r="33" ht="75" customHeight="1" spans="1:5">
      <c r="A33" s="87">
        <v>1</v>
      </c>
      <c r="B33" s="88" t="s">
        <v>2239</v>
      </c>
      <c r="C33" s="89" t="s">
        <v>2240</v>
      </c>
      <c r="D33" s="16"/>
      <c r="E33" s="17"/>
    </row>
    <row r="34" ht="30" customHeight="1" spans="1:5">
      <c r="A34" s="87">
        <v>2</v>
      </c>
      <c r="B34" s="88" t="s">
        <v>2241</v>
      </c>
      <c r="C34" s="89" t="s">
        <v>2242</v>
      </c>
      <c r="D34" s="16"/>
      <c r="E34" s="17"/>
    </row>
    <row r="35" customHeight="1" spans="1:5">
      <c r="A35" s="87">
        <v>3</v>
      </c>
      <c r="B35" s="88" t="s">
        <v>2243</v>
      </c>
      <c r="C35" s="89" t="s">
        <v>2244</v>
      </c>
      <c r="D35" s="16"/>
      <c r="E35" s="17"/>
    </row>
    <row r="36" ht="30" customHeight="1" spans="1:5">
      <c r="A36" s="87">
        <v>4</v>
      </c>
      <c r="B36" s="88" t="s">
        <v>1341</v>
      </c>
      <c r="C36" s="89" t="s">
        <v>2245</v>
      </c>
      <c r="D36" s="16"/>
      <c r="E36" s="17"/>
    </row>
    <row r="37" ht="30" customHeight="1" spans="1:5">
      <c r="A37" s="87">
        <v>5</v>
      </c>
      <c r="B37" s="88" t="s">
        <v>2246</v>
      </c>
      <c r="C37" s="89" t="s">
        <v>2247</v>
      </c>
      <c r="D37" s="16"/>
      <c r="E37" s="17"/>
    </row>
    <row r="38" ht="45" customHeight="1" spans="1:5">
      <c r="A38" s="87">
        <v>6</v>
      </c>
      <c r="B38" s="88" t="s">
        <v>2248</v>
      </c>
      <c r="C38" s="89" t="s">
        <v>2249</v>
      </c>
      <c r="D38" s="16"/>
      <c r="E38" s="17"/>
    </row>
    <row r="39" ht="45" customHeight="1" spans="1:5">
      <c r="A39" s="87">
        <v>7</v>
      </c>
      <c r="B39" s="88" t="s">
        <v>2250</v>
      </c>
      <c r="C39" s="89" t="s">
        <v>2251</v>
      </c>
      <c r="D39" s="16"/>
      <c r="E39" s="17"/>
    </row>
    <row r="40" ht="75" customHeight="1" spans="1:5">
      <c r="A40" s="87">
        <v>8</v>
      </c>
      <c r="B40" s="88" t="s">
        <v>2252</v>
      </c>
      <c r="C40" s="89" t="s">
        <v>2253</v>
      </c>
      <c r="D40" s="16"/>
      <c r="E40" s="17"/>
    </row>
    <row r="41" ht="45" customHeight="1" spans="1:5">
      <c r="A41" s="87">
        <v>9</v>
      </c>
      <c r="B41" s="88" t="s">
        <v>2254</v>
      </c>
      <c r="C41" s="89" t="s">
        <v>2255</v>
      </c>
      <c r="D41" s="16"/>
      <c r="E41" s="17"/>
    </row>
    <row r="43" spans="1:5">
      <c r="A43" s="86" t="s">
        <v>1349</v>
      </c>
      <c r="B43" s="16"/>
      <c r="C43" s="16"/>
      <c r="D43" s="16"/>
      <c r="E43" s="17"/>
    </row>
    <row r="44" ht="25.5" spans="1:5">
      <c r="A44" s="81" t="s">
        <v>1350</v>
      </c>
      <c r="B44" s="81" t="s">
        <v>1351</v>
      </c>
      <c r="C44" s="81" t="s">
        <v>1352</v>
      </c>
      <c r="D44" s="81" t="s">
        <v>1353</v>
      </c>
      <c r="E44" s="81" t="s">
        <v>1354</v>
      </c>
    </row>
    <row r="45" ht="25.5" spans="1:5">
      <c r="A45" s="85" t="s">
        <v>2256</v>
      </c>
      <c r="B45" s="85" t="s">
        <v>2257</v>
      </c>
      <c r="C45" s="92">
        <v>0.59</v>
      </c>
      <c r="D45" s="92">
        <v>0.374</v>
      </c>
      <c r="E45" s="93" t="s">
        <v>2258</v>
      </c>
    </row>
    <row r="46" ht="25.5" spans="1:5">
      <c r="A46" s="85" t="s">
        <v>2259</v>
      </c>
      <c r="B46" s="85" t="s">
        <v>2257</v>
      </c>
      <c r="C46" s="92">
        <v>0.877</v>
      </c>
      <c r="D46" s="92">
        <v>0.786</v>
      </c>
      <c r="E46" s="93" t="s">
        <v>2260</v>
      </c>
    </row>
    <row r="47" ht="25.5" spans="1:5">
      <c r="A47" s="85" t="s">
        <v>2261</v>
      </c>
      <c r="B47" s="85" t="s">
        <v>2257</v>
      </c>
      <c r="C47" s="92">
        <v>0.5</v>
      </c>
      <c r="D47" s="92">
        <v>0.367</v>
      </c>
      <c r="E47" s="93" t="s">
        <v>2262</v>
      </c>
    </row>
    <row r="48" ht="25.5" spans="1:5">
      <c r="A48" s="85" t="s">
        <v>2263</v>
      </c>
      <c r="B48" s="85" t="s">
        <v>2257</v>
      </c>
      <c r="C48" s="92">
        <v>0.444</v>
      </c>
      <c r="D48" s="92">
        <v>0.375</v>
      </c>
      <c r="E48" s="93" t="s">
        <v>2264</v>
      </c>
    </row>
    <row r="49" ht="25.5" spans="1:5">
      <c r="A49" s="85" t="s">
        <v>2265</v>
      </c>
      <c r="B49" s="85" t="s">
        <v>2257</v>
      </c>
      <c r="C49" s="92">
        <v>0.466</v>
      </c>
      <c r="D49" s="92">
        <v>0.423</v>
      </c>
      <c r="E49" s="93" t="s">
        <v>2266</v>
      </c>
    </row>
    <row r="50" ht="25.5" spans="1:5">
      <c r="A50" s="85" t="s">
        <v>2267</v>
      </c>
      <c r="B50" s="85" t="s">
        <v>2257</v>
      </c>
      <c r="C50" s="92">
        <v>0.397</v>
      </c>
      <c r="D50" s="92">
        <v>0.286</v>
      </c>
      <c r="E50" s="93" t="s">
        <v>2268</v>
      </c>
    </row>
    <row r="51" ht="30" spans="1:5">
      <c r="A51" s="80" t="s">
        <v>1365</v>
      </c>
      <c r="B51" s="80" t="s">
        <v>7</v>
      </c>
      <c r="C51" s="94">
        <v>0.571</v>
      </c>
      <c r="D51" s="94">
        <v>0.391</v>
      </c>
      <c r="E51" s="80" t="s">
        <v>7</v>
      </c>
    </row>
    <row r="52" ht="45" customHeight="1" spans="1:5">
      <c r="A52" s="95" t="s">
        <v>1366</v>
      </c>
      <c r="B52" s="16"/>
      <c r="C52" s="16"/>
      <c r="D52" s="16"/>
      <c r="E52" s="17"/>
    </row>
    <row r="54" spans="1:5">
      <c r="A54" s="80" t="s">
        <v>2269</v>
      </c>
    </row>
    <row r="55" ht="25.5" spans="1:5">
      <c r="A55" s="81" t="s">
        <v>1350</v>
      </c>
      <c r="B55" s="81" t="s">
        <v>1351</v>
      </c>
      <c r="C55" s="81" t="s">
        <v>1352</v>
      </c>
      <c r="D55" s="81" t="s">
        <v>1353</v>
      </c>
      <c r="E55" s="81" t="s">
        <v>1354</v>
      </c>
    </row>
    <row r="56" ht="25.5" spans="1:5">
      <c r="A56" s="85" t="s">
        <v>2270</v>
      </c>
      <c r="B56" s="85" t="s">
        <v>2271</v>
      </c>
      <c r="C56" s="92">
        <v>1</v>
      </c>
      <c r="D56" s="92">
        <v>1</v>
      </c>
      <c r="E56" s="93" t="s">
        <v>2272</v>
      </c>
    </row>
    <row r="57" ht="25.5" spans="1:5">
      <c r="A57" s="85" t="s">
        <v>2273</v>
      </c>
      <c r="B57" s="85" t="s">
        <v>2271</v>
      </c>
      <c r="C57" s="92">
        <v>0.613</v>
      </c>
      <c r="D57" s="92">
        <v>0.5</v>
      </c>
      <c r="E57" s="93" t="s">
        <v>2274</v>
      </c>
    </row>
    <row r="58" ht="25.5" spans="1:5">
      <c r="A58" s="85" t="s">
        <v>2275</v>
      </c>
      <c r="B58" s="85" t="s">
        <v>2271</v>
      </c>
      <c r="C58" s="92">
        <v>0.862</v>
      </c>
      <c r="D58" s="92">
        <v>0.719</v>
      </c>
      <c r="E58" s="93" t="s">
        <v>2276</v>
      </c>
    </row>
    <row r="59" ht="25.5" spans="1:5">
      <c r="A59" s="85" t="s">
        <v>2277</v>
      </c>
      <c r="B59" s="85" t="s">
        <v>2271</v>
      </c>
      <c r="C59" s="92">
        <v>0.487</v>
      </c>
      <c r="D59" s="92">
        <v>0.333</v>
      </c>
      <c r="E59" s="93" t="s">
        <v>2278</v>
      </c>
    </row>
    <row r="60" ht="25.5" spans="1:5">
      <c r="A60" s="85" t="s">
        <v>2279</v>
      </c>
      <c r="B60" s="85" t="s">
        <v>2271</v>
      </c>
      <c r="C60" s="92">
        <v>0.538</v>
      </c>
      <c r="D60" s="92">
        <v>0.25</v>
      </c>
      <c r="E60" s="93" t="s">
        <v>2280</v>
      </c>
    </row>
    <row r="61" ht="25.5" spans="1:5">
      <c r="A61" s="85" t="s">
        <v>2281</v>
      </c>
      <c r="B61" s="85" t="s">
        <v>2271</v>
      </c>
      <c r="C61" s="92">
        <v>0.687</v>
      </c>
      <c r="D61" s="92">
        <v>0.667</v>
      </c>
      <c r="E61" s="93" t="s">
        <v>2282</v>
      </c>
    </row>
    <row r="62" ht="30" spans="1:5">
      <c r="A62" s="80" t="s">
        <v>1365</v>
      </c>
      <c r="B62" s="80" t="s">
        <v>7</v>
      </c>
      <c r="C62" s="94">
        <v>0.688</v>
      </c>
      <c r="D62" s="94">
        <v>0.586</v>
      </c>
      <c r="E62" s="80" t="s">
        <v>7</v>
      </c>
    </row>
    <row r="63" ht="45" customHeight="1" spans="1:5">
      <c r="A63" s="95" t="s">
        <v>2283</v>
      </c>
      <c r="B63" s="16"/>
      <c r="C63" s="16"/>
      <c r="D63" s="16"/>
      <c r="E63" s="17"/>
    </row>
    <row r="65" ht="45" customHeight="1" spans="1:11">
      <c r="A65" s="95" t="s">
        <v>2284</v>
      </c>
      <c r="B65" s="16"/>
      <c r="C65" s="16"/>
      <c r="D65" s="16"/>
      <c r="E65" s="17"/>
    </row>
    <row r="68" spans="1:11">
      <c r="A68" s="96" t="s">
        <v>1367</v>
      </c>
      <c r="B68" s="91"/>
      <c r="C68" s="91"/>
      <c r="D68" s="91"/>
      <c r="E68" s="91"/>
      <c r="F68" s="91"/>
      <c r="G68" s="91"/>
      <c r="H68" s="91"/>
      <c r="I68" s="91"/>
      <c r="J68" s="91"/>
      <c r="K68" s="82"/>
    </row>
    <row r="69" ht="33" spans="1:11">
      <c r="A69" s="97" t="s">
        <v>1368</v>
      </c>
      <c r="B69" s="97" t="s">
        <v>1369</v>
      </c>
      <c r="C69" s="97" t="s">
        <v>1370</v>
      </c>
      <c r="D69" s="97" t="s">
        <v>1371</v>
      </c>
      <c r="E69" s="97" t="s">
        <v>1372</v>
      </c>
      <c r="F69" s="97" t="s">
        <v>1373</v>
      </c>
      <c r="G69" s="97" t="s">
        <v>1374</v>
      </c>
      <c r="H69" s="97" t="s">
        <v>1375</v>
      </c>
      <c r="I69" s="97" t="s">
        <v>1376</v>
      </c>
      <c r="J69" s="97" t="s">
        <v>1377</v>
      </c>
      <c r="K69" s="97" t="s">
        <v>1378</v>
      </c>
    </row>
    <row r="70" spans="1:11">
      <c r="A70" s="98" t="s">
        <v>2198</v>
      </c>
      <c r="B70" s="99"/>
      <c r="C70" s="99"/>
      <c r="D70" s="99"/>
      <c r="E70" s="99"/>
      <c r="F70" s="99"/>
      <c r="G70" s="99"/>
      <c r="H70" s="99"/>
      <c r="I70" s="99"/>
      <c r="J70" s="99"/>
      <c r="K70" s="100"/>
    </row>
    <row r="71" ht="45" customHeight="1" spans="1:11">
      <c r="A71" s="101" t="s">
        <v>2285</v>
      </c>
      <c r="B71" s="101" t="s">
        <v>2198</v>
      </c>
      <c r="C71" s="101" t="s">
        <v>2286</v>
      </c>
      <c r="D71" s="101" t="s">
        <v>2287</v>
      </c>
      <c r="E71" s="102" t="s">
        <v>7</v>
      </c>
      <c r="F71" s="101" t="s">
        <v>2288</v>
      </c>
      <c r="G71" s="101" t="s">
        <v>2289</v>
      </c>
      <c r="H71" s="101" t="s">
        <v>2290</v>
      </c>
      <c r="I71" s="101" t="s">
        <v>2291</v>
      </c>
      <c r="J71" s="102" t="s">
        <v>1385</v>
      </c>
      <c r="K71" s="101" t="s">
        <v>1404</v>
      </c>
    </row>
    <row r="72" ht="45" customHeight="1" spans="1:11">
      <c r="A72" s="101" t="s">
        <v>2292</v>
      </c>
      <c r="B72" s="101" t="s">
        <v>2198</v>
      </c>
      <c r="C72" s="101" t="s">
        <v>2286</v>
      </c>
      <c r="D72" s="101" t="s">
        <v>2287</v>
      </c>
      <c r="E72" s="102" t="s">
        <v>7</v>
      </c>
      <c r="F72" s="101" t="s">
        <v>2293</v>
      </c>
      <c r="G72" s="101" t="s">
        <v>2294</v>
      </c>
      <c r="H72" s="101" t="s">
        <v>2295</v>
      </c>
      <c r="I72" s="101" t="s">
        <v>2296</v>
      </c>
      <c r="J72" s="102" t="s">
        <v>1385</v>
      </c>
      <c r="K72" s="101" t="s">
        <v>1404</v>
      </c>
    </row>
    <row r="73" ht="60" customHeight="1" spans="1:11">
      <c r="A73" s="101" t="s">
        <v>2297</v>
      </c>
      <c r="B73" s="101" t="s">
        <v>2198</v>
      </c>
      <c r="C73" s="101" t="s">
        <v>2286</v>
      </c>
      <c r="D73" s="101" t="s">
        <v>2287</v>
      </c>
      <c r="E73" s="102" t="s">
        <v>7</v>
      </c>
      <c r="F73" s="101" t="s">
        <v>2298</v>
      </c>
      <c r="G73" s="101" t="s">
        <v>2299</v>
      </c>
      <c r="H73" s="101" t="s">
        <v>2300</v>
      </c>
      <c r="I73" s="101" t="s">
        <v>2301</v>
      </c>
      <c r="J73" s="102" t="s">
        <v>1385</v>
      </c>
      <c r="K73" s="101" t="s">
        <v>1404</v>
      </c>
    </row>
    <row r="74" ht="45" customHeight="1" spans="1:11">
      <c r="A74" s="101" t="s">
        <v>2302</v>
      </c>
      <c r="B74" s="101" t="s">
        <v>2198</v>
      </c>
      <c r="C74" s="101" t="s">
        <v>2286</v>
      </c>
      <c r="D74" s="101" t="s">
        <v>2303</v>
      </c>
      <c r="E74" s="102" t="s">
        <v>7</v>
      </c>
      <c r="F74" s="101" t="s">
        <v>2304</v>
      </c>
      <c r="G74" s="101" t="s">
        <v>2305</v>
      </c>
      <c r="H74" s="101" t="s">
        <v>2306</v>
      </c>
      <c r="I74" s="101" t="s">
        <v>2307</v>
      </c>
      <c r="J74" s="102" t="s">
        <v>1385</v>
      </c>
      <c r="K74" s="101" t="s">
        <v>1404</v>
      </c>
    </row>
    <row r="75" ht="45" customHeight="1" spans="1:11">
      <c r="A75" s="101" t="s">
        <v>2308</v>
      </c>
      <c r="B75" s="101" t="s">
        <v>2198</v>
      </c>
      <c r="C75" s="101" t="s">
        <v>2286</v>
      </c>
      <c r="D75" s="101" t="s">
        <v>2303</v>
      </c>
      <c r="E75" s="102" t="s">
        <v>7</v>
      </c>
      <c r="F75" s="101" t="s">
        <v>2309</v>
      </c>
      <c r="G75" s="101" t="s">
        <v>2310</v>
      </c>
      <c r="H75" s="101" t="s">
        <v>2311</v>
      </c>
      <c r="I75" s="101" t="s">
        <v>2312</v>
      </c>
      <c r="J75" s="102" t="s">
        <v>1385</v>
      </c>
      <c r="K75" s="101" t="s">
        <v>1404</v>
      </c>
    </row>
    <row r="76" ht="45" customHeight="1" spans="1:11">
      <c r="A76" s="101" t="s">
        <v>2313</v>
      </c>
      <c r="B76" s="101" t="s">
        <v>2198</v>
      </c>
      <c r="C76" s="101" t="s">
        <v>2286</v>
      </c>
      <c r="D76" s="101" t="s">
        <v>2303</v>
      </c>
      <c r="E76" s="102" t="s">
        <v>7</v>
      </c>
      <c r="F76" s="101" t="s">
        <v>2314</v>
      </c>
      <c r="G76" s="101" t="s">
        <v>2315</v>
      </c>
      <c r="H76" s="101" t="s">
        <v>2316</v>
      </c>
      <c r="I76" s="101" t="s">
        <v>2317</v>
      </c>
      <c r="J76" s="102" t="s">
        <v>1385</v>
      </c>
      <c r="K76" s="101" t="s">
        <v>1404</v>
      </c>
    </row>
    <row r="77" ht="45" customHeight="1" spans="1:11">
      <c r="A77" s="101" t="s">
        <v>2318</v>
      </c>
      <c r="B77" s="101" t="s">
        <v>2198</v>
      </c>
      <c r="C77" s="101" t="s">
        <v>2286</v>
      </c>
      <c r="D77" s="101" t="s">
        <v>2319</v>
      </c>
      <c r="E77" s="102" t="s">
        <v>7</v>
      </c>
      <c r="F77" s="101" t="s">
        <v>2320</v>
      </c>
      <c r="G77" s="101" t="s">
        <v>2321</v>
      </c>
      <c r="H77" s="101" t="s">
        <v>2322</v>
      </c>
      <c r="I77" s="101" t="s">
        <v>2323</v>
      </c>
      <c r="J77" s="102" t="s">
        <v>1385</v>
      </c>
      <c r="K77" s="101" t="s">
        <v>1404</v>
      </c>
    </row>
    <row r="78" spans="1:11">
      <c r="A78" s="98" t="s">
        <v>2201</v>
      </c>
      <c r="B78" s="99"/>
      <c r="C78" s="99"/>
      <c r="D78" s="99"/>
      <c r="E78" s="99"/>
      <c r="F78" s="99"/>
      <c r="G78" s="99"/>
      <c r="H78" s="99"/>
      <c r="I78" s="99"/>
      <c r="J78" s="99"/>
      <c r="K78" s="100"/>
    </row>
    <row r="79" ht="45" customHeight="1" spans="1:11">
      <c r="A79" s="101" t="s">
        <v>2324</v>
      </c>
      <c r="B79" s="101" t="s">
        <v>2201</v>
      </c>
      <c r="C79" s="101" t="s">
        <v>2325</v>
      </c>
      <c r="D79" s="101" t="s">
        <v>2326</v>
      </c>
      <c r="E79" s="102" t="s">
        <v>7</v>
      </c>
      <c r="F79" s="101" t="s">
        <v>2327</v>
      </c>
      <c r="G79" s="101" t="s">
        <v>428</v>
      </c>
      <c r="H79" s="101" t="s">
        <v>2328</v>
      </c>
      <c r="I79" s="101" t="s">
        <v>2329</v>
      </c>
      <c r="J79" s="102" t="s">
        <v>1385</v>
      </c>
      <c r="K79" s="101" t="s">
        <v>1404</v>
      </c>
    </row>
    <row r="80" ht="45" customHeight="1" spans="1:11">
      <c r="A80" s="101" t="s">
        <v>2330</v>
      </c>
      <c r="B80" s="101" t="s">
        <v>2201</v>
      </c>
      <c r="C80" s="101" t="s">
        <v>2325</v>
      </c>
      <c r="D80" s="101" t="s">
        <v>2326</v>
      </c>
      <c r="E80" s="102" t="s">
        <v>7</v>
      </c>
      <c r="F80" s="101" t="s">
        <v>2331</v>
      </c>
      <c r="G80" s="101" t="s">
        <v>2332</v>
      </c>
      <c r="H80" s="101" t="s">
        <v>2333</v>
      </c>
      <c r="I80" s="101" t="s">
        <v>2334</v>
      </c>
      <c r="J80" s="102" t="s">
        <v>1385</v>
      </c>
      <c r="K80" s="101" t="s">
        <v>1404</v>
      </c>
    </row>
    <row r="81" ht="45" customHeight="1" spans="1:11">
      <c r="A81" s="101" t="s">
        <v>2335</v>
      </c>
      <c r="B81" s="101" t="s">
        <v>2201</v>
      </c>
      <c r="C81" s="101" t="s">
        <v>2325</v>
      </c>
      <c r="D81" s="101" t="s">
        <v>2326</v>
      </c>
      <c r="E81" s="102" t="s">
        <v>7</v>
      </c>
      <c r="F81" s="101" t="s">
        <v>2336</v>
      </c>
      <c r="G81" s="101" t="s">
        <v>2337</v>
      </c>
      <c r="H81" s="101" t="s">
        <v>2333</v>
      </c>
      <c r="I81" s="101" t="s">
        <v>2338</v>
      </c>
      <c r="J81" s="102" t="s">
        <v>1385</v>
      </c>
      <c r="K81" s="101" t="s">
        <v>1404</v>
      </c>
    </row>
    <row r="82" ht="45" customHeight="1" spans="1:11">
      <c r="A82" s="101" t="s">
        <v>2339</v>
      </c>
      <c r="B82" s="101" t="s">
        <v>2201</v>
      </c>
      <c r="C82" s="101" t="s">
        <v>2325</v>
      </c>
      <c r="D82" s="101" t="s">
        <v>2326</v>
      </c>
      <c r="E82" s="102" t="s">
        <v>7</v>
      </c>
      <c r="F82" s="101" t="s">
        <v>2340</v>
      </c>
      <c r="G82" s="101" t="s">
        <v>2341</v>
      </c>
      <c r="H82" s="101" t="s">
        <v>2342</v>
      </c>
      <c r="I82" s="101" t="s">
        <v>2343</v>
      </c>
      <c r="J82" s="102" t="s">
        <v>1385</v>
      </c>
      <c r="K82" s="101" t="s">
        <v>1404</v>
      </c>
    </row>
    <row r="83" ht="45" customHeight="1" spans="1:11">
      <c r="A83" s="101" t="s">
        <v>2344</v>
      </c>
      <c r="B83" s="101" t="s">
        <v>2201</v>
      </c>
      <c r="C83" s="101" t="s">
        <v>2325</v>
      </c>
      <c r="D83" s="101" t="s">
        <v>2345</v>
      </c>
      <c r="E83" s="102" t="s">
        <v>7</v>
      </c>
      <c r="F83" s="101" t="s">
        <v>2346</v>
      </c>
      <c r="G83" s="101" t="s">
        <v>2347</v>
      </c>
      <c r="H83" s="101" t="s">
        <v>2348</v>
      </c>
      <c r="I83" s="101" t="s">
        <v>2349</v>
      </c>
      <c r="J83" s="102" t="s">
        <v>1385</v>
      </c>
      <c r="K83" s="101" t="s">
        <v>1404</v>
      </c>
    </row>
    <row r="84" spans="1:11">
      <c r="A84" s="98" t="s">
        <v>2204</v>
      </c>
      <c r="B84" s="99"/>
      <c r="C84" s="99"/>
      <c r="D84" s="99"/>
      <c r="E84" s="99"/>
      <c r="F84" s="99"/>
      <c r="G84" s="99"/>
      <c r="H84" s="99"/>
      <c r="I84" s="99"/>
      <c r="J84" s="99"/>
      <c r="K84" s="100"/>
    </row>
    <row r="85" ht="45" customHeight="1" spans="1:11">
      <c r="A85" s="101" t="s">
        <v>2350</v>
      </c>
      <c r="B85" s="101" t="s">
        <v>2204</v>
      </c>
      <c r="C85" s="101" t="s">
        <v>2351</v>
      </c>
      <c r="D85" s="101" t="s">
        <v>2352</v>
      </c>
      <c r="E85" s="102" t="s">
        <v>7</v>
      </c>
      <c r="F85" s="101" t="s">
        <v>2353</v>
      </c>
      <c r="G85" s="101" t="s">
        <v>2354</v>
      </c>
      <c r="H85" s="101" t="s">
        <v>2355</v>
      </c>
      <c r="I85" s="101" t="s">
        <v>2356</v>
      </c>
      <c r="J85" s="102" t="s">
        <v>1385</v>
      </c>
      <c r="K85" s="101" t="s">
        <v>1404</v>
      </c>
    </row>
    <row r="86" ht="45" customHeight="1" spans="1:11">
      <c r="A86" s="101" t="s">
        <v>2357</v>
      </c>
      <c r="B86" s="101" t="s">
        <v>2204</v>
      </c>
      <c r="C86" s="101" t="s">
        <v>2351</v>
      </c>
      <c r="D86" s="101" t="s">
        <v>2358</v>
      </c>
      <c r="E86" s="102" t="s">
        <v>7</v>
      </c>
      <c r="F86" s="101" t="s">
        <v>2359</v>
      </c>
      <c r="G86" s="101" t="s">
        <v>2360</v>
      </c>
      <c r="H86" s="101" t="s">
        <v>2361</v>
      </c>
      <c r="I86" s="101" t="s">
        <v>2362</v>
      </c>
      <c r="J86" s="102" t="s">
        <v>1385</v>
      </c>
      <c r="K86" s="101" t="s">
        <v>1404</v>
      </c>
    </row>
    <row r="87" ht="45" customHeight="1" spans="1:11">
      <c r="A87" s="101" t="s">
        <v>2363</v>
      </c>
      <c r="B87" s="101" t="s">
        <v>2204</v>
      </c>
      <c r="C87" s="101" t="s">
        <v>2351</v>
      </c>
      <c r="D87" s="101" t="s">
        <v>2358</v>
      </c>
      <c r="E87" s="102" t="s">
        <v>7</v>
      </c>
      <c r="F87" s="101" t="s">
        <v>2364</v>
      </c>
      <c r="G87" s="101" t="s">
        <v>2365</v>
      </c>
      <c r="H87" s="101" t="s">
        <v>2366</v>
      </c>
      <c r="I87" s="101" t="s">
        <v>2367</v>
      </c>
      <c r="J87" s="102" t="s">
        <v>1385</v>
      </c>
      <c r="K87" s="101" t="s">
        <v>1404</v>
      </c>
    </row>
    <row r="88" spans="1:11">
      <c r="A88" s="98" t="s">
        <v>2207</v>
      </c>
      <c r="B88" s="99"/>
      <c r="C88" s="99"/>
      <c r="D88" s="99"/>
      <c r="E88" s="99"/>
      <c r="F88" s="99"/>
      <c r="G88" s="99"/>
      <c r="H88" s="99"/>
      <c r="I88" s="99"/>
      <c r="J88" s="99"/>
      <c r="K88" s="100"/>
    </row>
    <row r="89" ht="60" customHeight="1" spans="1:11">
      <c r="A89" s="101" t="s">
        <v>2368</v>
      </c>
      <c r="B89" s="101" t="s">
        <v>2207</v>
      </c>
      <c r="C89" s="101" t="s">
        <v>2369</v>
      </c>
      <c r="D89" s="101" t="s">
        <v>2208</v>
      </c>
      <c r="E89" s="102" t="s">
        <v>7</v>
      </c>
      <c r="F89" s="101" t="s">
        <v>2370</v>
      </c>
      <c r="G89" s="101" t="s">
        <v>2371</v>
      </c>
      <c r="H89" s="101" t="s">
        <v>2372</v>
      </c>
      <c r="I89" s="101" t="s">
        <v>2373</v>
      </c>
      <c r="J89" s="102" t="s">
        <v>1385</v>
      </c>
      <c r="K89" s="101" t="s">
        <v>1404</v>
      </c>
    </row>
    <row r="90" spans="1:11">
      <c r="A90" s="98" t="s">
        <v>2210</v>
      </c>
      <c r="B90" s="99"/>
      <c r="C90" s="99"/>
      <c r="D90" s="99"/>
      <c r="E90" s="99"/>
      <c r="F90" s="99"/>
      <c r="G90" s="99"/>
      <c r="H90" s="99"/>
      <c r="I90" s="99"/>
      <c r="J90" s="99"/>
      <c r="K90" s="100"/>
    </row>
    <row r="91" ht="45" customHeight="1" spans="1:11">
      <c r="A91" s="101" t="s">
        <v>2374</v>
      </c>
      <c r="B91" s="101" t="s">
        <v>2210</v>
      </c>
      <c r="C91" s="101" t="s">
        <v>2375</v>
      </c>
      <c r="D91" s="101" t="s">
        <v>2211</v>
      </c>
      <c r="E91" s="102" t="s">
        <v>7</v>
      </c>
      <c r="F91" s="101" t="s">
        <v>2376</v>
      </c>
      <c r="G91" s="101" t="s">
        <v>2377</v>
      </c>
      <c r="H91" s="101" t="s">
        <v>2378</v>
      </c>
      <c r="I91" s="101" t="s">
        <v>2379</v>
      </c>
      <c r="J91" s="102" t="s">
        <v>1385</v>
      </c>
      <c r="K91" s="101" t="s">
        <v>1404</v>
      </c>
    </row>
    <row r="92" ht="45" customHeight="1" spans="1:11">
      <c r="A92" s="101" t="s">
        <v>2380</v>
      </c>
      <c r="B92" s="101" t="s">
        <v>2210</v>
      </c>
      <c r="C92" s="101" t="s">
        <v>2375</v>
      </c>
      <c r="D92" s="101" t="s">
        <v>2211</v>
      </c>
      <c r="E92" s="102" t="s">
        <v>7</v>
      </c>
      <c r="F92" s="101" t="s">
        <v>2381</v>
      </c>
      <c r="G92" s="101" t="s">
        <v>2382</v>
      </c>
      <c r="H92" s="101" t="s">
        <v>2383</v>
      </c>
      <c r="I92" s="101" t="s">
        <v>2384</v>
      </c>
      <c r="J92" s="102" t="s">
        <v>1385</v>
      </c>
      <c r="K92" s="101" t="s">
        <v>1404</v>
      </c>
    </row>
    <row r="93" spans="1:11">
      <c r="A93" s="98" t="s">
        <v>2213</v>
      </c>
      <c r="B93" s="99"/>
      <c r="C93" s="99"/>
      <c r="D93" s="99"/>
      <c r="E93" s="99"/>
      <c r="F93" s="99"/>
      <c r="G93" s="99"/>
      <c r="H93" s="99"/>
      <c r="I93" s="99"/>
      <c r="J93" s="99"/>
      <c r="K93" s="100"/>
    </row>
    <row r="94" ht="45" customHeight="1" spans="1:11">
      <c r="A94" s="101" t="s">
        <v>2385</v>
      </c>
      <c r="B94" s="101" t="s">
        <v>2213</v>
      </c>
      <c r="C94" s="101" t="s">
        <v>2386</v>
      </c>
      <c r="D94" s="101" t="s">
        <v>2387</v>
      </c>
      <c r="E94" s="102" t="s">
        <v>7</v>
      </c>
      <c r="F94" s="101" t="s">
        <v>2388</v>
      </c>
      <c r="G94" s="101" t="s">
        <v>2389</v>
      </c>
      <c r="H94" s="101" t="s">
        <v>2390</v>
      </c>
      <c r="I94" s="101" t="s">
        <v>2391</v>
      </c>
      <c r="J94" s="102" t="s">
        <v>1385</v>
      </c>
      <c r="K94" s="101" t="s">
        <v>1404</v>
      </c>
    </row>
    <row r="95" ht="45" customHeight="1" spans="1:11">
      <c r="A95" s="101" t="s">
        <v>2392</v>
      </c>
      <c r="B95" s="101" t="s">
        <v>2213</v>
      </c>
      <c r="C95" s="101" t="s">
        <v>2386</v>
      </c>
      <c r="D95" s="101" t="s">
        <v>2393</v>
      </c>
      <c r="E95" s="102" t="s">
        <v>7</v>
      </c>
      <c r="F95" s="101" t="s">
        <v>2394</v>
      </c>
      <c r="G95" s="101" t="s">
        <v>2395</v>
      </c>
      <c r="H95" s="101" t="s">
        <v>2396</v>
      </c>
      <c r="I95" s="101" t="s">
        <v>2397</v>
      </c>
      <c r="J95" s="102" t="s">
        <v>1385</v>
      </c>
      <c r="K95" s="101" t="s">
        <v>1404</v>
      </c>
    </row>
    <row r="96" spans="1:11">
      <c r="A96" s="98" t="s">
        <v>2198</v>
      </c>
      <c r="B96" s="99"/>
      <c r="C96" s="99"/>
      <c r="D96" s="99"/>
      <c r="E96" s="99"/>
      <c r="F96" s="99"/>
      <c r="G96" s="99"/>
      <c r="H96" s="99"/>
      <c r="I96" s="99"/>
      <c r="J96" s="99"/>
      <c r="K96" s="100"/>
    </row>
    <row r="97" ht="45" customHeight="1" spans="1:11">
      <c r="A97" s="101" t="s">
        <v>2398</v>
      </c>
      <c r="B97" s="101" t="s">
        <v>2198</v>
      </c>
      <c r="C97" s="101" t="s">
        <v>2399</v>
      </c>
      <c r="D97" s="101" t="s">
        <v>2287</v>
      </c>
      <c r="E97" s="102" t="s">
        <v>7</v>
      </c>
      <c r="F97" s="101" t="s">
        <v>2400</v>
      </c>
      <c r="G97" s="101" t="s">
        <v>2401</v>
      </c>
      <c r="H97" s="101" t="s">
        <v>2402</v>
      </c>
      <c r="I97" s="101" t="s">
        <v>2403</v>
      </c>
      <c r="J97" s="102" t="s">
        <v>1508</v>
      </c>
      <c r="K97" s="101" t="s">
        <v>1404</v>
      </c>
    </row>
    <row r="98" spans="1:11">
      <c r="A98" s="98" t="s">
        <v>2201</v>
      </c>
      <c r="B98" s="99"/>
      <c r="C98" s="99"/>
      <c r="D98" s="99"/>
      <c r="E98" s="99"/>
      <c r="F98" s="99"/>
      <c r="G98" s="99"/>
      <c r="H98" s="99"/>
      <c r="I98" s="99"/>
      <c r="J98" s="99"/>
      <c r="K98" s="100"/>
    </row>
    <row r="99" ht="45" customHeight="1" spans="1:11">
      <c r="A99" s="101" t="s">
        <v>2404</v>
      </c>
      <c r="B99" s="101" t="s">
        <v>2201</v>
      </c>
      <c r="C99" s="101" t="s">
        <v>2405</v>
      </c>
      <c r="D99" s="101" t="s">
        <v>2326</v>
      </c>
      <c r="E99" s="102" t="s">
        <v>7</v>
      </c>
      <c r="F99" s="101" t="s">
        <v>2406</v>
      </c>
      <c r="G99" s="101" t="s">
        <v>2407</v>
      </c>
      <c r="H99" s="101" t="s">
        <v>2408</v>
      </c>
      <c r="I99" s="101" t="s">
        <v>2409</v>
      </c>
      <c r="J99" s="102" t="s">
        <v>1508</v>
      </c>
      <c r="K99" s="101" t="s">
        <v>1404</v>
      </c>
    </row>
    <row r="100" ht="45" customHeight="1" spans="1:11">
      <c r="A100" s="101" t="s">
        <v>2410</v>
      </c>
      <c r="B100" s="101" t="s">
        <v>2201</v>
      </c>
      <c r="C100" s="101" t="s">
        <v>2405</v>
      </c>
      <c r="D100" s="101" t="s">
        <v>2326</v>
      </c>
      <c r="E100" s="102" t="s">
        <v>7</v>
      </c>
      <c r="F100" s="101" t="s">
        <v>2411</v>
      </c>
      <c r="G100" s="101" t="s">
        <v>2412</v>
      </c>
      <c r="H100" s="101" t="s">
        <v>2413</v>
      </c>
      <c r="I100" s="101" t="s">
        <v>2414</v>
      </c>
      <c r="J100" s="102" t="s">
        <v>1508</v>
      </c>
      <c r="K100" s="101" t="s">
        <v>1404</v>
      </c>
    </row>
    <row r="101" spans="1:11">
      <c r="A101" s="98" t="s">
        <v>2204</v>
      </c>
      <c r="B101" s="99"/>
      <c r="C101" s="99"/>
      <c r="D101" s="99"/>
      <c r="E101" s="99"/>
      <c r="F101" s="99"/>
      <c r="G101" s="99"/>
      <c r="H101" s="99"/>
      <c r="I101" s="99"/>
      <c r="J101" s="99"/>
      <c r="K101" s="100"/>
    </row>
    <row r="102" ht="45" customHeight="1" spans="1:11">
      <c r="A102" s="101" t="s">
        <v>2415</v>
      </c>
      <c r="B102" s="101" t="s">
        <v>2204</v>
      </c>
      <c r="C102" s="101" t="s">
        <v>2416</v>
      </c>
      <c r="D102" s="101" t="s">
        <v>2352</v>
      </c>
      <c r="E102" s="102" t="s">
        <v>7</v>
      </c>
      <c r="F102" s="101" t="s">
        <v>2417</v>
      </c>
      <c r="G102" s="101" t="s">
        <v>2401</v>
      </c>
      <c r="H102" s="101" t="s">
        <v>2418</v>
      </c>
      <c r="I102" s="101" t="s">
        <v>2419</v>
      </c>
      <c r="J102" s="102" t="s">
        <v>1508</v>
      </c>
      <c r="K102" s="101" t="s">
        <v>1404</v>
      </c>
    </row>
    <row r="103" ht="45" customHeight="1" spans="1:11">
      <c r="A103" s="101" t="s">
        <v>2420</v>
      </c>
      <c r="B103" s="101" t="s">
        <v>2204</v>
      </c>
      <c r="C103" s="101" t="s">
        <v>2416</v>
      </c>
      <c r="D103" s="101" t="s">
        <v>2421</v>
      </c>
      <c r="E103" s="102" t="s">
        <v>7</v>
      </c>
      <c r="F103" s="101" t="s">
        <v>2422</v>
      </c>
      <c r="G103" s="101" t="s">
        <v>2423</v>
      </c>
      <c r="H103" s="101" t="s">
        <v>2306</v>
      </c>
      <c r="I103" s="101" t="s">
        <v>2424</v>
      </c>
      <c r="J103" s="102" t="s">
        <v>1508</v>
      </c>
      <c r="K103" s="101" t="s">
        <v>1404</v>
      </c>
    </row>
    <row r="104" spans="1:11">
      <c r="A104" s="98" t="s">
        <v>2425</v>
      </c>
      <c r="B104" s="99"/>
      <c r="C104" s="99"/>
      <c r="D104" s="99"/>
      <c r="E104" s="99"/>
      <c r="F104" s="99"/>
      <c r="G104" s="99"/>
      <c r="H104" s="99"/>
      <c r="I104" s="99"/>
      <c r="J104" s="99"/>
      <c r="K104" s="100"/>
    </row>
    <row r="105" ht="45" customHeight="1" spans="1:11">
      <c r="A105" s="101" t="s">
        <v>2426</v>
      </c>
      <c r="B105" s="101" t="s">
        <v>2425</v>
      </c>
      <c r="C105" s="101" t="s">
        <v>2427</v>
      </c>
      <c r="D105" s="101" t="s">
        <v>2428</v>
      </c>
      <c r="E105" s="102" t="s">
        <v>7</v>
      </c>
      <c r="F105" s="101" t="s">
        <v>2429</v>
      </c>
      <c r="G105" s="101" t="s">
        <v>428</v>
      </c>
      <c r="H105" s="101" t="s">
        <v>2430</v>
      </c>
      <c r="I105" s="101" t="s">
        <v>2431</v>
      </c>
      <c r="J105" s="102" t="s">
        <v>1385</v>
      </c>
      <c r="K105" s="101" t="s">
        <v>1386</v>
      </c>
    </row>
    <row r="106" ht="45" customHeight="1" spans="1:11">
      <c r="A106" s="101" t="s">
        <v>2432</v>
      </c>
      <c r="B106" s="101" t="s">
        <v>2425</v>
      </c>
      <c r="C106" s="101" t="s">
        <v>2427</v>
      </c>
      <c r="D106" s="101" t="s">
        <v>2428</v>
      </c>
      <c r="E106" s="102" t="s">
        <v>7</v>
      </c>
      <c r="F106" s="101" t="s">
        <v>2433</v>
      </c>
      <c r="G106" s="101" t="s">
        <v>428</v>
      </c>
      <c r="H106" s="101" t="s">
        <v>2434</v>
      </c>
      <c r="I106" s="101" t="s">
        <v>2435</v>
      </c>
      <c r="J106" s="102" t="s">
        <v>1385</v>
      </c>
      <c r="K106" s="101" t="s">
        <v>1386</v>
      </c>
    </row>
    <row r="107" ht="45" customHeight="1" spans="1:11">
      <c r="A107" s="101" t="s">
        <v>2436</v>
      </c>
      <c r="B107" s="101" t="s">
        <v>2425</v>
      </c>
      <c r="C107" s="101" t="s">
        <v>2427</v>
      </c>
      <c r="D107" s="101" t="s">
        <v>2428</v>
      </c>
      <c r="E107" s="102" t="s">
        <v>7</v>
      </c>
      <c r="F107" s="101" t="s">
        <v>2437</v>
      </c>
      <c r="G107" s="101" t="s">
        <v>428</v>
      </c>
      <c r="H107" s="101" t="s">
        <v>2438</v>
      </c>
      <c r="I107" s="101" t="s">
        <v>2439</v>
      </c>
      <c r="J107" s="102" t="s">
        <v>1385</v>
      </c>
      <c r="K107" s="101" t="s">
        <v>1386</v>
      </c>
    </row>
    <row r="108" ht="45" customHeight="1" spans="1:11">
      <c r="A108" s="101" t="s">
        <v>2440</v>
      </c>
      <c r="B108" s="101" t="s">
        <v>2425</v>
      </c>
      <c r="C108" s="101" t="s">
        <v>2427</v>
      </c>
      <c r="D108" s="101" t="s">
        <v>2441</v>
      </c>
      <c r="E108" s="102" t="s">
        <v>7</v>
      </c>
      <c r="F108" s="101" t="s">
        <v>2442</v>
      </c>
      <c r="G108" s="101" t="s">
        <v>2443</v>
      </c>
      <c r="H108" s="101" t="s">
        <v>2444</v>
      </c>
      <c r="I108" s="101" t="s">
        <v>2445</v>
      </c>
      <c r="J108" s="102" t="s">
        <v>1385</v>
      </c>
      <c r="K108" s="101" t="s">
        <v>2446</v>
      </c>
    </row>
    <row r="109" ht="30" customHeight="1" spans="1:11">
      <c r="A109" s="101" t="s">
        <v>2447</v>
      </c>
      <c r="B109" s="101" t="s">
        <v>2425</v>
      </c>
      <c r="C109" s="101" t="s">
        <v>2427</v>
      </c>
      <c r="D109" s="101" t="s">
        <v>2441</v>
      </c>
      <c r="E109" s="102" t="s">
        <v>7</v>
      </c>
      <c r="F109" s="101" t="s">
        <v>2448</v>
      </c>
      <c r="G109" s="101" t="s">
        <v>2449</v>
      </c>
      <c r="H109" s="101" t="s">
        <v>2450</v>
      </c>
      <c r="I109" s="101" t="s">
        <v>2451</v>
      </c>
      <c r="J109" s="102" t="s">
        <v>1385</v>
      </c>
      <c r="K109" s="101" t="s">
        <v>2446</v>
      </c>
    </row>
    <row r="110" ht="30" customHeight="1" spans="1:11">
      <c r="A110" s="101" t="s">
        <v>2452</v>
      </c>
      <c r="B110" s="101" t="s">
        <v>2425</v>
      </c>
      <c r="C110" s="101" t="s">
        <v>2427</v>
      </c>
      <c r="D110" s="101" t="s">
        <v>2441</v>
      </c>
      <c r="E110" s="102" t="s">
        <v>7</v>
      </c>
      <c r="F110" s="101" t="s">
        <v>2453</v>
      </c>
      <c r="G110" s="101" t="s">
        <v>2454</v>
      </c>
      <c r="H110" s="101" t="s">
        <v>2455</v>
      </c>
      <c r="I110" s="101" t="s">
        <v>2456</v>
      </c>
      <c r="J110" s="102" t="s">
        <v>1385</v>
      </c>
      <c r="K110" s="101" t="s">
        <v>2446</v>
      </c>
    </row>
    <row r="111" ht="30" customHeight="1" spans="1:11">
      <c r="A111" s="101" t="s">
        <v>2457</v>
      </c>
      <c r="B111" s="101" t="s">
        <v>2425</v>
      </c>
      <c r="C111" s="101" t="s">
        <v>2427</v>
      </c>
      <c r="D111" s="101" t="s">
        <v>2441</v>
      </c>
      <c r="E111" s="102" t="s">
        <v>7</v>
      </c>
      <c r="F111" s="101" t="s">
        <v>2458</v>
      </c>
      <c r="G111" s="101" t="s">
        <v>2459</v>
      </c>
      <c r="H111" s="101" t="s">
        <v>2460</v>
      </c>
      <c r="I111" s="101" t="s">
        <v>2461</v>
      </c>
      <c r="J111" s="102" t="s">
        <v>1385</v>
      </c>
      <c r="K111" s="101" t="s">
        <v>2446</v>
      </c>
    </row>
    <row r="112" spans="1:11">
      <c r="A112" s="98" t="s">
        <v>2462</v>
      </c>
      <c r="B112" s="99"/>
      <c r="C112" s="99"/>
      <c r="D112" s="99"/>
      <c r="E112" s="99"/>
      <c r="F112" s="99"/>
      <c r="G112" s="99"/>
      <c r="H112" s="99"/>
      <c r="I112" s="99"/>
      <c r="J112" s="99"/>
      <c r="K112" s="100"/>
    </row>
    <row r="113" ht="45" customHeight="1" spans="1:11">
      <c r="A113" s="101" t="s">
        <v>2463</v>
      </c>
      <c r="B113" s="101" t="s">
        <v>2462</v>
      </c>
      <c r="C113" s="101" t="s">
        <v>2427</v>
      </c>
      <c r="D113" s="101" t="s">
        <v>2464</v>
      </c>
      <c r="E113" s="102" t="s">
        <v>7</v>
      </c>
      <c r="F113" s="101" t="s">
        <v>2465</v>
      </c>
      <c r="G113" s="101" t="s">
        <v>2466</v>
      </c>
      <c r="H113" s="101" t="s">
        <v>2467</v>
      </c>
      <c r="I113" s="101" t="s">
        <v>2468</v>
      </c>
      <c r="J113" s="102" t="s">
        <v>1385</v>
      </c>
      <c r="K113" s="101" t="s">
        <v>2469</v>
      </c>
    </row>
    <row r="114" spans="1:11">
      <c r="A114" s="98" t="s">
        <v>2470</v>
      </c>
      <c r="B114" s="99"/>
      <c r="C114" s="99"/>
      <c r="D114" s="99"/>
      <c r="E114" s="99"/>
      <c r="F114" s="99"/>
      <c r="G114" s="99"/>
      <c r="H114" s="99"/>
      <c r="I114" s="99"/>
      <c r="J114" s="99"/>
      <c r="K114" s="100"/>
    </row>
    <row r="115" ht="45" customHeight="1" spans="1:11">
      <c r="A115" s="101" t="s">
        <v>2471</v>
      </c>
      <c r="B115" s="101" t="s">
        <v>2470</v>
      </c>
      <c r="C115" s="101" t="s">
        <v>2427</v>
      </c>
      <c r="D115" s="101" t="s">
        <v>2472</v>
      </c>
      <c r="E115" s="102" t="s">
        <v>7</v>
      </c>
      <c r="F115" s="101" t="s">
        <v>2473</v>
      </c>
      <c r="G115" s="101" t="s">
        <v>2474</v>
      </c>
      <c r="H115" s="101" t="s">
        <v>2475</v>
      </c>
      <c r="I115" s="101" t="s">
        <v>2476</v>
      </c>
      <c r="J115" s="102" t="s">
        <v>1385</v>
      </c>
      <c r="K115" s="101" t="s">
        <v>2446</v>
      </c>
    </row>
    <row r="116" ht="45" customHeight="1" spans="1:11">
      <c r="A116" s="101" t="s">
        <v>2477</v>
      </c>
      <c r="B116" s="101" t="s">
        <v>2470</v>
      </c>
      <c r="C116" s="101" t="s">
        <v>2427</v>
      </c>
      <c r="D116" s="101" t="s">
        <v>2478</v>
      </c>
      <c r="E116" s="102" t="s">
        <v>7</v>
      </c>
      <c r="F116" s="101" t="s">
        <v>2479</v>
      </c>
      <c r="G116" s="101" t="s">
        <v>2480</v>
      </c>
      <c r="H116" s="101" t="s">
        <v>2481</v>
      </c>
      <c r="I116" s="101" t="s">
        <v>2482</v>
      </c>
      <c r="J116" s="102" t="s">
        <v>1385</v>
      </c>
      <c r="K116" s="101" t="s">
        <v>2446</v>
      </c>
    </row>
    <row r="117" spans="1:11">
      <c r="A117" s="98" t="s">
        <v>2483</v>
      </c>
      <c r="B117" s="99"/>
      <c r="C117" s="99"/>
      <c r="D117" s="99"/>
      <c r="E117" s="99"/>
      <c r="F117" s="99"/>
      <c r="G117" s="99"/>
      <c r="H117" s="99"/>
      <c r="I117" s="99"/>
      <c r="J117" s="99"/>
      <c r="K117" s="100"/>
    </row>
    <row r="118" ht="45" customHeight="1" spans="1:11">
      <c r="A118" s="101" t="s">
        <v>2484</v>
      </c>
      <c r="B118" s="101" t="s">
        <v>2483</v>
      </c>
      <c r="C118" s="101" t="s">
        <v>2427</v>
      </c>
      <c r="D118" s="101" t="s">
        <v>2485</v>
      </c>
      <c r="E118" s="102" t="s">
        <v>7</v>
      </c>
      <c r="F118" s="101" t="s">
        <v>2486</v>
      </c>
      <c r="G118" s="101" t="s">
        <v>2487</v>
      </c>
      <c r="H118" s="101" t="s">
        <v>2488</v>
      </c>
      <c r="I118" s="101" t="s">
        <v>2489</v>
      </c>
      <c r="J118" s="102" t="s">
        <v>1385</v>
      </c>
      <c r="K118" s="101" t="s">
        <v>1386</v>
      </c>
    </row>
    <row r="119" ht="45" customHeight="1" spans="1:11">
      <c r="A119" s="101" t="s">
        <v>2490</v>
      </c>
      <c r="B119" s="101" t="s">
        <v>2483</v>
      </c>
      <c r="C119" s="101" t="s">
        <v>2427</v>
      </c>
      <c r="D119" s="101" t="s">
        <v>2491</v>
      </c>
      <c r="E119" s="102" t="s">
        <v>7</v>
      </c>
      <c r="F119" s="101" t="s">
        <v>2492</v>
      </c>
      <c r="G119" s="101" t="s">
        <v>2493</v>
      </c>
      <c r="H119" s="101" t="s">
        <v>2494</v>
      </c>
      <c r="I119" s="101" t="s">
        <v>2495</v>
      </c>
      <c r="J119" s="102" t="s">
        <v>1385</v>
      </c>
      <c r="K119" s="101" t="s">
        <v>2446</v>
      </c>
    </row>
    <row r="120" ht="30" customHeight="1" spans="1:11">
      <c r="A120" s="101" t="s">
        <v>2496</v>
      </c>
      <c r="B120" s="101" t="s">
        <v>2483</v>
      </c>
      <c r="C120" s="101" t="s">
        <v>2427</v>
      </c>
      <c r="D120" s="101" t="s">
        <v>2497</v>
      </c>
      <c r="E120" s="102" t="s">
        <v>7</v>
      </c>
      <c r="F120" s="101" t="s">
        <v>2498</v>
      </c>
      <c r="G120" s="101" t="s">
        <v>2499</v>
      </c>
      <c r="H120" s="101" t="s">
        <v>2500</v>
      </c>
      <c r="I120" s="101" t="s">
        <v>2501</v>
      </c>
      <c r="J120" s="102" t="s">
        <v>1385</v>
      </c>
      <c r="K120" s="101" t="s">
        <v>2446</v>
      </c>
    </row>
    <row r="121" ht="30" customHeight="1" spans="1:11">
      <c r="A121" s="101" t="s">
        <v>2502</v>
      </c>
      <c r="B121" s="101" t="s">
        <v>2483</v>
      </c>
      <c r="C121" s="101" t="s">
        <v>2427</v>
      </c>
      <c r="D121" s="101" t="s">
        <v>2503</v>
      </c>
      <c r="E121" s="102" t="s">
        <v>7</v>
      </c>
      <c r="F121" s="101" t="s">
        <v>2504</v>
      </c>
      <c r="G121" s="101" t="s">
        <v>2505</v>
      </c>
      <c r="H121" s="101" t="s">
        <v>2506</v>
      </c>
      <c r="I121" s="101" t="s">
        <v>2507</v>
      </c>
      <c r="J121" s="102" t="s">
        <v>1385</v>
      </c>
      <c r="K121" s="101" t="s">
        <v>2446</v>
      </c>
    </row>
    <row r="122" ht="45" customHeight="1" spans="1:11">
      <c r="A122" s="101" t="s">
        <v>2508</v>
      </c>
      <c r="B122" s="101" t="s">
        <v>2483</v>
      </c>
      <c r="C122" s="101" t="s">
        <v>2427</v>
      </c>
      <c r="D122" s="101" t="s">
        <v>2503</v>
      </c>
      <c r="E122" s="102" t="s">
        <v>7</v>
      </c>
      <c r="F122" s="101" t="s">
        <v>2509</v>
      </c>
      <c r="G122" s="101" t="s">
        <v>2510</v>
      </c>
      <c r="H122" s="101" t="s">
        <v>2511</v>
      </c>
      <c r="I122" s="101" t="s">
        <v>2512</v>
      </c>
      <c r="J122" s="102" t="s">
        <v>1385</v>
      </c>
      <c r="K122" s="101" t="s">
        <v>2446</v>
      </c>
    </row>
    <row r="123" spans="1:11">
      <c r="A123" s="98" t="s">
        <v>2513</v>
      </c>
      <c r="B123" s="99"/>
      <c r="C123" s="99"/>
      <c r="D123" s="99"/>
      <c r="E123" s="99"/>
      <c r="F123" s="99"/>
      <c r="G123" s="99"/>
      <c r="H123" s="99"/>
      <c r="I123" s="99"/>
      <c r="J123" s="99"/>
      <c r="K123" s="100"/>
    </row>
    <row r="124" ht="30" customHeight="1" spans="1:11">
      <c r="A124" s="101" t="s">
        <v>2514</v>
      </c>
      <c r="B124" s="101" t="s">
        <v>2513</v>
      </c>
      <c r="C124" s="101" t="s">
        <v>2427</v>
      </c>
      <c r="D124" s="101" t="s">
        <v>2515</v>
      </c>
      <c r="E124" s="102" t="s">
        <v>7</v>
      </c>
      <c r="F124" s="101" t="s">
        <v>2516</v>
      </c>
      <c r="G124" s="101" t="s">
        <v>2517</v>
      </c>
      <c r="H124" s="101" t="s">
        <v>2518</v>
      </c>
      <c r="I124" s="101" t="s">
        <v>2519</v>
      </c>
      <c r="J124" s="102" t="s">
        <v>1385</v>
      </c>
      <c r="K124" s="101" t="s">
        <v>2446</v>
      </c>
    </row>
    <row r="125" spans="1:11">
      <c r="A125" s="98" t="s">
        <v>2520</v>
      </c>
      <c r="B125" s="99"/>
      <c r="C125" s="99"/>
      <c r="D125" s="99"/>
      <c r="E125" s="99"/>
      <c r="F125" s="99"/>
      <c r="G125" s="99"/>
      <c r="H125" s="99"/>
      <c r="I125" s="99"/>
      <c r="J125" s="99"/>
      <c r="K125" s="100"/>
    </row>
    <row r="126" ht="45" customHeight="1" spans="1:11">
      <c r="A126" s="101" t="s">
        <v>2521</v>
      </c>
      <c r="B126" s="101" t="s">
        <v>2520</v>
      </c>
      <c r="C126" s="101" t="s">
        <v>2427</v>
      </c>
      <c r="D126" s="101" t="s">
        <v>2522</v>
      </c>
      <c r="E126" s="102" t="s">
        <v>7</v>
      </c>
      <c r="F126" s="101" t="s">
        <v>2523</v>
      </c>
      <c r="G126" s="101" t="s">
        <v>428</v>
      </c>
      <c r="H126" s="101" t="s">
        <v>2524</v>
      </c>
      <c r="I126" s="101" t="s">
        <v>2525</v>
      </c>
      <c r="J126" s="102" t="s">
        <v>1385</v>
      </c>
      <c r="K126" s="101" t="s">
        <v>1386</v>
      </c>
    </row>
    <row r="127" ht="45" customHeight="1" spans="1:11">
      <c r="A127" s="101" t="s">
        <v>2526</v>
      </c>
      <c r="B127" s="101" t="s">
        <v>2520</v>
      </c>
      <c r="C127" s="101" t="s">
        <v>2427</v>
      </c>
      <c r="D127" s="101" t="s">
        <v>2522</v>
      </c>
      <c r="E127" s="102" t="s">
        <v>7</v>
      </c>
      <c r="F127" s="101" t="s">
        <v>2527</v>
      </c>
      <c r="G127" s="101" t="s">
        <v>2528</v>
      </c>
      <c r="H127" s="101" t="s">
        <v>2529</v>
      </c>
      <c r="I127" s="101" t="s">
        <v>2530</v>
      </c>
      <c r="J127" s="102" t="s">
        <v>1385</v>
      </c>
      <c r="K127" s="101" t="s">
        <v>1386</v>
      </c>
    </row>
    <row r="128" ht="45" customHeight="1" spans="1:11">
      <c r="A128" s="101" t="s">
        <v>2531</v>
      </c>
      <c r="B128" s="101" t="s">
        <v>2520</v>
      </c>
      <c r="C128" s="101" t="s">
        <v>2427</v>
      </c>
      <c r="D128" s="101" t="s">
        <v>2532</v>
      </c>
      <c r="E128" s="102" t="s">
        <v>7</v>
      </c>
      <c r="F128" s="101" t="s">
        <v>2533</v>
      </c>
      <c r="G128" s="101" t="s">
        <v>428</v>
      </c>
      <c r="H128" s="101" t="s">
        <v>2534</v>
      </c>
      <c r="I128" s="101" t="s">
        <v>2535</v>
      </c>
      <c r="J128" s="102" t="s">
        <v>1385</v>
      </c>
      <c r="K128" s="101" t="s">
        <v>1386</v>
      </c>
    </row>
    <row r="129" spans="1:11">
      <c r="A129" s="98" t="s">
        <v>2470</v>
      </c>
      <c r="B129" s="99"/>
      <c r="C129" s="99"/>
      <c r="D129" s="99"/>
      <c r="E129" s="99"/>
      <c r="F129" s="99"/>
      <c r="G129" s="99"/>
      <c r="H129" s="99"/>
      <c r="I129" s="99"/>
      <c r="J129" s="99"/>
      <c r="K129" s="100"/>
    </row>
    <row r="130" ht="30" customHeight="1" spans="1:11">
      <c r="A130" s="101" t="s">
        <v>2536</v>
      </c>
      <c r="B130" s="101" t="s">
        <v>2470</v>
      </c>
      <c r="C130" s="101" t="s">
        <v>2427</v>
      </c>
      <c r="D130" s="101" t="s">
        <v>2537</v>
      </c>
      <c r="E130" s="102" t="s">
        <v>7</v>
      </c>
      <c r="F130" s="101" t="s">
        <v>2538</v>
      </c>
      <c r="G130" s="101" t="s">
        <v>2539</v>
      </c>
      <c r="H130" s="101" t="s">
        <v>2540</v>
      </c>
      <c r="I130" s="101" t="s">
        <v>2541</v>
      </c>
      <c r="J130" s="102" t="s">
        <v>1385</v>
      </c>
      <c r="K130" s="101" t="s">
        <v>2446</v>
      </c>
    </row>
    <row r="131" spans="1:11">
      <c r="A131" s="98" t="s">
        <v>2542</v>
      </c>
      <c r="B131" s="99"/>
      <c r="C131" s="99"/>
      <c r="D131" s="99"/>
      <c r="E131" s="99"/>
      <c r="F131" s="99"/>
      <c r="G131" s="99"/>
      <c r="H131" s="99"/>
      <c r="I131" s="99"/>
      <c r="J131" s="99"/>
      <c r="K131" s="100"/>
    </row>
    <row r="132" ht="45" customHeight="1" spans="1:11">
      <c r="A132" s="101" t="s">
        <v>2543</v>
      </c>
      <c r="B132" s="101" t="s">
        <v>2542</v>
      </c>
      <c r="C132" s="101" t="s">
        <v>2427</v>
      </c>
      <c r="D132" s="101" t="s">
        <v>2544</v>
      </c>
      <c r="E132" s="102" t="s">
        <v>7</v>
      </c>
      <c r="F132" s="101" t="s">
        <v>2545</v>
      </c>
      <c r="G132" s="101" t="s">
        <v>428</v>
      </c>
      <c r="H132" s="101" t="s">
        <v>2546</v>
      </c>
      <c r="I132" s="101" t="s">
        <v>2547</v>
      </c>
      <c r="J132" s="102" t="s">
        <v>1385</v>
      </c>
      <c r="K132" s="101" t="s">
        <v>1386</v>
      </c>
    </row>
    <row r="133" spans="1:11">
      <c r="A133" s="98" t="s">
        <v>2520</v>
      </c>
      <c r="B133" s="99"/>
      <c r="C133" s="99"/>
      <c r="D133" s="99"/>
      <c r="E133" s="99"/>
      <c r="F133" s="99"/>
      <c r="G133" s="99"/>
      <c r="H133" s="99"/>
      <c r="I133" s="99"/>
      <c r="J133" s="99"/>
      <c r="K133" s="100"/>
    </row>
    <row r="134" ht="45" customHeight="1" spans="1:11">
      <c r="A134" s="101" t="s">
        <v>2548</v>
      </c>
      <c r="B134" s="101" t="s">
        <v>2520</v>
      </c>
      <c r="C134" s="101" t="s">
        <v>2549</v>
      </c>
      <c r="D134" s="101" t="s">
        <v>2522</v>
      </c>
      <c r="E134" s="102" t="s">
        <v>7</v>
      </c>
      <c r="F134" s="101" t="s">
        <v>2550</v>
      </c>
      <c r="G134" s="101" t="s">
        <v>428</v>
      </c>
      <c r="H134" s="101" t="s">
        <v>2551</v>
      </c>
      <c r="I134" s="101" t="s">
        <v>2552</v>
      </c>
      <c r="J134" s="102" t="s">
        <v>1508</v>
      </c>
      <c r="K134" s="101" t="s">
        <v>1386</v>
      </c>
    </row>
    <row r="135" spans="1:11">
      <c r="A135" s="98" t="s">
        <v>2470</v>
      </c>
      <c r="B135" s="99"/>
      <c r="C135" s="99"/>
      <c r="D135" s="99"/>
      <c r="E135" s="99"/>
      <c r="F135" s="99"/>
      <c r="G135" s="99"/>
      <c r="H135" s="99"/>
      <c r="I135" s="99"/>
      <c r="J135" s="99"/>
      <c r="K135" s="100"/>
    </row>
    <row r="136" ht="30" customHeight="1" spans="1:11">
      <c r="A136" s="101" t="s">
        <v>2553</v>
      </c>
      <c r="B136" s="101" t="s">
        <v>2470</v>
      </c>
      <c r="C136" s="101" t="s">
        <v>2549</v>
      </c>
      <c r="D136" s="101" t="s">
        <v>2472</v>
      </c>
      <c r="E136" s="102" t="s">
        <v>7</v>
      </c>
      <c r="F136" s="101" t="s">
        <v>2554</v>
      </c>
      <c r="G136" s="101" t="s">
        <v>2555</v>
      </c>
      <c r="H136" s="101" t="s">
        <v>2556</v>
      </c>
      <c r="I136" s="101" t="s">
        <v>2557</v>
      </c>
      <c r="J136" s="102" t="s">
        <v>1508</v>
      </c>
      <c r="K136" s="101" t="s">
        <v>2446</v>
      </c>
    </row>
    <row r="137" spans="1:11">
      <c r="A137" s="98" t="s">
        <v>2558</v>
      </c>
      <c r="B137" s="99"/>
      <c r="C137" s="99"/>
      <c r="D137" s="99"/>
      <c r="E137" s="99"/>
      <c r="F137" s="99"/>
      <c r="G137" s="99"/>
      <c r="H137" s="99"/>
      <c r="I137" s="99"/>
      <c r="J137" s="99"/>
      <c r="K137" s="100"/>
    </row>
    <row r="138" ht="45" customHeight="1" spans="1:11">
      <c r="A138" s="101" t="s">
        <v>2559</v>
      </c>
      <c r="B138" s="101" t="s">
        <v>2558</v>
      </c>
      <c r="C138" s="101" t="s">
        <v>2427</v>
      </c>
      <c r="D138" s="101" t="s">
        <v>2560</v>
      </c>
      <c r="E138" s="102" t="s">
        <v>7</v>
      </c>
      <c r="F138" s="101" t="s">
        <v>2561</v>
      </c>
      <c r="G138" s="101" t="s">
        <v>2562</v>
      </c>
      <c r="H138" s="101" t="s">
        <v>2563</v>
      </c>
      <c r="I138" s="101" t="s">
        <v>2564</v>
      </c>
      <c r="J138" s="102" t="s">
        <v>1385</v>
      </c>
      <c r="K138" s="101" t="s">
        <v>1386</v>
      </c>
    </row>
    <row r="139" ht="45" customHeight="1" spans="1:11">
      <c r="A139" s="101" t="s">
        <v>2565</v>
      </c>
      <c r="B139" s="101" t="s">
        <v>2558</v>
      </c>
      <c r="C139" s="101" t="s">
        <v>2427</v>
      </c>
      <c r="D139" s="101" t="s">
        <v>2566</v>
      </c>
      <c r="E139" s="102" t="s">
        <v>7</v>
      </c>
      <c r="F139" s="101" t="s">
        <v>2567</v>
      </c>
      <c r="G139" s="101" t="s">
        <v>428</v>
      </c>
      <c r="H139" s="101" t="s">
        <v>2568</v>
      </c>
      <c r="I139" s="101" t="s">
        <v>2569</v>
      </c>
      <c r="J139" s="102" t="s">
        <v>1385</v>
      </c>
      <c r="K139" s="101" t="s">
        <v>1386</v>
      </c>
    </row>
    <row r="140" ht="45" customHeight="1" spans="1:11">
      <c r="A140" s="101" t="s">
        <v>2570</v>
      </c>
      <c r="B140" s="101" t="s">
        <v>2558</v>
      </c>
      <c r="C140" s="101" t="s">
        <v>2427</v>
      </c>
      <c r="D140" s="101" t="s">
        <v>2571</v>
      </c>
      <c r="E140" s="102" t="s">
        <v>7</v>
      </c>
      <c r="F140" s="101" t="s">
        <v>2572</v>
      </c>
      <c r="G140" s="101" t="s">
        <v>2573</v>
      </c>
      <c r="H140" s="101" t="s">
        <v>2574</v>
      </c>
      <c r="I140" s="101" t="s">
        <v>2575</v>
      </c>
      <c r="J140" s="102" t="s">
        <v>1385</v>
      </c>
      <c r="K140" s="101" t="s">
        <v>2469</v>
      </c>
    </row>
    <row r="141" ht="45" customHeight="1" spans="1:11">
      <c r="A141" s="101" t="s">
        <v>2576</v>
      </c>
      <c r="B141" s="101" t="s">
        <v>2558</v>
      </c>
      <c r="C141" s="101" t="s">
        <v>2427</v>
      </c>
      <c r="D141" s="101" t="s">
        <v>2577</v>
      </c>
      <c r="E141" s="102" t="s">
        <v>7</v>
      </c>
      <c r="F141" s="101" t="s">
        <v>2578</v>
      </c>
      <c r="G141" s="101" t="s">
        <v>2579</v>
      </c>
      <c r="H141" s="101" t="s">
        <v>2580</v>
      </c>
      <c r="I141" s="101" t="s">
        <v>2581</v>
      </c>
      <c r="J141" s="102" t="s">
        <v>1385</v>
      </c>
      <c r="K141" s="101" t="s">
        <v>2469</v>
      </c>
    </row>
    <row r="142" ht="45" customHeight="1" spans="1:11">
      <c r="A142" s="101" t="s">
        <v>2582</v>
      </c>
      <c r="B142" s="101" t="s">
        <v>2558</v>
      </c>
      <c r="C142" s="101" t="s">
        <v>2427</v>
      </c>
      <c r="D142" s="101" t="s">
        <v>2583</v>
      </c>
      <c r="E142" s="102" t="s">
        <v>7</v>
      </c>
      <c r="F142" s="101" t="s">
        <v>2584</v>
      </c>
      <c r="G142" s="101" t="s">
        <v>2585</v>
      </c>
      <c r="H142" s="101" t="s">
        <v>2586</v>
      </c>
      <c r="I142" s="101" t="s">
        <v>2587</v>
      </c>
      <c r="J142" s="102" t="s">
        <v>1385</v>
      </c>
      <c r="K142" s="101" t="s">
        <v>2469</v>
      </c>
    </row>
    <row r="143" spans="1:11">
      <c r="A143" s="98" t="s">
        <v>2483</v>
      </c>
      <c r="B143" s="99"/>
      <c r="C143" s="99"/>
      <c r="D143" s="99"/>
      <c r="E143" s="99"/>
      <c r="F143" s="99"/>
      <c r="G143" s="99"/>
      <c r="H143" s="99"/>
      <c r="I143" s="99"/>
      <c r="J143" s="99"/>
      <c r="K143" s="100"/>
    </row>
    <row r="144" ht="45" customHeight="1" spans="1:11">
      <c r="A144" s="101" t="s">
        <v>2588</v>
      </c>
      <c r="B144" s="101" t="s">
        <v>2483</v>
      </c>
      <c r="C144" s="101" t="s">
        <v>2427</v>
      </c>
      <c r="D144" s="101" t="s">
        <v>2589</v>
      </c>
      <c r="E144" s="102" t="s">
        <v>7</v>
      </c>
      <c r="F144" s="101" t="s">
        <v>2590</v>
      </c>
      <c r="G144" s="101" t="s">
        <v>428</v>
      </c>
      <c r="H144" s="101" t="s">
        <v>2591</v>
      </c>
      <c r="I144" s="101" t="s">
        <v>2592</v>
      </c>
      <c r="J144" s="102" t="s">
        <v>1385</v>
      </c>
      <c r="K144" s="101" t="s">
        <v>1386</v>
      </c>
    </row>
    <row r="145" ht="30" customHeight="1" spans="1:11">
      <c r="A145" s="101" t="s">
        <v>2593</v>
      </c>
      <c r="B145" s="101" t="s">
        <v>2483</v>
      </c>
      <c r="C145" s="101" t="s">
        <v>2427</v>
      </c>
      <c r="D145" s="101" t="s">
        <v>2594</v>
      </c>
      <c r="E145" s="102" t="s">
        <v>7</v>
      </c>
      <c r="F145" s="101" t="s">
        <v>2595</v>
      </c>
      <c r="G145" s="101" t="s">
        <v>2596</v>
      </c>
      <c r="H145" s="101" t="s">
        <v>2597</v>
      </c>
      <c r="I145" s="101" t="s">
        <v>2598</v>
      </c>
      <c r="J145" s="102" t="s">
        <v>1385</v>
      </c>
      <c r="K145" s="101" t="s">
        <v>2446</v>
      </c>
    </row>
    <row r="147" spans="1:11">
      <c r="A147" s="80" t="s">
        <v>1526</v>
      </c>
      <c r="B147" s="103">
        <f>COUNTIF(J70:J145,"PASS")+COUNTIF(J70:J145,"FAIL")</f>
        <v>55</v>
      </c>
    </row>
    <row r="148" spans="1:11">
      <c r="A148" s="80" t="s">
        <v>1385</v>
      </c>
      <c r="B148" s="103">
        <f>COUNTIF(J70:J145,"PASS")</f>
        <v>48</v>
      </c>
    </row>
    <row r="149" spans="1:11">
      <c r="A149" s="80" t="s">
        <v>1508</v>
      </c>
      <c r="B149" s="103">
        <f>COUNTIF(J70:J145,"FAIL")</f>
        <v>7</v>
      </c>
    </row>
    <row r="150" spans="1:11">
      <c r="A150" s="80" t="s">
        <v>1527</v>
      </c>
      <c r="B150" s="104">
        <f>IFERROR(B148/B147,0)</f>
        <v>0.872727272727273</v>
      </c>
    </row>
    <row r="152" spans="1:11">
      <c r="A152" s="105" t="s">
        <v>1528</v>
      </c>
      <c r="B152" s="16"/>
      <c r="C152" s="16"/>
      <c r="D152" s="16"/>
      <c r="E152" s="16"/>
      <c r="F152" s="16"/>
      <c r="G152" s="16"/>
      <c r="H152" s="16"/>
      <c r="I152" s="16"/>
      <c r="J152" s="16"/>
      <c r="K152" s="17"/>
    </row>
    <row r="153" ht="16.5" spans="1:11">
      <c r="A153" s="106" t="s">
        <v>1368</v>
      </c>
      <c r="B153" s="106" t="s">
        <v>1529</v>
      </c>
      <c r="C153" s="16"/>
      <c r="D153" s="16"/>
      <c r="E153" s="16"/>
      <c r="F153" s="16"/>
      <c r="G153" s="16"/>
      <c r="H153" s="17"/>
      <c r="I153" s="106" t="s">
        <v>1530</v>
      </c>
      <c r="J153" s="16"/>
      <c r="K153" s="17"/>
    </row>
    <row r="154" ht="30" customHeight="1" spans="1:11">
      <c r="A154" s="101" t="s">
        <v>2398</v>
      </c>
      <c r="B154" s="101" t="s">
        <v>2599</v>
      </c>
      <c r="C154" s="99"/>
      <c r="D154" s="99"/>
      <c r="E154" s="99"/>
      <c r="F154" s="99"/>
      <c r="G154" s="99"/>
      <c r="H154" s="100"/>
      <c r="I154" s="101" t="s">
        <v>2600</v>
      </c>
      <c r="J154" s="99"/>
      <c r="K154" s="100"/>
    </row>
    <row r="155" ht="30" customHeight="1" spans="1:11">
      <c r="A155" s="101" t="s">
        <v>2404</v>
      </c>
      <c r="B155" s="101" t="s">
        <v>2601</v>
      </c>
      <c r="C155" s="99"/>
      <c r="D155" s="99"/>
      <c r="E155" s="99"/>
      <c r="F155" s="99"/>
      <c r="G155" s="99"/>
      <c r="H155" s="100"/>
      <c r="I155" s="101" t="s">
        <v>2602</v>
      </c>
      <c r="J155" s="99"/>
      <c r="K155" s="100"/>
    </row>
    <row r="156" ht="30" customHeight="1" spans="1:11">
      <c r="A156" s="101" t="s">
        <v>2410</v>
      </c>
      <c r="B156" s="101" t="s">
        <v>2603</v>
      </c>
      <c r="C156" s="99"/>
      <c r="D156" s="99"/>
      <c r="E156" s="99"/>
      <c r="F156" s="99"/>
      <c r="G156" s="99"/>
      <c r="H156" s="100"/>
      <c r="I156" s="101" t="s">
        <v>2604</v>
      </c>
      <c r="J156" s="99"/>
      <c r="K156" s="100"/>
    </row>
    <row r="157" ht="30" customHeight="1" spans="1:11">
      <c r="A157" s="101" t="s">
        <v>2415</v>
      </c>
      <c r="B157" s="101" t="s">
        <v>2605</v>
      </c>
      <c r="C157" s="99"/>
      <c r="D157" s="99"/>
      <c r="E157" s="99"/>
      <c r="F157" s="99"/>
      <c r="G157" s="99"/>
      <c r="H157" s="100"/>
      <c r="I157" s="101" t="s">
        <v>2606</v>
      </c>
      <c r="J157" s="99"/>
      <c r="K157" s="100"/>
    </row>
    <row r="158" ht="30" customHeight="1" spans="1:11">
      <c r="A158" s="101" t="s">
        <v>2420</v>
      </c>
      <c r="B158" s="101" t="s">
        <v>2607</v>
      </c>
      <c r="C158" s="99"/>
      <c r="D158" s="99"/>
      <c r="E158" s="99"/>
      <c r="F158" s="99"/>
      <c r="G158" s="99"/>
      <c r="H158" s="100"/>
      <c r="I158" s="101" t="s">
        <v>2608</v>
      </c>
      <c r="J158" s="99"/>
      <c r="K158" s="100"/>
    </row>
    <row r="159" ht="30" customHeight="1" spans="1:11">
      <c r="A159" s="101" t="s">
        <v>2548</v>
      </c>
      <c r="B159" s="101" t="s">
        <v>2609</v>
      </c>
      <c r="C159" s="99"/>
      <c r="D159" s="99"/>
      <c r="E159" s="99"/>
      <c r="F159" s="99"/>
      <c r="G159" s="99"/>
      <c r="H159" s="100"/>
      <c r="I159" s="101" t="s">
        <v>2610</v>
      </c>
      <c r="J159" s="99"/>
      <c r="K159" s="100"/>
    </row>
    <row r="160" ht="30" customHeight="1" spans="1:11">
      <c r="A160" s="101" t="s">
        <v>2553</v>
      </c>
      <c r="B160" s="101" t="s">
        <v>2611</v>
      </c>
      <c r="C160" s="99"/>
      <c r="D160" s="99"/>
      <c r="E160" s="99"/>
      <c r="F160" s="99"/>
      <c r="G160" s="99"/>
      <c r="H160" s="100"/>
      <c r="I160" s="101" t="s">
        <v>2612</v>
      </c>
      <c r="J160" s="99"/>
      <c r="K160" s="100"/>
    </row>
  </sheetData>
  <mergeCells count="88">
    <mergeCell ref="A1:E1"/>
    <mergeCell ref="A2:E2"/>
    <mergeCell ref="A3:B3"/>
    <mergeCell ref="C3:E3"/>
    <mergeCell ref="A4:B4"/>
    <mergeCell ref="C4:E4"/>
    <mergeCell ref="A5:B5"/>
    <mergeCell ref="C5:E5"/>
    <mergeCell ref="A6:B6"/>
    <mergeCell ref="C6:E6"/>
    <mergeCell ref="A7:B7"/>
    <mergeCell ref="C7:E7"/>
    <mergeCell ref="A8:B8"/>
    <mergeCell ref="C8:E8"/>
    <mergeCell ref="A10:E10"/>
    <mergeCell ref="A11:E11"/>
    <mergeCell ref="C12:D12"/>
    <mergeCell ref="C13:D13"/>
    <mergeCell ref="C14:D14"/>
    <mergeCell ref="C15:D15"/>
    <mergeCell ref="C16:D16"/>
    <mergeCell ref="C17:D17"/>
    <mergeCell ref="C18:D18"/>
    <mergeCell ref="C19:D19"/>
    <mergeCell ref="C20:D20"/>
    <mergeCell ref="C21:D21"/>
    <mergeCell ref="C22:D22"/>
    <mergeCell ref="C23:D23"/>
    <mergeCell ref="A25:E25"/>
    <mergeCell ref="C26:E26"/>
    <mergeCell ref="C27:E27"/>
    <mergeCell ref="C28:E28"/>
    <mergeCell ref="C29:E29"/>
    <mergeCell ref="A31:E31"/>
    <mergeCell ref="C32:E32"/>
    <mergeCell ref="C33:E33"/>
    <mergeCell ref="C34:E34"/>
    <mergeCell ref="C35:E35"/>
    <mergeCell ref="C36:E36"/>
    <mergeCell ref="C37:E37"/>
    <mergeCell ref="C38:E38"/>
    <mergeCell ref="C39:E39"/>
    <mergeCell ref="C40:E40"/>
    <mergeCell ref="C41:E41"/>
    <mergeCell ref="A43:E43"/>
    <mergeCell ref="A52:E52"/>
    <mergeCell ref="A54:E54"/>
    <mergeCell ref="A63:E63"/>
    <mergeCell ref="A65:E65"/>
    <mergeCell ref="A68:K68"/>
    <mergeCell ref="A70:K70"/>
    <mergeCell ref="A78:K78"/>
    <mergeCell ref="A84:K84"/>
    <mergeCell ref="A88:K88"/>
    <mergeCell ref="A90:K90"/>
    <mergeCell ref="A93:K93"/>
    <mergeCell ref="A96:K96"/>
    <mergeCell ref="A98:K98"/>
    <mergeCell ref="A101:K101"/>
    <mergeCell ref="A104:K104"/>
    <mergeCell ref="A112:K112"/>
    <mergeCell ref="A114:K114"/>
    <mergeCell ref="A117:K117"/>
    <mergeCell ref="A123:K123"/>
    <mergeCell ref="A125:K125"/>
    <mergeCell ref="A129:K129"/>
    <mergeCell ref="A131:K131"/>
    <mergeCell ref="A133:K133"/>
    <mergeCell ref="A135:K135"/>
    <mergeCell ref="A137:K137"/>
    <mergeCell ref="A143:K143"/>
    <mergeCell ref="A152:K152"/>
    <mergeCell ref="B153:H153"/>
    <mergeCell ref="I153:K153"/>
    <mergeCell ref="B154:H154"/>
    <mergeCell ref="I154:K154"/>
    <mergeCell ref="B155:H155"/>
    <mergeCell ref="I155:K155"/>
    <mergeCell ref="B156:H156"/>
    <mergeCell ref="I156:K156"/>
    <mergeCell ref="B157:H157"/>
    <mergeCell ref="I157:K157"/>
    <mergeCell ref="B158:H158"/>
    <mergeCell ref="I158:K158"/>
    <mergeCell ref="B159:H159"/>
    <mergeCell ref="I159:K159"/>
    <mergeCell ref="B160:H160"/>
    <mergeCell ref="I160:K160"/>
  </mergeCells>
  <conditionalFormatting sqref="J70:J145">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9"/>
  <sheetViews>
    <sheetView workbookViewId="0">
      <pane xSplit="1" ySplit="12" topLeftCell="B13" activePane="bottomRight" state="frozen"/>
      <selection/>
      <selection pane="topRight"/>
      <selection pane="bottomLeft"/>
      <selection pane="bottomRight" activeCell="A1" sqref="A1:J1"/>
    </sheetView>
  </sheetViews>
  <sheetFormatPr defaultColWidth="9" defaultRowHeight="15"/>
  <cols>
    <col min="1" max="1" width="15" customWidth="1"/>
    <col min="2" max="2" width="34" customWidth="1"/>
    <col min="3" max="3" width="9" customWidth="1"/>
    <col min="4" max="4" width="34" customWidth="1"/>
    <col min="5" max="5" width="24" customWidth="1"/>
    <col min="6" max="6" width="34" customWidth="1"/>
    <col min="7" max="7" width="30" customWidth="1"/>
    <col min="8" max="8" width="38" customWidth="1"/>
    <col min="9" max="9" width="11" customWidth="1"/>
    <col min="10" max="10" width="34" customWidth="1"/>
  </cols>
  <sheetData>
    <row r="1" ht="20.25" spans="1:10">
      <c r="A1" s="61" t="s">
        <v>1539</v>
      </c>
    </row>
    <row r="3" spans="1:10">
      <c r="A3" s="62" t="s">
        <v>1008</v>
      </c>
      <c r="B3" s="63" t="s">
        <v>227</v>
      </c>
      <c r="D3" s="62" t="s">
        <v>1540</v>
      </c>
      <c r="E3" s="63" t="s">
        <v>7</v>
      </c>
    </row>
    <row r="4" ht="30" spans="1:10">
      <c r="A4" s="62" t="s">
        <v>1541</v>
      </c>
      <c r="B4" s="64" t="s">
        <v>1542</v>
      </c>
      <c r="D4" s="62" t="s">
        <v>1543</v>
      </c>
      <c r="E4" s="63" t="s">
        <v>233</v>
      </c>
    </row>
    <row r="5" ht="30" spans="1:10">
      <c r="A5" s="62" t="s">
        <v>1544</v>
      </c>
      <c r="B5" s="63" t="s">
        <v>1545</v>
      </c>
      <c r="D5" s="62" t="s">
        <v>1546</v>
      </c>
      <c r="E5" s="64" t="s">
        <v>46</v>
      </c>
    </row>
    <row r="6" ht="45" spans="1:10">
      <c r="A6" s="62" t="s">
        <v>1547</v>
      </c>
      <c r="B6" s="63" t="s">
        <v>1548</v>
      </c>
      <c r="D6" s="62" t="s">
        <v>1549</v>
      </c>
      <c r="E6" s="64" t="s">
        <v>1550</v>
      </c>
    </row>
    <row r="8" ht="15.75" spans="1:10">
      <c r="A8" s="65" t="s">
        <v>1551</v>
      </c>
      <c r="B8" s="66"/>
      <c r="C8" s="66"/>
      <c r="D8" s="66"/>
      <c r="E8" s="66"/>
    </row>
    <row r="9" ht="28.5" spans="1:10">
      <c r="A9" s="67" t="s">
        <v>1552</v>
      </c>
      <c r="B9" s="67" t="s">
        <v>1553</v>
      </c>
      <c r="C9" s="67" t="s">
        <v>1554</v>
      </c>
      <c r="D9" s="67" t="s">
        <v>1555</v>
      </c>
      <c r="E9" s="67" t="s">
        <v>1556</v>
      </c>
    </row>
    <row r="10" spans="1:10">
      <c r="A10" s="68">
        <f>COUNTIF(I13:I79,"Pass")+COUNTIF(I13:I79,"Fail")</f>
        <v>53</v>
      </c>
      <c r="B10" s="68">
        <f>COUNTIF(I13:I79,"Pass")</f>
        <v>42</v>
      </c>
      <c r="C10" s="68">
        <f>COUNTIF(I13:I79,"Fail")</f>
        <v>11</v>
      </c>
      <c r="D10" s="69">
        <f>IFERROR(B10/A10,0)</f>
        <v>0.792452830188679</v>
      </c>
      <c r="E10" s="69">
        <f>IFERROR(C10/A10,0)</f>
        <v>0.207547169811321</v>
      </c>
    </row>
    <row r="12" ht="28.5" spans="1:10">
      <c r="A12" s="70" t="s">
        <v>1368</v>
      </c>
      <c r="B12" s="70" t="s">
        <v>1557</v>
      </c>
      <c r="C12" s="70" t="s">
        <v>1558</v>
      </c>
      <c r="D12" s="70" t="s">
        <v>1559</v>
      </c>
      <c r="E12" s="70" t="s">
        <v>1560</v>
      </c>
      <c r="F12" s="70" t="s">
        <v>1561</v>
      </c>
      <c r="G12" s="70" t="s">
        <v>1562</v>
      </c>
      <c r="H12" s="70" t="s">
        <v>1563</v>
      </c>
      <c r="I12" s="70" t="s">
        <v>1564</v>
      </c>
      <c r="J12" s="70" t="s">
        <v>1565</v>
      </c>
    </row>
    <row r="13" ht="15.75" spans="1:10">
      <c r="A13" s="71" t="s">
        <v>2613</v>
      </c>
      <c r="B13" s="48"/>
      <c r="C13" s="48"/>
      <c r="D13" s="48"/>
      <c r="E13" s="48"/>
      <c r="F13" s="48"/>
      <c r="G13" s="48"/>
      <c r="H13" s="48"/>
      <c r="I13" s="48"/>
      <c r="J13" s="32"/>
    </row>
    <row r="14" ht="105" customHeight="1" spans="1:10">
      <c r="A14" s="72" t="s">
        <v>2614</v>
      </c>
      <c r="B14" s="72" t="s">
        <v>2615</v>
      </c>
      <c r="C14" s="73" t="s">
        <v>1585</v>
      </c>
      <c r="D14" s="72" t="s">
        <v>2616</v>
      </c>
      <c r="E14" s="72" t="s">
        <v>1571</v>
      </c>
      <c r="F14" s="72" t="s">
        <v>1588</v>
      </c>
      <c r="G14" s="72" t="s">
        <v>2617</v>
      </c>
      <c r="H14" s="72" t="s">
        <v>2618</v>
      </c>
      <c r="I14" s="73" t="s">
        <v>1129</v>
      </c>
      <c r="J14" s="72" t="s">
        <v>7</v>
      </c>
    </row>
    <row r="15" ht="105" customHeight="1" spans="1:10">
      <c r="A15" s="72" t="s">
        <v>2619</v>
      </c>
      <c r="B15" s="72" t="s">
        <v>2620</v>
      </c>
      <c r="C15" s="73" t="s">
        <v>1585</v>
      </c>
      <c r="D15" s="72" t="s">
        <v>2621</v>
      </c>
      <c r="E15" s="72" t="s">
        <v>1571</v>
      </c>
      <c r="F15" s="72" t="s">
        <v>1588</v>
      </c>
      <c r="G15" s="72" t="s">
        <v>2622</v>
      </c>
      <c r="H15" s="72" t="s">
        <v>2623</v>
      </c>
      <c r="I15" s="73" t="s">
        <v>1129</v>
      </c>
      <c r="J15" s="72" t="s">
        <v>7</v>
      </c>
    </row>
    <row r="16" ht="75" customHeight="1" spans="1:10">
      <c r="A16" s="72" t="s">
        <v>2624</v>
      </c>
      <c r="B16" s="72" t="s">
        <v>2625</v>
      </c>
      <c r="C16" s="73" t="s">
        <v>1585</v>
      </c>
      <c r="D16" s="72" t="s">
        <v>2626</v>
      </c>
      <c r="E16" s="72" t="s">
        <v>1571</v>
      </c>
      <c r="F16" s="72" t="s">
        <v>1588</v>
      </c>
      <c r="G16" s="72" t="s">
        <v>2627</v>
      </c>
      <c r="H16" s="72" t="s">
        <v>2628</v>
      </c>
      <c r="I16" s="73" t="s">
        <v>1130</v>
      </c>
      <c r="J16" s="72" t="s">
        <v>2629</v>
      </c>
    </row>
    <row r="17" ht="105" customHeight="1" spans="1:10">
      <c r="A17" s="72" t="s">
        <v>2630</v>
      </c>
      <c r="B17" s="72" t="s">
        <v>2631</v>
      </c>
      <c r="C17" s="73" t="s">
        <v>1585</v>
      </c>
      <c r="D17" s="72" t="s">
        <v>2632</v>
      </c>
      <c r="E17" s="72" t="s">
        <v>1571</v>
      </c>
      <c r="F17" s="72" t="s">
        <v>1588</v>
      </c>
      <c r="G17" s="72" t="s">
        <v>2633</v>
      </c>
      <c r="H17" s="72" t="s">
        <v>2634</v>
      </c>
      <c r="I17" s="73" t="s">
        <v>1129</v>
      </c>
      <c r="J17" s="72" t="s">
        <v>7</v>
      </c>
    </row>
    <row r="18" ht="75" customHeight="1" spans="1:10">
      <c r="A18" s="72" t="s">
        <v>2635</v>
      </c>
      <c r="B18" s="72" t="s">
        <v>2636</v>
      </c>
      <c r="C18" s="73" t="s">
        <v>1585</v>
      </c>
      <c r="D18" s="72" t="s">
        <v>2637</v>
      </c>
      <c r="E18" s="72" t="s">
        <v>1571</v>
      </c>
      <c r="F18" s="72" t="s">
        <v>1588</v>
      </c>
      <c r="G18" s="72" t="s">
        <v>2638</v>
      </c>
      <c r="H18" s="72" t="s">
        <v>2639</v>
      </c>
      <c r="I18" s="73" t="s">
        <v>1130</v>
      </c>
      <c r="J18" s="72" t="s">
        <v>2629</v>
      </c>
    </row>
    <row r="19" ht="105" customHeight="1" spans="1:10">
      <c r="A19" s="72" t="s">
        <v>2640</v>
      </c>
      <c r="B19" s="72" t="s">
        <v>2641</v>
      </c>
      <c r="C19" s="73" t="s">
        <v>1585</v>
      </c>
      <c r="D19" s="72" t="s">
        <v>2642</v>
      </c>
      <c r="E19" s="72" t="s">
        <v>1571</v>
      </c>
      <c r="F19" s="72" t="s">
        <v>1588</v>
      </c>
      <c r="G19" s="72" t="s">
        <v>2643</v>
      </c>
      <c r="H19" s="72" t="s">
        <v>2618</v>
      </c>
      <c r="I19" s="73" t="s">
        <v>1129</v>
      </c>
      <c r="J19" s="72" t="s">
        <v>7</v>
      </c>
    </row>
    <row r="20" ht="15.75" spans="1:10">
      <c r="A20" s="71" t="s">
        <v>2644</v>
      </c>
      <c r="B20" s="48"/>
      <c r="C20" s="48"/>
      <c r="D20" s="48"/>
      <c r="E20" s="48"/>
      <c r="F20" s="48"/>
      <c r="G20" s="48"/>
      <c r="H20" s="48"/>
      <c r="I20" s="48"/>
      <c r="J20" s="32"/>
    </row>
    <row r="21" ht="105" customHeight="1" spans="1:10">
      <c r="A21" s="72" t="s">
        <v>2645</v>
      </c>
      <c r="B21" s="72" t="s">
        <v>2646</v>
      </c>
      <c r="C21" s="73" t="s">
        <v>1585</v>
      </c>
      <c r="D21" s="72" t="s">
        <v>2647</v>
      </c>
      <c r="E21" s="72" t="s">
        <v>1571</v>
      </c>
      <c r="F21" s="72" t="s">
        <v>1588</v>
      </c>
      <c r="G21" s="72" t="s">
        <v>2648</v>
      </c>
      <c r="H21" s="72" t="s">
        <v>2649</v>
      </c>
      <c r="I21" s="73" t="s">
        <v>1129</v>
      </c>
      <c r="J21" s="72" t="s">
        <v>7</v>
      </c>
    </row>
    <row r="22" ht="75" customHeight="1" spans="1:10">
      <c r="A22" s="72" t="s">
        <v>2650</v>
      </c>
      <c r="B22" s="72" t="s">
        <v>2651</v>
      </c>
      <c r="C22" s="73" t="s">
        <v>1585</v>
      </c>
      <c r="D22" s="72" t="s">
        <v>2652</v>
      </c>
      <c r="E22" s="72" t="s">
        <v>1571</v>
      </c>
      <c r="F22" s="72" t="s">
        <v>1588</v>
      </c>
      <c r="G22" s="72" t="s">
        <v>2653</v>
      </c>
      <c r="H22" s="72" t="s">
        <v>2654</v>
      </c>
      <c r="I22" s="73" t="s">
        <v>1130</v>
      </c>
      <c r="J22" s="72" t="s">
        <v>2655</v>
      </c>
    </row>
    <row r="23" ht="45" customHeight="1" spans="1:10">
      <c r="A23" s="72" t="s">
        <v>2656</v>
      </c>
      <c r="B23" s="72" t="s">
        <v>2657</v>
      </c>
      <c r="C23" s="73" t="s">
        <v>1585</v>
      </c>
      <c r="D23" s="72" t="s">
        <v>2658</v>
      </c>
      <c r="E23" s="72" t="s">
        <v>1571</v>
      </c>
      <c r="F23" s="72" t="s">
        <v>1588</v>
      </c>
      <c r="G23" s="72" t="s">
        <v>2659</v>
      </c>
      <c r="H23" s="72" t="s">
        <v>2660</v>
      </c>
      <c r="I23" s="73" t="s">
        <v>1129</v>
      </c>
      <c r="J23" s="72" t="s">
        <v>7</v>
      </c>
    </row>
    <row r="24" ht="45" customHeight="1" spans="1:10">
      <c r="A24" s="72" t="s">
        <v>2661</v>
      </c>
      <c r="B24" s="72" t="s">
        <v>2662</v>
      </c>
      <c r="C24" s="73" t="s">
        <v>1585</v>
      </c>
      <c r="D24" s="72" t="s">
        <v>2663</v>
      </c>
      <c r="E24" s="72" t="s">
        <v>1571</v>
      </c>
      <c r="F24" s="72" t="s">
        <v>1588</v>
      </c>
      <c r="G24" s="72" t="s">
        <v>2664</v>
      </c>
      <c r="H24" s="72" t="s">
        <v>2665</v>
      </c>
      <c r="I24" s="73" t="s">
        <v>1129</v>
      </c>
      <c r="J24" s="72" t="s">
        <v>7</v>
      </c>
    </row>
    <row r="25" ht="15.75" spans="1:10">
      <c r="A25" s="71" t="s">
        <v>2666</v>
      </c>
      <c r="B25" s="48"/>
      <c r="C25" s="48"/>
      <c r="D25" s="48"/>
      <c r="E25" s="48"/>
      <c r="F25" s="48"/>
      <c r="G25" s="48"/>
      <c r="H25" s="48"/>
      <c r="I25" s="48"/>
      <c r="J25" s="32"/>
    </row>
    <row r="26" ht="105" customHeight="1" spans="1:10">
      <c r="A26" s="72" t="s">
        <v>2667</v>
      </c>
      <c r="B26" s="72" t="s">
        <v>2668</v>
      </c>
      <c r="C26" s="73" t="s">
        <v>1585</v>
      </c>
      <c r="D26" s="72" t="s">
        <v>2669</v>
      </c>
      <c r="E26" s="72" t="s">
        <v>1571</v>
      </c>
      <c r="F26" s="72" t="s">
        <v>1588</v>
      </c>
      <c r="G26" s="72" t="s">
        <v>2670</v>
      </c>
      <c r="H26" s="72" t="s">
        <v>2671</v>
      </c>
      <c r="I26" s="73" t="s">
        <v>1129</v>
      </c>
      <c r="J26" s="72" t="s">
        <v>7</v>
      </c>
    </row>
    <row r="27" ht="45" customHeight="1" spans="1:10">
      <c r="A27" s="72" t="s">
        <v>2672</v>
      </c>
      <c r="B27" s="72" t="s">
        <v>2673</v>
      </c>
      <c r="C27" s="73" t="s">
        <v>1585</v>
      </c>
      <c r="D27" s="72" t="s">
        <v>2674</v>
      </c>
      <c r="E27" s="72" t="s">
        <v>1571</v>
      </c>
      <c r="F27" s="72" t="s">
        <v>1588</v>
      </c>
      <c r="G27" s="72" t="s">
        <v>1669</v>
      </c>
      <c r="H27" s="72" t="s">
        <v>2675</v>
      </c>
      <c r="I27" s="73" t="s">
        <v>1129</v>
      </c>
      <c r="J27" s="72" t="s">
        <v>7</v>
      </c>
    </row>
    <row r="28" ht="75" customHeight="1" spans="1:10">
      <c r="A28" s="72" t="s">
        <v>2676</v>
      </c>
      <c r="B28" s="72" t="s">
        <v>2677</v>
      </c>
      <c r="C28" s="73" t="s">
        <v>1585</v>
      </c>
      <c r="D28" s="72" t="s">
        <v>2678</v>
      </c>
      <c r="E28" s="72" t="s">
        <v>1571</v>
      </c>
      <c r="F28" s="72" t="s">
        <v>1588</v>
      </c>
      <c r="G28" s="72" t="s">
        <v>2638</v>
      </c>
      <c r="H28" s="72" t="s">
        <v>2679</v>
      </c>
      <c r="I28" s="73" t="s">
        <v>1130</v>
      </c>
      <c r="J28" s="72" t="s">
        <v>2629</v>
      </c>
    </row>
    <row r="29" ht="105" customHeight="1" spans="1:10">
      <c r="A29" s="72" t="s">
        <v>2680</v>
      </c>
      <c r="B29" s="72" t="s">
        <v>2681</v>
      </c>
      <c r="C29" s="73" t="s">
        <v>1585</v>
      </c>
      <c r="D29" s="72" t="s">
        <v>2682</v>
      </c>
      <c r="E29" s="72" t="s">
        <v>1571</v>
      </c>
      <c r="F29" s="72" t="s">
        <v>1588</v>
      </c>
      <c r="G29" s="72" t="s">
        <v>2683</v>
      </c>
      <c r="H29" s="72" t="s">
        <v>2684</v>
      </c>
      <c r="I29" s="73" t="s">
        <v>1129</v>
      </c>
      <c r="J29" s="72" t="s">
        <v>7</v>
      </c>
    </row>
    <row r="30" ht="15.75" spans="1:10">
      <c r="A30" s="71" t="s">
        <v>2685</v>
      </c>
      <c r="B30" s="48"/>
      <c r="C30" s="48"/>
      <c r="D30" s="48"/>
      <c r="E30" s="48"/>
      <c r="F30" s="48"/>
      <c r="G30" s="48"/>
      <c r="H30" s="48"/>
      <c r="I30" s="48"/>
      <c r="J30" s="32"/>
    </row>
    <row r="31" ht="105" customHeight="1" spans="1:10">
      <c r="A31" s="72" t="s">
        <v>2686</v>
      </c>
      <c r="B31" s="72" t="s">
        <v>2687</v>
      </c>
      <c r="C31" s="73" t="s">
        <v>1585</v>
      </c>
      <c r="D31" s="72" t="s">
        <v>2688</v>
      </c>
      <c r="E31" s="72" t="s">
        <v>1571</v>
      </c>
      <c r="F31" s="72" t="s">
        <v>1588</v>
      </c>
      <c r="G31" s="72" t="s">
        <v>2689</v>
      </c>
      <c r="H31" s="72" t="s">
        <v>2690</v>
      </c>
      <c r="I31" s="73" t="s">
        <v>1129</v>
      </c>
      <c r="J31" s="72" t="s">
        <v>7</v>
      </c>
    </row>
    <row r="32" ht="105" customHeight="1" spans="1:10">
      <c r="A32" s="72" t="s">
        <v>2691</v>
      </c>
      <c r="B32" s="72" t="s">
        <v>2692</v>
      </c>
      <c r="C32" s="73" t="s">
        <v>1585</v>
      </c>
      <c r="D32" s="72" t="s">
        <v>2693</v>
      </c>
      <c r="E32" s="72" t="s">
        <v>1571</v>
      </c>
      <c r="F32" s="72" t="s">
        <v>1588</v>
      </c>
      <c r="G32" s="72" t="s">
        <v>2694</v>
      </c>
      <c r="H32" s="72" t="s">
        <v>2695</v>
      </c>
      <c r="I32" s="73" t="s">
        <v>1129</v>
      </c>
      <c r="J32" s="72" t="s">
        <v>7</v>
      </c>
    </row>
    <row r="33" ht="45" customHeight="1" spans="1:10">
      <c r="A33" s="72" t="s">
        <v>2696</v>
      </c>
      <c r="B33" s="72" t="s">
        <v>2697</v>
      </c>
      <c r="C33" s="73" t="s">
        <v>1585</v>
      </c>
      <c r="D33" s="72" t="s">
        <v>2698</v>
      </c>
      <c r="E33" s="72" t="s">
        <v>1571</v>
      </c>
      <c r="F33" s="72" t="s">
        <v>1588</v>
      </c>
      <c r="G33" s="72" t="s">
        <v>1669</v>
      </c>
      <c r="H33" s="72" t="s">
        <v>2699</v>
      </c>
      <c r="I33" s="73" t="s">
        <v>1129</v>
      </c>
      <c r="J33" s="72" t="s">
        <v>7</v>
      </c>
    </row>
    <row r="34" ht="75" customHeight="1" spans="1:10">
      <c r="A34" s="72" t="s">
        <v>2700</v>
      </c>
      <c r="B34" s="72" t="s">
        <v>2701</v>
      </c>
      <c r="C34" s="73" t="s">
        <v>1585</v>
      </c>
      <c r="D34" s="72" t="s">
        <v>2702</v>
      </c>
      <c r="E34" s="72" t="s">
        <v>1571</v>
      </c>
      <c r="F34" s="72" t="s">
        <v>1588</v>
      </c>
      <c r="G34" s="72" t="s">
        <v>2638</v>
      </c>
      <c r="H34" s="72" t="s">
        <v>2703</v>
      </c>
      <c r="I34" s="73" t="s">
        <v>1130</v>
      </c>
      <c r="J34" s="72" t="s">
        <v>2629</v>
      </c>
    </row>
    <row r="35" ht="15.75" spans="1:10">
      <c r="A35" s="71" t="s">
        <v>2704</v>
      </c>
      <c r="B35" s="48"/>
      <c r="C35" s="48"/>
      <c r="D35" s="48"/>
      <c r="E35" s="48"/>
      <c r="F35" s="48"/>
      <c r="G35" s="48"/>
      <c r="H35" s="48"/>
      <c r="I35" s="48"/>
      <c r="J35" s="32"/>
    </row>
    <row r="36" ht="45" customHeight="1" spans="1:10">
      <c r="A36" s="72" t="s">
        <v>2705</v>
      </c>
      <c r="B36" s="72" t="s">
        <v>2706</v>
      </c>
      <c r="C36" s="73" t="s">
        <v>1585</v>
      </c>
      <c r="D36" s="72" t="s">
        <v>2707</v>
      </c>
      <c r="E36" s="72" t="s">
        <v>1571</v>
      </c>
      <c r="F36" s="72" t="s">
        <v>1588</v>
      </c>
      <c r="G36" s="72" t="s">
        <v>2708</v>
      </c>
      <c r="H36" s="72" t="s">
        <v>2709</v>
      </c>
      <c r="I36" s="73" t="s">
        <v>1129</v>
      </c>
      <c r="J36" s="72" t="s">
        <v>7</v>
      </c>
    </row>
    <row r="37" ht="75" customHeight="1" spans="1:10">
      <c r="A37" s="72" t="s">
        <v>2710</v>
      </c>
      <c r="B37" s="72" t="s">
        <v>2711</v>
      </c>
      <c r="C37" s="73" t="s">
        <v>1569</v>
      </c>
      <c r="D37" s="72" t="s">
        <v>2712</v>
      </c>
      <c r="E37" s="72" t="s">
        <v>1595</v>
      </c>
      <c r="F37" s="72" t="s">
        <v>2713</v>
      </c>
      <c r="G37" s="72" t="s">
        <v>2714</v>
      </c>
      <c r="H37" s="72" t="s">
        <v>2715</v>
      </c>
      <c r="I37" s="73" t="s">
        <v>1129</v>
      </c>
      <c r="J37" s="72" t="s">
        <v>7</v>
      </c>
    </row>
    <row r="38" ht="90" customHeight="1" spans="1:10">
      <c r="A38" s="72" t="s">
        <v>2716</v>
      </c>
      <c r="B38" s="72" t="s">
        <v>2711</v>
      </c>
      <c r="C38" s="73" t="s">
        <v>1569</v>
      </c>
      <c r="D38" s="72" t="s">
        <v>2717</v>
      </c>
      <c r="E38" s="72" t="s">
        <v>1595</v>
      </c>
      <c r="F38" s="72" t="s">
        <v>2718</v>
      </c>
      <c r="G38" s="72" t="s">
        <v>2719</v>
      </c>
      <c r="H38" s="72" t="s">
        <v>2720</v>
      </c>
      <c r="I38" s="73" t="s">
        <v>1129</v>
      </c>
      <c r="J38" s="72" t="s">
        <v>7</v>
      </c>
    </row>
    <row r="39" ht="15.75" spans="1:10">
      <c r="A39" s="71" t="s">
        <v>2721</v>
      </c>
      <c r="B39" s="48"/>
      <c r="C39" s="48"/>
      <c r="D39" s="48"/>
      <c r="E39" s="48"/>
      <c r="F39" s="48"/>
      <c r="G39" s="48"/>
      <c r="H39" s="48"/>
      <c r="I39" s="48"/>
      <c r="J39" s="32"/>
    </row>
    <row r="40" ht="45" customHeight="1" spans="1:10">
      <c r="A40" s="72" t="s">
        <v>2722</v>
      </c>
      <c r="B40" s="72" t="s">
        <v>2723</v>
      </c>
      <c r="C40" s="73" t="s">
        <v>1569</v>
      </c>
      <c r="D40" s="72" t="s">
        <v>2724</v>
      </c>
      <c r="E40" s="72" t="s">
        <v>1595</v>
      </c>
      <c r="F40" s="72" t="s">
        <v>1588</v>
      </c>
      <c r="G40" s="72" t="s">
        <v>1669</v>
      </c>
      <c r="H40" s="72" t="s">
        <v>2725</v>
      </c>
      <c r="I40" s="73" t="s">
        <v>1129</v>
      </c>
      <c r="J40" s="72" t="s">
        <v>7</v>
      </c>
    </row>
    <row r="41" ht="45" customHeight="1" spans="1:10">
      <c r="A41" s="72" t="s">
        <v>2726</v>
      </c>
      <c r="B41" s="72" t="s">
        <v>2727</v>
      </c>
      <c r="C41" s="73" t="s">
        <v>1585</v>
      </c>
      <c r="D41" s="72" t="s">
        <v>2728</v>
      </c>
      <c r="E41" s="72" t="s">
        <v>1595</v>
      </c>
      <c r="F41" s="72" t="s">
        <v>1588</v>
      </c>
      <c r="G41" s="72" t="s">
        <v>2729</v>
      </c>
      <c r="H41" s="72" t="s">
        <v>2730</v>
      </c>
      <c r="I41" s="73" t="s">
        <v>1129</v>
      </c>
      <c r="J41" s="72" t="s">
        <v>7</v>
      </c>
    </row>
    <row r="42" ht="45" customHeight="1" spans="1:10">
      <c r="A42" s="72" t="s">
        <v>2731</v>
      </c>
      <c r="B42" s="72" t="s">
        <v>2723</v>
      </c>
      <c r="C42" s="73" t="s">
        <v>1650</v>
      </c>
      <c r="D42" s="72" t="s">
        <v>2732</v>
      </c>
      <c r="E42" s="72" t="s">
        <v>1595</v>
      </c>
      <c r="F42" s="72" t="s">
        <v>1588</v>
      </c>
      <c r="G42" s="72" t="s">
        <v>1669</v>
      </c>
      <c r="H42" s="72" t="s">
        <v>2733</v>
      </c>
      <c r="I42" s="73" t="s">
        <v>1129</v>
      </c>
      <c r="J42" s="72" t="s">
        <v>7</v>
      </c>
    </row>
    <row r="43" ht="75" customHeight="1" spans="1:10">
      <c r="A43" s="72" t="s">
        <v>2734</v>
      </c>
      <c r="B43" s="72" t="s">
        <v>2735</v>
      </c>
      <c r="C43" s="73" t="s">
        <v>1569</v>
      </c>
      <c r="D43" s="72" t="s">
        <v>2736</v>
      </c>
      <c r="E43" s="72" t="s">
        <v>1595</v>
      </c>
      <c r="F43" s="72" t="s">
        <v>1588</v>
      </c>
      <c r="G43" s="72" t="s">
        <v>2638</v>
      </c>
      <c r="H43" s="72" t="s">
        <v>2737</v>
      </c>
      <c r="I43" s="73" t="s">
        <v>1130</v>
      </c>
      <c r="J43" s="72" t="s">
        <v>2629</v>
      </c>
    </row>
    <row r="44" ht="15.75" spans="1:10">
      <c r="A44" s="71" t="s">
        <v>2738</v>
      </c>
      <c r="B44" s="48"/>
      <c r="C44" s="48"/>
      <c r="D44" s="48"/>
      <c r="E44" s="48"/>
      <c r="F44" s="48"/>
      <c r="G44" s="48"/>
      <c r="H44" s="48"/>
      <c r="I44" s="48"/>
      <c r="J44" s="32"/>
    </row>
    <row r="45" ht="180" customHeight="1" spans="1:10">
      <c r="A45" s="72" t="s">
        <v>2739</v>
      </c>
      <c r="B45" s="72" t="s">
        <v>2740</v>
      </c>
      <c r="C45" s="73" t="s">
        <v>1569</v>
      </c>
      <c r="D45" s="72" t="s">
        <v>2741</v>
      </c>
      <c r="E45" s="72" t="s">
        <v>1663</v>
      </c>
      <c r="F45" s="72" t="s">
        <v>2742</v>
      </c>
      <c r="G45" s="72" t="s">
        <v>2743</v>
      </c>
      <c r="H45" s="72" t="s">
        <v>2744</v>
      </c>
      <c r="I45" s="73" t="s">
        <v>1129</v>
      </c>
      <c r="J45" s="72" t="s">
        <v>7</v>
      </c>
    </row>
    <row r="46" ht="165" customHeight="1" spans="1:10">
      <c r="A46" s="72" t="s">
        <v>2745</v>
      </c>
      <c r="B46" s="72" t="s">
        <v>2740</v>
      </c>
      <c r="C46" s="73" t="s">
        <v>1569</v>
      </c>
      <c r="D46" s="72" t="s">
        <v>2746</v>
      </c>
      <c r="E46" s="72" t="s">
        <v>1663</v>
      </c>
      <c r="F46" s="72" t="s">
        <v>2747</v>
      </c>
      <c r="G46" s="72" t="s">
        <v>2748</v>
      </c>
      <c r="H46" s="72" t="s">
        <v>2749</v>
      </c>
      <c r="I46" s="73" t="s">
        <v>1129</v>
      </c>
      <c r="J46" s="72" t="s">
        <v>7</v>
      </c>
    </row>
    <row r="47" ht="180" customHeight="1" spans="1:10">
      <c r="A47" s="72" t="s">
        <v>2750</v>
      </c>
      <c r="B47" s="72" t="s">
        <v>2740</v>
      </c>
      <c r="C47" s="73" t="s">
        <v>1569</v>
      </c>
      <c r="D47" s="72" t="s">
        <v>2751</v>
      </c>
      <c r="E47" s="72" t="s">
        <v>1663</v>
      </c>
      <c r="F47" s="72" t="s">
        <v>2752</v>
      </c>
      <c r="G47" s="72" t="s">
        <v>2753</v>
      </c>
      <c r="H47" s="72" t="s">
        <v>2754</v>
      </c>
      <c r="I47" s="73" t="s">
        <v>1129</v>
      </c>
      <c r="J47" s="72" t="s">
        <v>7</v>
      </c>
    </row>
    <row r="48" ht="180" customHeight="1" spans="1:10">
      <c r="A48" s="72" t="s">
        <v>2755</v>
      </c>
      <c r="B48" s="72" t="s">
        <v>2740</v>
      </c>
      <c r="C48" s="73" t="s">
        <v>1569</v>
      </c>
      <c r="D48" s="72" t="s">
        <v>2756</v>
      </c>
      <c r="E48" s="72" t="s">
        <v>1663</v>
      </c>
      <c r="F48" s="72" t="s">
        <v>2757</v>
      </c>
      <c r="G48" s="72" t="s">
        <v>2758</v>
      </c>
      <c r="H48" s="72" t="s">
        <v>2759</v>
      </c>
      <c r="I48" s="73" t="s">
        <v>1129</v>
      </c>
      <c r="J48" s="72" t="s">
        <v>7</v>
      </c>
    </row>
    <row r="49" ht="165" customHeight="1" spans="1:10">
      <c r="A49" s="72" t="s">
        <v>2760</v>
      </c>
      <c r="B49" s="72" t="s">
        <v>2740</v>
      </c>
      <c r="C49" s="73" t="s">
        <v>1569</v>
      </c>
      <c r="D49" s="72" t="s">
        <v>2761</v>
      </c>
      <c r="E49" s="72" t="s">
        <v>1663</v>
      </c>
      <c r="F49" s="72" t="s">
        <v>2762</v>
      </c>
      <c r="G49" s="72" t="s">
        <v>2763</v>
      </c>
      <c r="H49" s="72" t="s">
        <v>2764</v>
      </c>
      <c r="I49" s="73" t="s">
        <v>1129</v>
      </c>
      <c r="J49" s="72" t="s">
        <v>7</v>
      </c>
    </row>
    <row r="50" ht="180" customHeight="1" spans="1:10">
      <c r="A50" s="72" t="s">
        <v>2765</v>
      </c>
      <c r="B50" s="72" t="s">
        <v>2766</v>
      </c>
      <c r="C50" s="73" t="s">
        <v>1603</v>
      </c>
      <c r="D50" s="72" t="s">
        <v>2767</v>
      </c>
      <c r="E50" s="72" t="s">
        <v>1663</v>
      </c>
      <c r="F50" s="72" t="s">
        <v>2768</v>
      </c>
      <c r="G50" s="72" t="s">
        <v>2769</v>
      </c>
      <c r="H50" s="72" t="s">
        <v>2770</v>
      </c>
      <c r="I50" s="73" t="s">
        <v>1129</v>
      </c>
      <c r="J50" s="72" t="s">
        <v>7</v>
      </c>
    </row>
    <row r="51" ht="105" customHeight="1" spans="1:10">
      <c r="A51" s="72" t="s">
        <v>2771</v>
      </c>
      <c r="B51" s="72" t="s">
        <v>2772</v>
      </c>
      <c r="C51" s="73" t="s">
        <v>1585</v>
      </c>
      <c r="D51" s="72" t="s">
        <v>2773</v>
      </c>
      <c r="E51" s="72" t="s">
        <v>1571</v>
      </c>
      <c r="F51" s="72" t="s">
        <v>1588</v>
      </c>
      <c r="G51" s="72" t="s">
        <v>2769</v>
      </c>
      <c r="H51" s="72" t="s">
        <v>2774</v>
      </c>
      <c r="I51" s="73" t="s">
        <v>1129</v>
      </c>
      <c r="J51" s="72" t="s">
        <v>7</v>
      </c>
    </row>
    <row r="52" ht="15.75" spans="1:10">
      <c r="A52" s="71" t="s">
        <v>1671</v>
      </c>
      <c r="B52" s="48"/>
      <c r="C52" s="48"/>
      <c r="D52" s="48"/>
      <c r="E52" s="48"/>
      <c r="F52" s="48"/>
      <c r="G52" s="48"/>
      <c r="H52" s="48"/>
      <c r="I52" s="48"/>
      <c r="J52" s="32"/>
    </row>
    <row r="53" ht="165" customHeight="1" spans="1:10">
      <c r="A53" s="72" t="s">
        <v>2775</v>
      </c>
      <c r="B53" s="72" t="s">
        <v>2740</v>
      </c>
      <c r="C53" s="73" t="s">
        <v>1569</v>
      </c>
      <c r="D53" s="72" t="s">
        <v>2776</v>
      </c>
      <c r="E53" s="72" t="s">
        <v>1668</v>
      </c>
      <c r="F53" s="72" t="s">
        <v>2777</v>
      </c>
      <c r="G53" s="72" t="s">
        <v>1669</v>
      </c>
      <c r="H53" s="72" t="s">
        <v>2778</v>
      </c>
      <c r="I53" s="73" t="s">
        <v>1130</v>
      </c>
      <c r="J53" s="72" t="s">
        <v>2779</v>
      </c>
    </row>
    <row r="54" ht="75" customHeight="1" spans="1:10">
      <c r="A54" s="72" t="s">
        <v>2780</v>
      </c>
      <c r="B54" s="72" t="s">
        <v>2781</v>
      </c>
      <c r="C54" s="73" t="s">
        <v>1650</v>
      </c>
      <c r="D54" s="72" t="s">
        <v>2782</v>
      </c>
      <c r="E54" s="72" t="s">
        <v>1668</v>
      </c>
      <c r="F54" s="72" t="s">
        <v>1588</v>
      </c>
      <c r="G54" s="72" t="s">
        <v>1691</v>
      </c>
      <c r="H54" s="72" t="s">
        <v>2783</v>
      </c>
      <c r="I54" s="73" t="s">
        <v>1130</v>
      </c>
      <c r="J54" s="72" t="s">
        <v>1693</v>
      </c>
    </row>
    <row r="55" ht="180" customHeight="1" spans="1:10">
      <c r="A55" s="72" t="s">
        <v>2784</v>
      </c>
      <c r="B55" s="72" t="s">
        <v>2740</v>
      </c>
      <c r="C55" s="73" t="s">
        <v>1569</v>
      </c>
      <c r="D55" s="72" t="s">
        <v>2785</v>
      </c>
      <c r="E55" s="72" t="s">
        <v>1595</v>
      </c>
      <c r="F55" s="72" t="s">
        <v>2742</v>
      </c>
      <c r="G55" s="72" t="s">
        <v>2786</v>
      </c>
      <c r="H55" s="72" t="s">
        <v>2787</v>
      </c>
      <c r="I55" s="73" t="s">
        <v>1129</v>
      </c>
      <c r="J55" s="72" t="s">
        <v>7</v>
      </c>
    </row>
    <row r="56" ht="15.75" spans="1:10">
      <c r="A56" s="71" t="s">
        <v>2738</v>
      </c>
      <c r="B56" s="48"/>
      <c r="C56" s="48"/>
      <c r="D56" s="48"/>
      <c r="E56" s="48"/>
      <c r="F56" s="48"/>
      <c r="G56" s="48"/>
      <c r="H56" s="48"/>
      <c r="I56" s="48"/>
      <c r="J56" s="32"/>
    </row>
    <row r="57" ht="45" customHeight="1" spans="1:10">
      <c r="A57" s="72" t="s">
        <v>2788</v>
      </c>
      <c r="B57" s="72" t="s">
        <v>2766</v>
      </c>
      <c r="C57" s="73" t="s">
        <v>1650</v>
      </c>
      <c r="D57" s="72" t="s">
        <v>2789</v>
      </c>
      <c r="E57" s="72" t="s">
        <v>1663</v>
      </c>
      <c r="F57" s="72" t="s">
        <v>1588</v>
      </c>
      <c r="G57" s="72" t="s">
        <v>1669</v>
      </c>
      <c r="H57" s="72" t="s">
        <v>2790</v>
      </c>
      <c r="I57" s="73" t="s">
        <v>1129</v>
      </c>
      <c r="J57" s="72" t="s">
        <v>7</v>
      </c>
    </row>
    <row r="58" ht="75" customHeight="1" spans="1:10">
      <c r="A58" s="72" t="s">
        <v>2791</v>
      </c>
      <c r="B58" s="72" t="s">
        <v>2772</v>
      </c>
      <c r="C58" s="73" t="s">
        <v>1585</v>
      </c>
      <c r="D58" s="72" t="s">
        <v>2792</v>
      </c>
      <c r="E58" s="72" t="s">
        <v>1571</v>
      </c>
      <c r="F58" s="72" t="s">
        <v>1588</v>
      </c>
      <c r="G58" s="72" t="s">
        <v>2638</v>
      </c>
      <c r="H58" s="72" t="s">
        <v>2793</v>
      </c>
      <c r="I58" s="73" t="s">
        <v>1130</v>
      </c>
      <c r="J58" s="72" t="s">
        <v>2629</v>
      </c>
    </row>
    <row r="59" ht="15.75" spans="1:10">
      <c r="A59" s="71" t="s">
        <v>2794</v>
      </c>
      <c r="B59" s="48"/>
      <c r="C59" s="48"/>
      <c r="D59" s="48"/>
      <c r="E59" s="48"/>
      <c r="F59" s="48"/>
      <c r="G59" s="48"/>
      <c r="H59" s="48"/>
      <c r="I59" s="48"/>
      <c r="J59" s="32"/>
    </row>
    <row r="60" ht="90" customHeight="1" spans="1:10">
      <c r="A60" s="72" t="s">
        <v>2795</v>
      </c>
      <c r="B60" s="72" t="s">
        <v>2796</v>
      </c>
      <c r="C60" s="73" t="s">
        <v>1569</v>
      </c>
      <c r="D60" s="72" t="s">
        <v>2797</v>
      </c>
      <c r="E60" s="72" t="s">
        <v>1663</v>
      </c>
      <c r="F60" s="72" t="s">
        <v>2798</v>
      </c>
      <c r="G60" s="72" t="s">
        <v>2799</v>
      </c>
      <c r="H60" s="72" t="s">
        <v>2800</v>
      </c>
      <c r="I60" s="73" t="s">
        <v>1129</v>
      </c>
      <c r="J60" s="72" t="s">
        <v>7</v>
      </c>
    </row>
    <row r="61" ht="45" customHeight="1" spans="1:10">
      <c r="A61" s="72" t="s">
        <v>2801</v>
      </c>
      <c r="B61" s="72" t="s">
        <v>2802</v>
      </c>
      <c r="C61" s="73" t="s">
        <v>1603</v>
      </c>
      <c r="D61" s="72" t="s">
        <v>2803</v>
      </c>
      <c r="E61" s="72" t="s">
        <v>1663</v>
      </c>
      <c r="F61" s="72" t="s">
        <v>2804</v>
      </c>
      <c r="G61" s="72" t="s">
        <v>2805</v>
      </c>
      <c r="H61" s="72" t="s">
        <v>2806</v>
      </c>
      <c r="I61" s="73" t="s">
        <v>1129</v>
      </c>
      <c r="J61" s="72" t="s">
        <v>7</v>
      </c>
    </row>
    <row r="62" ht="45" customHeight="1" spans="1:10">
      <c r="A62" s="72" t="s">
        <v>2807</v>
      </c>
      <c r="B62" s="72" t="s">
        <v>2802</v>
      </c>
      <c r="C62" s="73" t="s">
        <v>1650</v>
      </c>
      <c r="D62" s="72" t="s">
        <v>2808</v>
      </c>
      <c r="E62" s="72" t="s">
        <v>1663</v>
      </c>
      <c r="F62" s="72" t="s">
        <v>1588</v>
      </c>
      <c r="G62" s="72" t="s">
        <v>1669</v>
      </c>
      <c r="H62" s="72" t="s">
        <v>2809</v>
      </c>
      <c r="I62" s="73" t="s">
        <v>1129</v>
      </c>
      <c r="J62" s="72" t="s">
        <v>7</v>
      </c>
    </row>
    <row r="63" ht="15.75" spans="1:10">
      <c r="A63" s="71" t="s">
        <v>2810</v>
      </c>
      <c r="B63" s="48"/>
      <c r="C63" s="48"/>
      <c r="D63" s="48"/>
      <c r="E63" s="48"/>
      <c r="F63" s="48"/>
      <c r="G63" s="48"/>
      <c r="H63" s="48"/>
      <c r="I63" s="48"/>
      <c r="J63" s="32"/>
    </row>
    <row r="64" ht="75" customHeight="1" spans="1:10">
      <c r="A64" s="72" t="s">
        <v>2811</v>
      </c>
      <c r="B64" s="72" t="s">
        <v>2812</v>
      </c>
      <c r="C64" s="73" t="s">
        <v>1569</v>
      </c>
      <c r="D64" s="72" t="s">
        <v>2813</v>
      </c>
      <c r="E64" s="72" t="s">
        <v>1663</v>
      </c>
      <c r="F64" s="72" t="s">
        <v>2814</v>
      </c>
      <c r="G64" s="72" t="s">
        <v>1669</v>
      </c>
      <c r="H64" s="72" t="s">
        <v>2815</v>
      </c>
      <c r="I64" s="73" t="s">
        <v>1129</v>
      </c>
      <c r="J64" s="72" t="s">
        <v>7</v>
      </c>
    </row>
    <row r="65" ht="75" customHeight="1" spans="1:10">
      <c r="A65" s="72" t="s">
        <v>2816</v>
      </c>
      <c r="B65" s="72" t="s">
        <v>2812</v>
      </c>
      <c r="C65" s="73" t="s">
        <v>1569</v>
      </c>
      <c r="D65" s="72" t="s">
        <v>2817</v>
      </c>
      <c r="E65" s="72" t="s">
        <v>1663</v>
      </c>
      <c r="F65" s="72" t="s">
        <v>2818</v>
      </c>
      <c r="G65" s="72" t="s">
        <v>2819</v>
      </c>
      <c r="H65" s="72" t="s">
        <v>2820</v>
      </c>
      <c r="I65" s="73" t="s">
        <v>1130</v>
      </c>
      <c r="J65" s="72" t="s">
        <v>2655</v>
      </c>
    </row>
    <row r="66" ht="45" customHeight="1" spans="1:10">
      <c r="A66" s="72" t="s">
        <v>2821</v>
      </c>
      <c r="B66" s="72" t="s">
        <v>2822</v>
      </c>
      <c r="C66" s="73" t="s">
        <v>1650</v>
      </c>
      <c r="D66" s="72" t="s">
        <v>2823</v>
      </c>
      <c r="E66" s="72" t="s">
        <v>1663</v>
      </c>
      <c r="F66" s="72" t="s">
        <v>1588</v>
      </c>
      <c r="G66" s="72" t="s">
        <v>1669</v>
      </c>
      <c r="H66" s="72" t="s">
        <v>2824</v>
      </c>
      <c r="I66" s="73" t="s">
        <v>1129</v>
      </c>
      <c r="J66" s="72" t="s">
        <v>7</v>
      </c>
    </row>
    <row r="67" ht="15.75" spans="1:10">
      <c r="A67" s="71" t="s">
        <v>2704</v>
      </c>
      <c r="B67" s="48"/>
      <c r="C67" s="48"/>
      <c r="D67" s="48"/>
      <c r="E67" s="48"/>
      <c r="F67" s="48"/>
      <c r="G67" s="48"/>
      <c r="H67" s="48"/>
      <c r="I67" s="48"/>
      <c r="J67" s="32"/>
    </row>
    <row r="68" ht="105" customHeight="1" spans="1:10">
      <c r="A68" s="72" t="s">
        <v>2825</v>
      </c>
      <c r="B68" s="72" t="s">
        <v>2826</v>
      </c>
      <c r="C68" s="73" t="s">
        <v>1585</v>
      </c>
      <c r="D68" s="72" t="s">
        <v>2827</v>
      </c>
      <c r="E68" s="72" t="s">
        <v>1663</v>
      </c>
      <c r="F68" s="72" t="s">
        <v>1588</v>
      </c>
      <c r="G68" s="72" t="s">
        <v>1669</v>
      </c>
      <c r="H68" s="72" t="s">
        <v>2828</v>
      </c>
      <c r="I68" s="73" t="s">
        <v>1129</v>
      </c>
      <c r="J68" s="72" t="s">
        <v>7</v>
      </c>
    </row>
    <row r="69" ht="15.75" spans="1:10">
      <c r="A69" s="71" t="s">
        <v>2829</v>
      </c>
      <c r="B69" s="48"/>
      <c r="C69" s="48"/>
      <c r="D69" s="48"/>
      <c r="E69" s="48"/>
      <c r="F69" s="48"/>
      <c r="G69" s="48"/>
      <c r="H69" s="48"/>
      <c r="I69" s="48"/>
      <c r="J69" s="32"/>
    </row>
    <row r="70" ht="105" customHeight="1" spans="1:10">
      <c r="A70" s="72" t="s">
        <v>2830</v>
      </c>
      <c r="B70" s="72" t="s">
        <v>2831</v>
      </c>
      <c r="C70" s="73" t="s">
        <v>1585</v>
      </c>
      <c r="D70" s="72" t="s">
        <v>2832</v>
      </c>
      <c r="E70" s="72" t="s">
        <v>1571</v>
      </c>
      <c r="F70" s="72" t="s">
        <v>1588</v>
      </c>
      <c r="G70" s="72" t="s">
        <v>2833</v>
      </c>
      <c r="H70" s="72" t="s">
        <v>2834</v>
      </c>
      <c r="I70" s="73" t="s">
        <v>1129</v>
      </c>
      <c r="J70" s="72" t="s">
        <v>7</v>
      </c>
    </row>
    <row r="71" ht="60" customHeight="1" spans="1:10">
      <c r="A71" s="72" t="s">
        <v>2835</v>
      </c>
      <c r="B71" s="72" t="s">
        <v>2836</v>
      </c>
      <c r="C71" s="73" t="s">
        <v>1585</v>
      </c>
      <c r="D71" s="72" t="s">
        <v>2837</v>
      </c>
      <c r="E71" s="72" t="s">
        <v>1571</v>
      </c>
      <c r="F71" s="72" t="s">
        <v>1588</v>
      </c>
      <c r="G71" s="72" t="s">
        <v>2557</v>
      </c>
      <c r="H71" s="72" t="s">
        <v>2838</v>
      </c>
      <c r="I71" s="73" t="s">
        <v>1129</v>
      </c>
      <c r="J71" s="72" t="s">
        <v>7</v>
      </c>
    </row>
    <row r="72" ht="45" customHeight="1" spans="1:10">
      <c r="A72" s="72" t="s">
        <v>2839</v>
      </c>
      <c r="B72" s="72" t="s">
        <v>2840</v>
      </c>
      <c r="C72" s="73" t="s">
        <v>1585</v>
      </c>
      <c r="D72" s="72" t="s">
        <v>2841</v>
      </c>
      <c r="E72" s="72" t="s">
        <v>1571</v>
      </c>
      <c r="F72" s="72" t="s">
        <v>1588</v>
      </c>
      <c r="G72" s="72" t="s">
        <v>2842</v>
      </c>
      <c r="H72" s="72" t="s">
        <v>2843</v>
      </c>
      <c r="I72" s="73" t="s">
        <v>1129</v>
      </c>
      <c r="J72" s="72" t="s">
        <v>7</v>
      </c>
    </row>
    <row r="73" ht="105" customHeight="1" spans="1:10">
      <c r="A73" s="72" t="s">
        <v>2844</v>
      </c>
      <c r="B73" s="72" t="s">
        <v>2845</v>
      </c>
      <c r="C73" s="73" t="s">
        <v>1585</v>
      </c>
      <c r="D73" s="72" t="s">
        <v>2846</v>
      </c>
      <c r="E73" s="72" t="s">
        <v>1571</v>
      </c>
      <c r="F73" s="72" t="s">
        <v>1588</v>
      </c>
      <c r="G73" s="72" t="s">
        <v>2847</v>
      </c>
      <c r="H73" s="72" t="s">
        <v>2848</v>
      </c>
      <c r="I73" s="73" t="s">
        <v>1129</v>
      </c>
      <c r="J73" s="72" t="s">
        <v>7</v>
      </c>
    </row>
    <row r="74" ht="90" customHeight="1" spans="1:10">
      <c r="A74" s="72" t="s">
        <v>2849</v>
      </c>
      <c r="B74" s="72" t="s">
        <v>2850</v>
      </c>
      <c r="C74" s="73" t="s">
        <v>1585</v>
      </c>
      <c r="D74" s="72" t="s">
        <v>2851</v>
      </c>
      <c r="E74" s="72" t="s">
        <v>1571</v>
      </c>
      <c r="F74" s="72" t="s">
        <v>1588</v>
      </c>
      <c r="G74" s="72" t="s">
        <v>2557</v>
      </c>
      <c r="H74" s="72" t="s">
        <v>2852</v>
      </c>
      <c r="I74" s="73" t="s">
        <v>1129</v>
      </c>
      <c r="J74" s="72" t="s">
        <v>7</v>
      </c>
    </row>
    <row r="75" ht="105" customHeight="1" spans="1:10">
      <c r="A75" s="72" t="s">
        <v>2853</v>
      </c>
      <c r="B75" s="72" t="s">
        <v>2854</v>
      </c>
      <c r="C75" s="73" t="s">
        <v>1569</v>
      </c>
      <c r="D75" s="72" t="s">
        <v>2855</v>
      </c>
      <c r="E75" s="72" t="s">
        <v>1571</v>
      </c>
      <c r="F75" s="72" t="s">
        <v>2856</v>
      </c>
      <c r="G75" s="72" t="s">
        <v>2833</v>
      </c>
      <c r="H75" s="72" t="s">
        <v>2857</v>
      </c>
      <c r="I75" s="73" t="s">
        <v>1129</v>
      </c>
      <c r="J75" s="72" t="s">
        <v>7</v>
      </c>
    </row>
    <row r="76" ht="45" customHeight="1" spans="1:10">
      <c r="A76" s="72" t="s">
        <v>2858</v>
      </c>
      <c r="B76" s="72" t="s">
        <v>2859</v>
      </c>
      <c r="C76" s="73" t="s">
        <v>1569</v>
      </c>
      <c r="D76" s="72" t="s">
        <v>2860</v>
      </c>
      <c r="E76" s="72" t="s">
        <v>1571</v>
      </c>
      <c r="F76" s="72" t="s">
        <v>2856</v>
      </c>
      <c r="G76" s="72" t="s">
        <v>2861</v>
      </c>
      <c r="H76" s="72" t="s">
        <v>2862</v>
      </c>
      <c r="I76" s="73" t="s">
        <v>1129</v>
      </c>
      <c r="J76" s="72" t="s">
        <v>7</v>
      </c>
    </row>
    <row r="77" ht="45" customHeight="1" spans="1:10">
      <c r="A77" s="72" t="s">
        <v>2863</v>
      </c>
      <c r="B77" s="72" t="s">
        <v>2859</v>
      </c>
      <c r="C77" s="73" t="s">
        <v>1569</v>
      </c>
      <c r="D77" s="72" t="s">
        <v>2864</v>
      </c>
      <c r="E77" s="72" t="s">
        <v>1571</v>
      </c>
      <c r="F77" s="72" t="s">
        <v>1588</v>
      </c>
      <c r="G77" s="72" t="s">
        <v>2557</v>
      </c>
      <c r="H77" s="72" t="s">
        <v>2865</v>
      </c>
      <c r="I77" s="73" t="s">
        <v>1129</v>
      </c>
      <c r="J77" s="72" t="s">
        <v>7</v>
      </c>
    </row>
    <row r="78" ht="15.75" spans="1:10">
      <c r="A78" s="71" t="s">
        <v>2738</v>
      </c>
      <c r="B78" s="48"/>
      <c r="C78" s="48"/>
      <c r="D78" s="48"/>
      <c r="E78" s="48"/>
      <c r="F78" s="48"/>
      <c r="G78" s="48"/>
      <c r="H78" s="48"/>
      <c r="I78" s="48"/>
      <c r="J78" s="32"/>
    </row>
    <row r="79" ht="150" customHeight="1" spans="1:10">
      <c r="A79" s="72" t="s">
        <v>2866</v>
      </c>
      <c r="B79" s="72" t="s">
        <v>2740</v>
      </c>
      <c r="C79" s="73" t="s">
        <v>1569</v>
      </c>
      <c r="D79" s="72" t="s">
        <v>2867</v>
      </c>
      <c r="E79" s="72" t="s">
        <v>1663</v>
      </c>
      <c r="F79" s="72" t="s">
        <v>2868</v>
      </c>
      <c r="G79" s="72" t="s">
        <v>2869</v>
      </c>
      <c r="H79" s="72" t="s">
        <v>2870</v>
      </c>
      <c r="I79" s="73" t="s">
        <v>1130</v>
      </c>
      <c r="J79" s="72" t="s">
        <v>2871</v>
      </c>
    </row>
  </sheetData>
  <mergeCells count="16">
    <mergeCell ref="A1:J1"/>
    <mergeCell ref="A8:E8"/>
    <mergeCell ref="A13:J13"/>
    <mergeCell ref="A20:J20"/>
    <mergeCell ref="A25:J25"/>
    <mergeCell ref="A30:J30"/>
    <mergeCell ref="A35:J35"/>
    <mergeCell ref="A39:J39"/>
    <mergeCell ref="A44:J44"/>
    <mergeCell ref="A52:J52"/>
    <mergeCell ref="A56:J56"/>
    <mergeCell ref="A59:J59"/>
    <mergeCell ref="A63:J63"/>
    <mergeCell ref="A67:J67"/>
    <mergeCell ref="A69:J69"/>
    <mergeCell ref="A78:J78"/>
  </mergeCells>
  <conditionalFormatting sqref="I13:I79">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0"/>
  <sheetViews>
    <sheetView workbookViewId="0">
      <selection activeCell="A1" sqref="A1:K1"/>
    </sheetView>
  </sheetViews>
  <sheetFormatPr defaultColWidth="9" defaultRowHeight="15"/>
  <cols>
    <col min="1" max="1" width="7" customWidth="1"/>
    <col min="2" max="2" width="12" customWidth="1"/>
    <col min="3" max="3" width="30" customWidth="1"/>
    <col min="4" max="4" width="20" customWidth="1"/>
    <col min="5" max="5" width="36" customWidth="1"/>
    <col min="6" max="9" width="18" customWidth="1"/>
    <col min="10" max="10" width="10" customWidth="1"/>
    <col min="11" max="11" width="26" customWidth="1"/>
  </cols>
  <sheetData>
    <row r="1" ht="20.25" spans="1:11">
      <c r="A1" s="20" t="s">
        <v>1749</v>
      </c>
    </row>
    <row r="3" ht="28.5" spans="1:11">
      <c r="A3" s="49" t="s">
        <v>1008</v>
      </c>
      <c r="B3" s="49" t="s">
        <v>227</v>
      </c>
      <c r="D3" s="49" t="s">
        <v>1540</v>
      </c>
      <c r="E3" s="49" t="s">
        <v>7</v>
      </c>
    </row>
    <row r="4" ht="42.75" spans="1:11">
      <c r="A4" s="49" t="s">
        <v>1750</v>
      </c>
      <c r="B4" s="50" t="s">
        <v>2872</v>
      </c>
      <c r="D4" s="49" t="s">
        <v>1752</v>
      </c>
      <c r="E4" s="49" t="s">
        <v>1753</v>
      </c>
    </row>
    <row r="5" ht="42.75" spans="1:11">
      <c r="A5" s="49" t="s">
        <v>1754</v>
      </c>
      <c r="B5" s="49" t="s">
        <v>1755</v>
      </c>
      <c r="D5" s="49" t="s">
        <v>1543</v>
      </c>
      <c r="E5" s="49" t="s">
        <v>233</v>
      </c>
    </row>
    <row r="7" ht="15.75" spans="1:11">
      <c r="A7" s="51" t="s">
        <v>1756</v>
      </c>
    </row>
    <row r="8" spans="1:11">
      <c r="A8" s="52" t="s">
        <v>1757</v>
      </c>
      <c r="B8" s="32"/>
      <c r="C8" s="52" t="s">
        <v>1758</v>
      </c>
      <c r="D8" s="52" t="s">
        <v>1553</v>
      </c>
      <c r="E8" s="52" t="s">
        <v>1554</v>
      </c>
      <c r="F8" s="52" t="s">
        <v>1759</v>
      </c>
      <c r="G8" s="52" t="s">
        <v>1760</v>
      </c>
      <c r="H8" s="48"/>
      <c r="I8" s="48"/>
      <c r="J8" s="48"/>
      <c r="K8" s="32"/>
    </row>
    <row r="9" ht="32" customHeight="1" spans="1:11">
      <c r="A9" s="53" t="s">
        <v>1761</v>
      </c>
      <c r="B9" s="54"/>
      <c r="C9" s="55">
        <f>COUNTIF($B$15:$B$150,"Unit Test")-COUNTIFS($B$15:$B$150,"Unit Test",$J$15:$J$150,"Pending")</f>
        <v>55</v>
      </c>
      <c r="D9" s="55">
        <f>COUNTIFS($B$15:$B$150,"Unit Test",$J$15:$J$150,"Pass")</f>
        <v>48</v>
      </c>
      <c r="E9" s="55">
        <f>COUNTIFS($B$15:$B$150,"Unit Test",$J$15:$J$150,"Fail")</f>
        <v>7</v>
      </c>
      <c r="F9" s="56">
        <f>IFERROR(D9/C9,0)</f>
        <v>0.872727272727273</v>
      </c>
      <c r="G9" s="57" t="s">
        <v>2197</v>
      </c>
      <c r="H9" s="48"/>
      <c r="I9" s="48"/>
      <c r="J9" s="48"/>
      <c r="K9" s="32"/>
    </row>
    <row r="10" ht="32" customHeight="1" spans="1:11">
      <c r="A10" s="53" t="s">
        <v>1762</v>
      </c>
      <c r="B10" s="54"/>
      <c r="C10" s="55">
        <f>COUNTIF($B$15:$B$150,"API Test")-COUNTIFS($B$15:$B$150,"API Test",$J$15:$J$150,"Pending")</f>
        <v>53</v>
      </c>
      <c r="D10" s="55">
        <f>COUNTIFS($B$15:$B$150,"API Test",$J$15:$J$150,"Pass")</f>
        <v>42</v>
      </c>
      <c r="E10" s="55">
        <f>COUNTIFS($B$15:$B$150,"API Test",$J$15:$J$150,"Fail")</f>
        <v>11</v>
      </c>
      <c r="F10" s="56">
        <f>IFERROR(D10/C10,0)</f>
        <v>0.792452830188679</v>
      </c>
      <c r="G10" s="57" t="s">
        <v>1763</v>
      </c>
      <c r="H10" s="48"/>
      <c r="I10" s="48"/>
      <c r="J10" s="48"/>
      <c r="K10" s="32"/>
    </row>
    <row r="11" ht="32" customHeight="1" spans="1:11">
      <c r="A11" s="53" t="s">
        <v>1764</v>
      </c>
      <c r="B11" s="54"/>
      <c r="C11" s="55">
        <f>COUNTIF($B$15:$B$150,"UI Test")-COUNTIFS($B$15:$B$150,"UI Test",$J$15:$J$150,"Pending")</f>
        <v>25</v>
      </c>
      <c r="D11" s="55">
        <f>COUNTIFS($B$15:$B$150,"UI Test",$J$15:$J$150,"Pass")</f>
        <v>21</v>
      </c>
      <c r="E11" s="55">
        <f>COUNTIFS($B$15:$B$150,"UI Test",$J$15:$J$150,"Fail")</f>
        <v>4</v>
      </c>
      <c r="F11" s="56">
        <f>IFERROR(D11/C11,0)</f>
        <v>0.84</v>
      </c>
      <c r="G11" s="57" t="s">
        <v>2873</v>
      </c>
      <c r="H11" s="48"/>
      <c r="I11" s="48"/>
      <c r="J11" s="48"/>
      <c r="K11" s="32"/>
    </row>
    <row r="13" ht="28.5" spans="1:11">
      <c r="A13" s="25" t="s">
        <v>211</v>
      </c>
      <c r="B13" s="25" t="s">
        <v>1757</v>
      </c>
      <c r="C13" s="25" t="s">
        <v>1766</v>
      </c>
      <c r="D13" s="25" t="s">
        <v>1767</v>
      </c>
      <c r="E13" s="25" t="s">
        <v>1559</v>
      </c>
      <c r="F13" s="25" t="s">
        <v>1768</v>
      </c>
      <c r="G13" s="48"/>
      <c r="H13" s="48"/>
      <c r="I13" s="32"/>
      <c r="J13" s="25" t="s">
        <v>1564</v>
      </c>
      <c r="K13" s="25" t="s">
        <v>1565</v>
      </c>
    </row>
    <row r="15" ht="15.75" spans="1:11">
      <c r="A15" s="58" t="s">
        <v>1769</v>
      </c>
      <c r="B15" s="48"/>
      <c r="C15" s="48"/>
      <c r="D15" s="48"/>
      <c r="E15" s="48"/>
      <c r="F15" s="48"/>
      <c r="G15" s="48"/>
      <c r="H15" s="48"/>
      <c r="I15" s="48"/>
      <c r="J15" s="48"/>
      <c r="K15" s="48"/>
    </row>
    <row r="16" ht="45" customHeight="1" spans="1:11">
      <c r="A16" s="55">
        <v>1</v>
      </c>
      <c r="B16" s="55" t="s">
        <v>1770</v>
      </c>
      <c r="C16" s="59" t="s">
        <v>2874</v>
      </c>
      <c r="D16" s="59" t="s">
        <v>2285</v>
      </c>
      <c r="E16" s="59" t="s">
        <v>2288</v>
      </c>
      <c r="F16" s="60" t="s">
        <v>2875</v>
      </c>
      <c r="G16" s="48"/>
      <c r="H16" s="48"/>
      <c r="I16" s="32"/>
      <c r="J16" s="55" t="s">
        <v>1129</v>
      </c>
      <c r="K16" s="59" t="s">
        <v>7</v>
      </c>
    </row>
    <row r="17" ht="75" customHeight="1" spans="1:11">
      <c r="A17" s="55">
        <v>2</v>
      </c>
      <c r="B17" s="55" t="s">
        <v>1770</v>
      </c>
      <c r="C17" s="59" t="s">
        <v>2874</v>
      </c>
      <c r="D17" s="59" t="s">
        <v>2292</v>
      </c>
      <c r="E17" s="59" t="s">
        <v>2293</v>
      </c>
      <c r="F17" s="60" t="s">
        <v>2876</v>
      </c>
      <c r="G17" s="48"/>
      <c r="H17" s="48"/>
      <c r="I17" s="32"/>
      <c r="J17" s="55" t="s">
        <v>1129</v>
      </c>
      <c r="K17" s="59" t="s">
        <v>7</v>
      </c>
    </row>
    <row r="18" ht="75" customHeight="1" spans="1:11">
      <c r="A18" s="55">
        <v>3</v>
      </c>
      <c r="B18" s="55" t="s">
        <v>1770</v>
      </c>
      <c r="C18" s="59" t="s">
        <v>2874</v>
      </c>
      <c r="D18" s="59" t="s">
        <v>2297</v>
      </c>
      <c r="E18" s="59" t="s">
        <v>2298</v>
      </c>
      <c r="F18" s="60" t="s">
        <v>2877</v>
      </c>
      <c r="G18" s="48"/>
      <c r="H18" s="48"/>
      <c r="I18" s="32"/>
      <c r="J18" s="55" t="s">
        <v>1129</v>
      </c>
      <c r="K18" s="59" t="s">
        <v>7</v>
      </c>
    </row>
    <row r="19" ht="45" customHeight="1" spans="1:11">
      <c r="A19" s="55">
        <v>4</v>
      </c>
      <c r="B19" s="55" t="s">
        <v>1770</v>
      </c>
      <c r="C19" s="59" t="s">
        <v>2874</v>
      </c>
      <c r="D19" s="59" t="s">
        <v>2302</v>
      </c>
      <c r="E19" s="59" t="s">
        <v>2304</v>
      </c>
      <c r="F19" s="60" t="s">
        <v>2878</v>
      </c>
      <c r="G19" s="48"/>
      <c r="H19" s="48"/>
      <c r="I19" s="32"/>
      <c r="J19" s="55" t="s">
        <v>1129</v>
      </c>
      <c r="K19" s="59" t="s">
        <v>7</v>
      </c>
    </row>
    <row r="20" ht="45" customHeight="1" spans="1:11">
      <c r="A20" s="55">
        <v>5</v>
      </c>
      <c r="B20" s="55" t="s">
        <v>1770</v>
      </c>
      <c r="C20" s="59" t="s">
        <v>2874</v>
      </c>
      <c r="D20" s="59" t="s">
        <v>2308</v>
      </c>
      <c r="E20" s="59" t="s">
        <v>2309</v>
      </c>
      <c r="F20" s="60" t="s">
        <v>2879</v>
      </c>
      <c r="G20" s="48"/>
      <c r="H20" s="48"/>
      <c r="I20" s="32"/>
      <c r="J20" s="55" t="s">
        <v>1129</v>
      </c>
      <c r="K20" s="59" t="s">
        <v>7</v>
      </c>
    </row>
    <row r="21" ht="90" customHeight="1" spans="1:11">
      <c r="A21" s="55">
        <v>6</v>
      </c>
      <c r="B21" s="55" t="s">
        <v>1770</v>
      </c>
      <c r="C21" s="59" t="s">
        <v>2874</v>
      </c>
      <c r="D21" s="59" t="s">
        <v>2313</v>
      </c>
      <c r="E21" s="59" t="s">
        <v>2314</v>
      </c>
      <c r="F21" s="60" t="s">
        <v>2880</v>
      </c>
      <c r="G21" s="48"/>
      <c r="H21" s="48"/>
      <c r="I21" s="32"/>
      <c r="J21" s="55" t="s">
        <v>1129</v>
      </c>
      <c r="K21" s="59" t="s">
        <v>7</v>
      </c>
    </row>
    <row r="22" ht="60" customHeight="1" spans="1:11">
      <c r="A22" s="55">
        <v>7</v>
      </c>
      <c r="B22" s="55" t="s">
        <v>1770</v>
      </c>
      <c r="C22" s="59" t="s">
        <v>2874</v>
      </c>
      <c r="D22" s="59" t="s">
        <v>2318</v>
      </c>
      <c r="E22" s="59" t="s">
        <v>2320</v>
      </c>
      <c r="F22" s="60" t="s">
        <v>2881</v>
      </c>
      <c r="G22" s="48"/>
      <c r="H22" s="48"/>
      <c r="I22" s="32"/>
      <c r="J22" s="55" t="s">
        <v>1129</v>
      </c>
      <c r="K22" s="59" t="s">
        <v>7</v>
      </c>
    </row>
    <row r="23" ht="45" customHeight="1" spans="1:11">
      <c r="A23" s="55">
        <v>8</v>
      </c>
      <c r="B23" s="55" t="s">
        <v>1770</v>
      </c>
      <c r="C23" s="59" t="s">
        <v>2882</v>
      </c>
      <c r="D23" s="59" t="s">
        <v>2324</v>
      </c>
      <c r="E23" s="59" t="s">
        <v>2327</v>
      </c>
      <c r="F23" s="60" t="s">
        <v>2883</v>
      </c>
      <c r="G23" s="48"/>
      <c r="H23" s="48"/>
      <c r="I23" s="32"/>
      <c r="J23" s="55" t="s">
        <v>1129</v>
      </c>
      <c r="K23" s="59" t="s">
        <v>7</v>
      </c>
    </row>
    <row r="24" ht="45" customHeight="1" spans="1:11">
      <c r="A24" s="55">
        <v>9</v>
      </c>
      <c r="B24" s="55" t="s">
        <v>1770</v>
      </c>
      <c r="C24" s="59" t="s">
        <v>2882</v>
      </c>
      <c r="D24" s="59" t="s">
        <v>2330</v>
      </c>
      <c r="E24" s="59" t="s">
        <v>2331</v>
      </c>
      <c r="F24" s="60" t="s">
        <v>2884</v>
      </c>
      <c r="G24" s="48"/>
      <c r="H24" s="48"/>
      <c r="I24" s="32"/>
      <c r="J24" s="55" t="s">
        <v>1129</v>
      </c>
      <c r="K24" s="59" t="s">
        <v>7</v>
      </c>
    </row>
    <row r="25" ht="45" customHeight="1" spans="1:11">
      <c r="A25" s="55">
        <v>10</v>
      </c>
      <c r="B25" s="55" t="s">
        <v>1770</v>
      </c>
      <c r="C25" s="59" t="s">
        <v>2882</v>
      </c>
      <c r="D25" s="59" t="s">
        <v>2335</v>
      </c>
      <c r="E25" s="59" t="s">
        <v>2336</v>
      </c>
      <c r="F25" s="60" t="s">
        <v>2885</v>
      </c>
      <c r="G25" s="48"/>
      <c r="H25" s="48"/>
      <c r="I25" s="32"/>
      <c r="J25" s="55" t="s">
        <v>1129</v>
      </c>
      <c r="K25" s="59" t="s">
        <v>7</v>
      </c>
    </row>
    <row r="26" ht="105" customHeight="1" spans="1:11">
      <c r="A26" s="55">
        <v>11</v>
      </c>
      <c r="B26" s="55" t="s">
        <v>1770</v>
      </c>
      <c r="C26" s="59" t="s">
        <v>2882</v>
      </c>
      <c r="D26" s="59" t="s">
        <v>2339</v>
      </c>
      <c r="E26" s="59" t="s">
        <v>2340</v>
      </c>
      <c r="F26" s="60" t="s">
        <v>2886</v>
      </c>
      <c r="G26" s="48"/>
      <c r="H26" s="48"/>
      <c r="I26" s="32"/>
      <c r="J26" s="55" t="s">
        <v>1129</v>
      </c>
      <c r="K26" s="59" t="s">
        <v>7</v>
      </c>
    </row>
    <row r="27" ht="90" customHeight="1" spans="1:11">
      <c r="A27" s="55">
        <v>12</v>
      </c>
      <c r="B27" s="55" t="s">
        <v>1770</v>
      </c>
      <c r="C27" s="59" t="s">
        <v>2882</v>
      </c>
      <c r="D27" s="59" t="s">
        <v>2344</v>
      </c>
      <c r="E27" s="59" t="s">
        <v>2346</v>
      </c>
      <c r="F27" s="60" t="s">
        <v>2887</v>
      </c>
      <c r="G27" s="48"/>
      <c r="H27" s="48"/>
      <c r="I27" s="32"/>
      <c r="J27" s="55" t="s">
        <v>1129</v>
      </c>
      <c r="K27" s="59" t="s">
        <v>7</v>
      </c>
    </row>
    <row r="28" ht="60" customHeight="1" spans="1:11">
      <c r="A28" s="55">
        <v>13</v>
      </c>
      <c r="B28" s="55" t="s">
        <v>1770</v>
      </c>
      <c r="C28" s="59" t="s">
        <v>2888</v>
      </c>
      <c r="D28" s="59" t="s">
        <v>2350</v>
      </c>
      <c r="E28" s="59" t="s">
        <v>2353</v>
      </c>
      <c r="F28" s="60" t="s">
        <v>2889</v>
      </c>
      <c r="G28" s="48"/>
      <c r="H28" s="48"/>
      <c r="I28" s="32"/>
      <c r="J28" s="55" t="s">
        <v>1129</v>
      </c>
      <c r="K28" s="59" t="s">
        <v>7</v>
      </c>
    </row>
    <row r="29" ht="45" customHeight="1" spans="1:11">
      <c r="A29" s="55">
        <v>14</v>
      </c>
      <c r="B29" s="55" t="s">
        <v>1770</v>
      </c>
      <c r="C29" s="59" t="s">
        <v>2888</v>
      </c>
      <c r="D29" s="59" t="s">
        <v>2357</v>
      </c>
      <c r="E29" s="59" t="s">
        <v>2359</v>
      </c>
      <c r="F29" s="60" t="s">
        <v>2890</v>
      </c>
      <c r="G29" s="48"/>
      <c r="H29" s="48"/>
      <c r="I29" s="32"/>
      <c r="J29" s="55" t="s">
        <v>1129</v>
      </c>
      <c r="K29" s="59" t="s">
        <v>7</v>
      </c>
    </row>
    <row r="30" ht="45" customHeight="1" spans="1:11">
      <c r="A30" s="55">
        <v>15</v>
      </c>
      <c r="B30" s="55" t="s">
        <v>1770</v>
      </c>
      <c r="C30" s="59" t="s">
        <v>2888</v>
      </c>
      <c r="D30" s="59" t="s">
        <v>2363</v>
      </c>
      <c r="E30" s="59" t="s">
        <v>2364</v>
      </c>
      <c r="F30" s="60" t="s">
        <v>2891</v>
      </c>
      <c r="G30" s="48"/>
      <c r="H30" s="48"/>
      <c r="I30" s="32"/>
      <c r="J30" s="55" t="s">
        <v>1129</v>
      </c>
      <c r="K30" s="59" t="s">
        <v>7</v>
      </c>
    </row>
    <row r="31" ht="90" customHeight="1" spans="1:11">
      <c r="A31" s="55">
        <v>16</v>
      </c>
      <c r="B31" s="55" t="s">
        <v>1770</v>
      </c>
      <c r="C31" s="59" t="s">
        <v>2892</v>
      </c>
      <c r="D31" s="59" t="s">
        <v>2368</v>
      </c>
      <c r="E31" s="59" t="s">
        <v>2370</v>
      </c>
      <c r="F31" s="60" t="s">
        <v>2893</v>
      </c>
      <c r="G31" s="48"/>
      <c r="H31" s="48"/>
      <c r="I31" s="32"/>
      <c r="J31" s="55" t="s">
        <v>1129</v>
      </c>
      <c r="K31" s="59" t="s">
        <v>7</v>
      </c>
    </row>
    <row r="32" ht="30" customHeight="1" spans="1:11">
      <c r="A32" s="55">
        <v>17</v>
      </c>
      <c r="B32" s="55" t="s">
        <v>1770</v>
      </c>
      <c r="C32" s="59" t="s">
        <v>2894</v>
      </c>
      <c r="D32" s="59" t="s">
        <v>2374</v>
      </c>
      <c r="E32" s="59" t="s">
        <v>2376</v>
      </c>
      <c r="F32" s="60" t="s">
        <v>2895</v>
      </c>
      <c r="G32" s="48"/>
      <c r="H32" s="48"/>
      <c r="I32" s="32"/>
      <c r="J32" s="55" t="s">
        <v>1129</v>
      </c>
      <c r="K32" s="59" t="s">
        <v>7</v>
      </c>
    </row>
    <row r="33" ht="75" customHeight="1" spans="1:11">
      <c r="A33" s="55">
        <v>18</v>
      </c>
      <c r="B33" s="55" t="s">
        <v>1770</v>
      </c>
      <c r="C33" s="59" t="s">
        <v>2894</v>
      </c>
      <c r="D33" s="59" t="s">
        <v>2380</v>
      </c>
      <c r="E33" s="59" t="s">
        <v>2381</v>
      </c>
      <c r="F33" s="60" t="s">
        <v>2896</v>
      </c>
      <c r="G33" s="48"/>
      <c r="H33" s="48"/>
      <c r="I33" s="32"/>
      <c r="J33" s="55" t="s">
        <v>1129</v>
      </c>
      <c r="K33" s="59" t="s">
        <v>7</v>
      </c>
    </row>
    <row r="34" ht="60" customHeight="1" spans="1:11">
      <c r="A34" s="55">
        <v>19</v>
      </c>
      <c r="B34" s="55" t="s">
        <v>1770</v>
      </c>
      <c r="C34" s="59" t="s">
        <v>2897</v>
      </c>
      <c r="D34" s="59" t="s">
        <v>2385</v>
      </c>
      <c r="E34" s="59" t="s">
        <v>2388</v>
      </c>
      <c r="F34" s="60" t="s">
        <v>2898</v>
      </c>
      <c r="G34" s="48"/>
      <c r="H34" s="48"/>
      <c r="I34" s="32"/>
      <c r="J34" s="55" t="s">
        <v>1129</v>
      </c>
      <c r="K34" s="59" t="s">
        <v>7</v>
      </c>
    </row>
    <row r="35" ht="45" customHeight="1" spans="1:11">
      <c r="A35" s="55">
        <v>20</v>
      </c>
      <c r="B35" s="55" t="s">
        <v>1770</v>
      </c>
      <c r="C35" s="59" t="s">
        <v>2897</v>
      </c>
      <c r="D35" s="59" t="s">
        <v>2392</v>
      </c>
      <c r="E35" s="59" t="s">
        <v>2394</v>
      </c>
      <c r="F35" s="60" t="s">
        <v>2899</v>
      </c>
      <c r="G35" s="48"/>
      <c r="H35" s="48"/>
      <c r="I35" s="32"/>
      <c r="J35" s="55" t="s">
        <v>1129</v>
      </c>
      <c r="K35" s="59" t="s">
        <v>7</v>
      </c>
    </row>
    <row r="36" ht="45" customHeight="1" spans="1:11">
      <c r="A36" s="55">
        <v>21</v>
      </c>
      <c r="B36" s="55" t="s">
        <v>1770</v>
      </c>
      <c r="C36" s="59" t="s">
        <v>2900</v>
      </c>
      <c r="D36" s="59" t="s">
        <v>2398</v>
      </c>
      <c r="E36" s="59" t="s">
        <v>2400</v>
      </c>
      <c r="F36" s="60" t="s">
        <v>2901</v>
      </c>
      <c r="G36" s="48"/>
      <c r="H36" s="48"/>
      <c r="I36" s="32"/>
      <c r="J36" s="55" t="s">
        <v>1130</v>
      </c>
      <c r="K36" s="59" t="s">
        <v>7</v>
      </c>
    </row>
    <row r="37" ht="45" customHeight="1" spans="1:11">
      <c r="A37" s="55">
        <v>22</v>
      </c>
      <c r="B37" s="55" t="s">
        <v>1770</v>
      </c>
      <c r="C37" s="59" t="s">
        <v>2902</v>
      </c>
      <c r="D37" s="59" t="s">
        <v>2404</v>
      </c>
      <c r="E37" s="59" t="s">
        <v>2406</v>
      </c>
      <c r="F37" s="60" t="s">
        <v>2903</v>
      </c>
      <c r="G37" s="48"/>
      <c r="H37" s="48"/>
      <c r="I37" s="32"/>
      <c r="J37" s="55" t="s">
        <v>1130</v>
      </c>
      <c r="K37" s="59" t="s">
        <v>7</v>
      </c>
    </row>
    <row r="38" ht="30" customHeight="1" spans="1:11">
      <c r="A38" s="55">
        <v>23</v>
      </c>
      <c r="B38" s="55" t="s">
        <v>1770</v>
      </c>
      <c r="C38" s="59" t="s">
        <v>2902</v>
      </c>
      <c r="D38" s="59" t="s">
        <v>2410</v>
      </c>
      <c r="E38" s="59" t="s">
        <v>2411</v>
      </c>
      <c r="F38" s="60" t="s">
        <v>2904</v>
      </c>
      <c r="G38" s="48"/>
      <c r="H38" s="48"/>
      <c r="I38" s="32"/>
      <c r="J38" s="55" t="s">
        <v>1130</v>
      </c>
      <c r="K38" s="59" t="s">
        <v>7</v>
      </c>
    </row>
    <row r="39" ht="30" customHeight="1" spans="1:11">
      <c r="A39" s="55">
        <v>24</v>
      </c>
      <c r="B39" s="55" t="s">
        <v>1770</v>
      </c>
      <c r="C39" s="59" t="s">
        <v>2905</v>
      </c>
      <c r="D39" s="59" t="s">
        <v>2415</v>
      </c>
      <c r="E39" s="59" t="s">
        <v>2417</v>
      </c>
      <c r="F39" s="60" t="s">
        <v>2906</v>
      </c>
      <c r="G39" s="48"/>
      <c r="H39" s="48"/>
      <c r="I39" s="32"/>
      <c r="J39" s="55" t="s">
        <v>1130</v>
      </c>
      <c r="K39" s="59" t="s">
        <v>7</v>
      </c>
    </row>
    <row r="40" ht="30" customHeight="1" spans="1:11">
      <c r="A40" s="55">
        <v>25</v>
      </c>
      <c r="B40" s="55" t="s">
        <v>1770</v>
      </c>
      <c r="C40" s="59" t="s">
        <v>2905</v>
      </c>
      <c r="D40" s="59" t="s">
        <v>2420</v>
      </c>
      <c r="E40" s="59" t="s">
        <v>2422</v>
      </c>
      <c r="F40" s="60" t="s">
        <v>2907</v>
      </c>
      <c r="G40" s="48"/>
      <c r="H40" s="48"/>
      <c r="I40" s="32"/>
      <c r="J40" s="55" t="s">
        <v>1130</v>
      </c>
      <c r="K40" s="59" t="s">
        <v>7</v>
      </c>
    </row>
    <row r="41" ht="90" customHeight="1" spans="1:11">
      <c r="A41" s="55">
        <v>26</v>
      </c>
      <c r="B41" s="55" t="s">
        <v>1770</v>
      </c>
      <c r="C41" s="59" t="s">
        <v>2908</v>
      </c>
      <c r="D41" s="59" t="s">
        <v>2426</v>
      </c>
      <c r="E41" s="59" t="s">
        <v>2429</v>
      </c>
      <c r="F41" s="60" t="s">
        <v>2909</v>
      </c>
      <c r="G41" s="48"/>
      <c r="H41" s="48"/>
      <c r="I41" s="32"/>
      <c r="J41" s="55" t="s">
        <v>1129</v>
      </c>
      <c r="K41" s="59" t="s">
        <v>7</v>
      </c>
    </row>
    <row r="42" ht="105" customHeight="1" spans="1:11">
      <c r="A42" s="55">
        <v>27</v>
      </c>
      <c r="B42" s="55" t="s">
        <v>1770</v>
      </c>
      <c r="C42" s="59" t="s">
        <v>2908</v>
      </c>
      <c r="D42" s="59" t="s">
        <v>2432</v>
      </c>
      <c r="E42" s="59" t="s">
        <v>2433</v>
      </c>
      <c r="F42" s="60" t="s">
        <v>2910</v>
      </c>
      <c r="G42" s="48"/>
      <c r="H42" s="48"/>
      <c r="I42" s="32"/>
      <c r="J42" s="55" t="s">
        <v>1129</v>
      </c>
      <c r="K42" s="59" t="s">
        <v>7</v>
      </c>
    </row>
    <row r="43" ht="90" customHeight="1" spans="1:11">
      <c r="A43" s="55">
        <v>28</v>
      </c>
      <c r="B43" s="55" t="s">
        <v>1770</v>
      </c>
      <c r="C43" s="59" t="s">
        <v>2908</v>
      </c>
      <c r="D43" s="59" t="s">
        <v>2436</v>
      </c>
      <c r="E43" s="59" t="s">
        <v>2437</v>
      </c>
      <c r="F43" s="60" t="s">
        <v>2911</v>
      </c>
      <c r="G43" s="48"/>
      <c r="H43" s="48"/>
      <c r="I43" s="32"/>
      <c r="J43" s="55" t="s">
        <v>1129</v>
      </c>
      <c r="K43" s="59" t="s">
        <v>7</v>
      </c>
    </row>
    <row r="44" ht="75" customHeight="1" spans="1:11">
      <c r="A44" s="55">
        <v>29</v>
      </c>
      <c r="B44" s="55" t="s">
        <v>1770</v>
      </c>
      <c r="C44" s="59" t="s">
        <v>2908</v>
      </c>
      <c r="D44" s="59" t="s">
        <v>2440</v>
      </c>
      <c r="E44" s="59" t="s">
        <v>2442</v>
      </c>
      <c r="F44" s="60" t="s">
        <v>2912</v>
      </c>
      <c r="G44" s="48"/>
      <c r="H44" s="48"/>
      <c r="I44" s="32"/>
      <c r="J44" s="55" t="s">
        <v>1129</v>
      </c>
      <c r="K44" s="59" t="s">
        <v>7</v>
      </c>
    </row>
    <row r="45" ht="75" customHeight="1" spans="1:11">
      <c r="A45" s="55">
        <v>30</v>
      </c>
      <c r="B45" s="55" t="s">
        <v>1770</v>
      </c>
      <c r="C45" s="59" t="s">
        <v>2908</v>
      </c>
      <c r="D45" s="59" t="s">
        <v>2447</v>
      </c>
      <c r="E45" s="59" t="s">
        <v>2448</v>
      </c>
      <c r="F45" s="60" t="s">
        <v>2913</v>
      </c>
      <c r="G45" s="48"/>
      <c r="H45" s="48"/>
      <c r="I45" s="32"/>
      <c r="J45" s="55" t="s">
        <v>1129</v>
      </c>
      <c r="K45" s="59" t="s">
        <v>7</v>
      </c>
    </row>
    <row r="46" ht="75" customHeight="1" spans="1:11">
      <c r="A46" s="55">
        <v>31</v>
      </c>
      <c r="B46" s="55" t="s">
        <v>1770</v>
      </c>
      <c r="C46" s="59" t="s">
        <v>2908</v>
      </c>
      <c r="D46" s="59" t="s">
        <v>2452</v>
      </c>
      <c r="E46" s="59" t="s">
        <v>2453</v>
      </c>
      <c r="F46" s="60" t="s">
        <v>2914</v>
      </c>
      <c r="G46" s="48"/>
      <c r="H46" s="48"/>
      <c r="I46" s="32"/>
      <c r="J46" s="55" t="s">
        <v>1129</v>
      </c>
      <c r="K46" s="59" t="s">
        <v>7</v>
      </c>
    </row>
    <row r="47" ht="75" customHeight="1" spans="1:11">
      <c r="A47" s="55">
        <v>32</v>
      </c>
      <c r="B47" s="55" t="s">
        <v>1770</v>
      </c>
      <c r="C47" s="59" t="s">
        <v>2908</v>
      </c>
      <c r="D47" s="59" t="s">
        <v>2457</v>
      </c>
      <c r="E47" s="59" t="s">
        <v>2458</v>
      </c>
      <c r="F47" s="60" t="s">
        <v>2915</v>
      </c>
      <c r="G47" s="48"/>
      <c r="H47" s="48"/>
      <c r="I47" s="32"/>
      <c r="J47" s="55" t="s">
        <v>1129</v>
      </c>
      <c r="K47" s="59" t="s">
        <v>7</v>
      </c>
    </row>
    <row r="48" ht="90" customHeight="1" spans="1:11">
      <c r="A48" s="55">
        <v>33</v>
      </c>
      <c r="B48" s="55" t="s">
        <v>1770</v>
      </c>
      <c r="C48" s="59" t="s">
        <v>2908</v>
      </c>
      <c r="D48" s="59" t="s">
        <v>2463</v>
      </c>
      <c r="E48" s="59" t="s">
        <v>2465</v>
      </c>
      <c r="F48" s="60" t="s">
        <v>2916</v>
      </c>
      <c r="G48" s="48"/>
      <c r="H48" s="48"/>
      <c r="I48" s="32"/>
      <c r="J48" s="55" t="s">
        <v>1129</v>
      </c>
      <c r="K48" s="59" t="s">
        <v>7</v>
      </c>
    </row>
    <row r="49" ht="90" customHeight="1" spans="1:11">
      <c r="A49" s="55">
        <v>34</v>
      </c>
      <c r="B49" s="55" t="s">
        <v>1770</v>
      </c>
      <c r="C49" s="59" t="s">
        <v>2908</v>
      </c>
      <c r="D49" s="59" t="s">
        <v>2471</v>
      </c>
      <c r="E49" s="59" t="s">
        <v>2473</v>
      </c>
      <c r="F49" s="60" t="s">
        <v>2917</v>
      </c>
      <c r="G49" s="48"/>
      <c r="H49" s="48"/>
      <c r="I49" s="32"/>
      <c r="J49" s="55" t="s">
        <v>1129</v>
      </c>
      <c r="K49" s="59" t="s">
        <v>7</v>
      </c>
    </row>
    <row r="50" ht="90" customHeight="1" spans="1:11">
      <c r="A50" s="55">
        <v>35</v>
      </c>
      <c r="B50" s="55" t="s">
        <v>1770</v>
      </c>
      <c r="C50" s="59" t="s">
        <v>2908</v>
      </c>
      <c r="D50" s="59" t="s">
        <v>2477</v>
      </c>
      <c r="E50" s="59" t="s">
        <v>2479</v>
      </c>
      <c r="F50" s="60" t="s">
        <v>2918</v>
      </c>
      <c r="G50" s="48"/>
      <c r="H50" s="48"/>
      <c r="I50" s="32"/>
      <c r="J50" s="55" t="s">
        <v>1129</v>
      </c>
      <c r="K50" s="59" t="s">
        <v>7</v>
      </c>
    </row>
    <row r="51" ht="90" customHeight="1" spans="1:11">
      <c r="A51" s="55">
        <v>36</v>
      </c>
      <c r="B51" s="55" t="s">
        <v>1770</v>
      </c>
      <c r="C51" s="59" t="s">
        <v>2908</v>
      </c>
      <c r="D51" s="59" t="s">
        <v>2484</v>
      </c>
      <c r="E51" s="59" t="s">
        <v>2486</v>
      </c>
      <c r="F51" s="60" t="s">
        <v>2919</v>
      </c>
      <c r="G51" s="48"/>
      <c r="H51" s="48"/>
      <c r="I51" s="32"/>
      <c r="J51" s="55" t="s">
        <v>1129</v>
      </c>
      <c r="K51" s="59" t="s">
        <v>7</v>
      </c>
    </row>
    <row r="52" ht="90" customHeight="1" spans="1:11">
      <c r="A52" s="55">
        <v>37</v>
      </c>
      <c r="B52" s="55" t="s">
        <v>1770</v>
      </c>
      <c r="C52" s="59" t="s">
        <v>2908</v>
      </c>
      <c r="D52" s="59" t="s">
        <v>2490</v>
      </c>
      <c r="E52" s="59" t="s">
        <v>2492</v>
      </c>
      <c r="F52" s="60" t="s">
        <v>2920</v>
      </c>
      <c r="G52" s="48"/>
      <c r="H52" s="48"/>
      <c r="I52" s="32"/>
      <c r="J52" s="55" t="s">
        <v>1129</v>
      </c>
      <c r="K52" s="59" t="s">
        <v>7</v>
      </c>
    </row>
    <row r="53" ht="120" customHeight="1" spans="1:11">
      <c r="A53" s="55">
        <v>38</v>
      </c>
      <c r="B53" s="55" t="s">
        <v>1770</v>
      </c>
      <c r="C53" s="59" t="s">
        <v>2908</v>
      </c>
      <c r="D53" s="59" t="s">
        <v>2496</v>
      </c>
      <c r="E53" s="59" t="s">
        <v>2498</v>
      </c>
      <c r="F53" s="60" t="s">
        <v>2921</v>
      </c>
      <c r="G53" s="48"/>
      <c r="H53" s="48"/>
      <c r="I53" s="32"/>
      <c r="J53" s="55" t="s">
        <v>1129</v>
      </c>
      <c r="K53" s="59" t="s">
        <v>7</v>
      </c>
    </row>
    <row r="54" ht="105" customHeight="1" spans="1:11">
      <c r="A54" s="55">
        <v>39</v>
      </c>
      <c r="B54" s="55" t="s">
        <v>1770</v>
      </c>
      <c r="C54" s="59" t="s">
        <v>2908</v>
      </c>
      <c r="D54" s="59" t="s">
        <v>2502</v>
      </c>
      <c r="E54" s="59" t="s">
        <v>2504</v>
      </c>
      <c r="F54" s="60" t="s">
        <v>2922</v>
      </c>
      <c r="G54" s="48"/>
      <c r="H54" s="48"/>
      <c r="I54" s="32"/>
      <c r="J54" s="55" t="s">
        <v>1129</v>
      </c>
      <c r="K54" s="59" t="s">
        <v>7</v>
      </c>
    </row>
    <row r="55" ht="105" customHeight="1" spans="1:11">
      <c r="A55" s="55">
        <v>40</v>
      </c>
      <c r="B55" s="55" t="s">
        <v>1770</v>
      </c>
      <c r="C55" s="59" t="s">
        <v>2908</v>
      </c>
      <c r="D55" s="59" t="s">
        <v>2508</v>
      </c>
      <c r="E55" s="59" t="s">
        <v>2509</v>
      </c>
      <c r="F55" s="60" t="s">
        <v>2923</v>
      </c>
      <c r="G55" s="48"/>
      <c r="H55" s="48"/>
      <c r="I55" s="32"/>
      <c r="J55" s="55" t="s">
        <v>1129</v>
      </c>
      <c r="K55" s="59" t="s">
        <v>7</v>
      </c>
    </row>
    <row r="56" ht="90" customHeight="1" spans="1:11">
      <c r="A56" s="55">
        <v>41</v>
      </c>
      <c r="B56" s="55" t="s">
        <v>1770</v>
      </c>
      <c r="C56" s="59" t="s">
        <v>2908</v>
      </c>
      <c r="D56" s="59" t="s">
        <v>2514</v>
      </c>
      <c r="E56" s="59" t="s">
        <v>2516</v>
      </c>
      <c r="F56" s="60" t="s">
        <v>2924</v>
      </c>
      <c r="G56" s="48"/>
      <c r="H56" s="48"/>
      <c r="I56" s="32"/>
      <c r="J56" s="55" t="s">
        <v>1129</v>
      </c>
      <c r="K56" s="59" t="s">
        <v>7</v>
      </c>
    </row>
    <row r="57" ht="90" customHeight="1" spans="1:11">
      <c r="A57" s="55">
        <v>42</v>
      </c>
      <c r="B57" s="55" t="s">
        <v>1770</v>
      </c>
      <c r="C57" s="59" t="s">
        <v>2908</v>
      </c>
      <c r="D57" s="59" t="s">
        <v>2521</v>
      </c>
      <c r="E57" s="59" t="s">
        <v>2523</v>
      </c>
      <c r="F57" s="60" t="s">
        <v>2925</v>
      </c>
      <c r="G57" s="48"/>
      <c r="H57" s="48"/>
      <c r="I57" s="32"/>
      <c r="J57" s="55" t="s">
        <v>1129</v>
      </c>
      <c r="K57" s="59" t="s">
        <v>7</v>
      </c>
    </row>
    <row r="58" ht="90" customHeight="1" spans="1:11">
      <c r="A58" s="55">
        <v>43</v>
      </c>
      <c r="B58" s="55" t="s">
        <v>1770</v>
      </c>
      <c r="C58" s="59" t="s">
        <v>2908</v>
      </c>
      <c r="D58" s="59" t="s">
        <v>2526</v>
      </c>
      <c r="E58" s="59" t="s">
        <v>2527</v>
      </c>
      <c r="F58" s="60" t="s">
        <v>2926</v>
      </c>
      <c r="G58" s="48"/>
      <c r="H58" s="48"/>
      <c r="I58" s="32"/>
      <c r="J58" s="55" t="s">
        <v>1129</v>
      </c>
      <c r="K58" s="59" t="s">
        <v>7</v>
      </c>
    </row>
    <row r="59" ht="75" customHeight="1" spans="1:11">
      <c r="A59" s="55">
        <v>44</v>
      </c>
      <c r="B59" s="55" t="s">
        <v>1770</v>
      </c>
      <c r="C59" s="59" t="s">
        <v>2908</v>
      </c>
      <c r="D59" s="59" t="s">
        <v>2531</v>
      </c>
      <c r="E59" s="59" t="s">
        <v>2533</v>
      </c>
      <c r="F59" s="60" t="s">
        <v>2927</v>
      </c>
      <c r="G59" s="48"/>
      <c r="H59" s="48"/>
      <c r="I59" s="32"/>
      <c r="J59" s="55" t="s">
        <v>1129</v>
      </c>
      <c r="K59" s="59" t="s">
        <v>7</v>
      </c>
    </row>
    <row r="60" ht="105" customHeight="1" spans="1:11">
      <c r="A60" s="55">
        <v>45</v>
      </c>
      <c r="B60" s="55" t="s">
        <v>1770</v>
      </c>
      <c r="C60" s="59" t="s">
        <v>2908</v>
      </c>
      <c r="D60" s="59" t="s">
        <v>2536</v>
      </c>
      <c r="E60" s="59" t="s">
        <v>2538</v>
      </c>
      <c r="F60" s="60" t="s">
        <v>2928</v>
      </c>
      <c r="G60" s="48"/>
      <c r="H60" s="48"/>
      <c r="I60" s="32"/>
      <c r="J60" s="55" t="s">
        <v>1129</v>
      </c>
      <c r="K60" s="59" t="s">
        <v>7</v>
      </c>
    </row>
    <row r="61" ht="105" customHeight="1" spans="1:11">
      <c r="A61" s="55">
        <v>46</v>
      </c>
      <c r="B61" s="55" t="s">
        <v>1770</v>
      </c>
      <c r="C61" s="59" t="s">
        <v>2908</v>
      </c>
      <c r="D61" s="59" t="s">
        <v>2543</v>
      </c>
      <c r="E61" s="59" t="s">
        <v>2545</v>
      </c>
      <c r="F61" s="60" t="s">
        <v>2929</v>
      </c>
      <c r="G61" s="48"/>
      <c r="H61" s="48"/>
      <c r="I61" s="32"/>
      <c r="J61" s="55" t="s">
        <v>1129</v>
      </c>
      <c r="K61" s="59" t="s">
        <v>7</v>
      </c>
    </row>
    <row r="62" ht="45" customHeight="1" spans="1:11">
      <c r="A62" s="55">
        <v>47</v>
      </c>
      <c r="B62" s="55" t="s">
        <v>1770</v>
      </c>
      <c r="C62" s="59" t="s">
        <v>2930</v>
      </c>
      <c r="D62" s="59" t="s">
        <v>2548</v>
      </c>
      <c r="E62" s="59" t="s">
        <v>2550</v>
      </c>
      <c r="F62" s="60" t="s">
        <v>2931</v>
      </c>
      <c r="G62" s="48"/>
      <c r="H62" s="48"/>
      <c r="I62" s="32"/>
      <c r="J62" s="55" t="s">
        <v>1130</v>
      </c>
      <c r="K62" s="59" t="s">
        <v>7</v>
      </c>
    </row>
    <row r="63" customHeight="1" spans="1:11">
      <c r="A63" s="55">
        <v>48</v>
      </c>
      <c r="B63" s="55" t="s">
        <v>1770</v>
      </c>
      <c r="C63" s="59" t="s">
        <v>2930</v>
      </c>
      <c r="D63" s="59" t="s">
        <v>2553</v>
      </c>
      <c r="E63" s="59" t="s">
        <v>2554</v>
      </c>
      <c r="F63" s="60" t="s">
        <v>2932</v>
      </c>
      <c r="G63" s="48"/>
      <c r="H63" s="48"/>
      <c r="I63" s="32"/>
      <c r="J63" s="55" t="s">
        <v>1130</v>
      </c>
      <c r="K63" s="59" t="s">
        <v>7</v>
      </c>
    </row>
    <row r="64" ht="90" customHeight="1" spans="1:11">
      <c r="A64" s="55">
        <v>49</v>
      </c>
      <c r="B64" s="55" t="s">
        <v>1770</v>
      </c>
      <c r="C64" s="59" t="s">
        <v>2908</v>
      </c>
      <c r="D64" s="59" t="s">
        <v>2559</v>
      </c>
      <c r="E64" s="59" t="s">
        <v>2561</v>
      </c>
      <c r="F64" s="60" t="s">
        <v>2933</v>
      </c>
      <c r="G64" s="48"/>
      <c r="H64" s="48"/>
      <c r="I64" s="32"/>
      <c r="J64" s="55" t="s">
        <v>1129</v>
      </c>
      <c r="K64" s="59" t="s">
        <v>7</v>
      </c>
    </row>
    <row r="65" ht="90" customHeight="1" spans="1:11">
      <c r="A65" s="55">
        <v>50</v>
      </c>
      <c r="B65" s="55" t="s">
        <v>1770</v>
      </c>
      <c r="C65" s="59" t="s">
        <v>2908</v>
      </c>
      <c r="D65" s="59" t="s">
        <v>2565</v>
      </c>
      <c r="E65" s="59" t="s">
        <v>2567</v>
      </c>
      <c r="F65" s="60" t="s">
        <v>2934</v>
      </c>
      <c r="G65" s="48"/>
      <c r="H65" s="48"/>
      <c r="I65" s="32"/>
      <c r="J65" s="55" t="s">
        <v>1129</v>
      </c>
      <c r="K65" s="59" t="s">
        <v>7</v>
      </c>
    </row>
    <row r="66" ht="90" customHeight="1" spans="1:11">
      <c r="A66" s="55">
        <v>51</v>
      </c>
      <c r="B66" s="55" t="s">
        <v>1770</v>
      </c>
      <c r="C66" s="59" t="s">
        <v>2908</v>
      </c>
      <c r="D66" s="59" t="s">
        <v>2570</v>
      </c>
      <c r="E66" s="59" t="s">
        <v>2572</v>
      </c>
      <c r="F66" s="60" t="s">
        <v>2935</v>
      </c>
      <c r="G66" s="48"/>
      <c r="H66" s="48"/>
      <c r="I66" s="32"/>
      <c r="J66" s="55" t="s">
        <v>1129</v>
      </c>
      <c r="K66" s="59" t="s">
        <v>7</v>
      </c>
    </row>
    <row r="67" ht="75" customHeight="1" spans="1:11">
      <c r="A67" s="55">
        <v>52</v>
      </c>
      <c r="B67" s="55" t="s">
        <v>1770</v>
      </c>
      <c r="C67" s="59" t="s">
        <v>2908</v>
      </c>
      <c r="D67" s="59" t="s">
        <v>2576</v>
      </c>
      <c r="E67" s="59" t="s">
        <v>2578</v>
      </c>
      <c r="F67" s="60" t="s">
        <v>2936</v>
      </c>
      <c r="G67" s="48"/>
      <c r="H67" s="48"/>
      <c r="I67" s="32"/>
      <c r="J67" s="55" t="s">
        <v>1129</v>
      </c>
      <c r="K67" s="59" t="s">
        <v>7</v>
      </c>
    </row>
    <row r="68" ht="75" customHeight="1" spans="1:11">
      <c r="A68" s="55">
        <v>53</v>
      </c>
      <c r="B68" s="55" t="s">
        <v>1770</v>
      </c>
      <c r="C68" s="59" t="s">
        <v>2908</v>
      </c>
      <c r="D68" s="59" t="s">
        <v>2582</v>
      </c>
      <c r="E68" s="59" t="s">
        <v>2584</v>
      </c>
      <c r="F68" s="60" t="s">
        <v>2937</v>
      </c>
      <c r="G68" s="48"/>
      <c r="H68" s="48"/>
      <c r="I68" s="32"/>
      <c r="J68" s="55" t="s">
        <v>1129</v>
      </c>
      <c r="K68" s="59" t="s">
        <v>7</v>
      </c>
    </row>
    <row r="69" ht="75" customHeight="1" spans="1:11">
      <c r="A69" s="55">
        <v>54</v>
      </c>
      <c r="B69" s="55" t="s">
        <v>1770</v>
      </c>
      <c r="C69" s="59" t="s">
        <v>2908</v>
      </c>
      <c r="D69" s="59" t="s">
        <v>2588</v>
      </c>
      <c r="E69" s="59" t="s">
        <v>2590</v>
      </c>
      <c r="F69" s="60" t="s">
        <v>2938</v>
      </c>
      <c r="G69" s="48"/>
      <c r="H69" s="48"/>
      <c r="I69" s="32"/>
      <c r="J69" s="55" t="s">
        <v>1129</v>
      </c>
      <c r="K69" s="59" t="s">
        <v>7</v>
      </c>
    </row>
    <row r="70" ht="75" customHeight="1" spans="1:11">
      <c r="A70" s="55">
        <v>55</v>
      </c>
      <c r="B70" s="55" t="s">
        <v>1770</v>
      </c>
      <c r="C70" s="59" t="s">
        <v>2908</v>
      </c>
      <c r="D70" s="59" t="s">
        <v>2593</v>
      </c>
      <c r="E70" s="59" t="s">
        <v>2595</v>
      </c>
      <c r="F70" s="60" t="s">
        <v>2939</v>
      </c>
      <c r="G70" s="48"/>
      <c r="H70" s="48"/>
      <c r="I70" s="32"/>
      <c r="J70" s="55" t="s">
        <v>1129</v>
      </c>
      <c r="K70" s="59" t="s">
        <v>7</v>
      </c>
    </row>
    <row r="71" ht="15.75" spans="1:11">
      <c r="A71" s="58" t="s">
        <v>1803</v>
      </c>
      <c r="B71" s="48"/>
      <c r="C71" s="48"/>
      <c r="D71" s="48"/>
      <c r="E71" s="48"/>
      <c r="F71" s="48"/>
      <c r="G71" s="48"/>
      <c r="H71" s="48"/>
      <c r="I71" s="48"/>
      <c r="J71" s="48"/>
      <c r="K71" s="48"/>
    </row>
    <row r="72" ht="45" customHeight="1" spans="1:11">
      <c r="A72" s="55">
        <v>56</v>
      </c>
      <c r="B72" s="55" t="s">
        <v>1804</v>
      </c>
      <c r="C72" s="59" t="s">
        <v>1548</v>
      </c>
      <c r="D72" s="59" t="s">
        <v>2614</v>
      </c>
      <c r="E72" s="59" t="s">
        <v>2616</v>
      </c>
      <c r="F72" s="60" t="s">
        <v>2940</v>
      </c>
      <c r="G72" s="48"/>
      <c r="H72" s="48"/>
      <c r="I72" s="32"/>
      <c r="J72" s="55" t="s">
        <v>1129</v>
      </c>
      <c r="K72" s="59" t="s">
        <v>7</v>
      </c>
    </row>
    <row r="73" ht="45" customHeight="1" spans="1:11">
      <c r="A73" s="55">
        <v>57</v>
      </c>
      <c r="B73" s="55" t="s">
        <v>1804</v>
      </c>
      <c r="C73" s="59" t="s">
        <v>1548</v>
      </c>
      <c r="D73" s="59" t="s">
        <v>2619</v>
      </c>
      <c r="E73" s="59" t="s">
        <v>2621</v>
      </c>
      <c r="F73" s="60" t="s">
        <v>2941</v>
      </c>
      <c r="G73" s="48"/>
      <c r="H73" s="48"/>
      <c r="I73" s="32"/>
      <c r="J73" s="55" t="s">
        <v>1129</v>
      </c>
      <c r="K73" s="59" t="s">
        <v>7</v>
      </c>
    </row>
    <row r="74" ht="30" customHeight="1" spans="1:11">
      <c r="A74" s="55">
        <v>58</v>
      </c>
      <c r="B74" s="55" t="s">
        <v>1804</v>
      </c>
      <c r="C74" s="59" t="s">
        <v>1548</v>
      </c>
      <c r="D74" s="59" t="s">
        <v>2624</v>
      </c>
      <c r="E74" s="59" t="s">
        <v>2626</v>
      </c>
      <c r="F74" s="60" t="s">
        <v>1807</v>
      </c>
      <c r="G74" s="48"/>
      <c r="H74" s="48"/>
      <c r="I74" s="32"/>
      <c r="J74" s="55" t="s">
        <v>1130</v>
      </c>
      <c r="K74" s="59" t="s">
        <v>7</v>
      </c>
    </row>
    <row r="75" ht="60" customHeight="1" spans="1:11">
      <c r="A75" s="55">
        <v>59</v>
      </c>
      <c r="B75" s="55" t="s">
        <v>1804</v>
      </c>
      <c r="C75" s="59" t="s">
        <v>1548</v>
      </c>
      <c r="D75" s="59" t="s">
        <v>2630</v>
      </c>
      <c r="E75" s="59" t="s">
        <v>2632</v>
      </c>
      <c r="F75" s="60" t="s">
        <v>2942</v>
      </c>
      <c r="G75" s="48"/>
      <c r="H75" s="48"/>
      <c r="I75" s="32"/>
      <c r="J75" s="55" t="s">
        <v>1129</v>
      </c>
      <c r="K75" s="59" t="s">
        <v>7</v>
      </c>
    </row>
    <row r="76" ht="30" customHeight="1" spans="1:11">
      <c r="A76" s="55">
        <v>60</v>
      </c>
      <c r="B76" s="55" t="s">
        <v>1804</v>
      </c>
      <c r="C76" s="59" t="s">
        <v>1548</v>
      </c>
      <c r="D76" s="59" t="s">
        <v>2635</v>
      </c>
      <c r="E76" s="59" t="s">
        <v>2637</v>
      </c>
      <c r="F76" s="60" t="s">
        <v>1807</v>
      </c>
      <c r="G76" s="48"/>
      <c r="H76" s="48"/>
      <c r="I76" s="32"/>
      <c r="J76" s="55" t="s">
        <v>1130</v>
      </c>
      <c r="K76" s="59" t="s">
        <v>7</v>
      </c>
    </row>
    <row r="77" ht="60" customHeight="1" spans="1:11">
      <c r="A77" s="55">
        <v>61</v>
      </c>
      <c r="B77" s="55" t="s">
        <v>1804</v>
      </c>
      <c r="C77" s="59" t="s">
        <v>1548</v>
      </c>
      <c r="D77" s="59" t="s">
        <v>2640</v>
      </c>
      <c r="E77" s="59" t="s">
        <v>2642</v>
      </c>
      <c r="F77" s="60" t="s">
        <v>2943</v>
      </c>
      <c r="G77" s="48"/>
      <c r="H77" s="48"/>
      <c r="I77" s="32"/>
      <c r="J77" s="55" t="s">
        <v>1129</v>
      </c>
      <c r="K77" s="59" t="s">
        <v>7</v>
      </c>
    </row>
    <row r="78" ht="75" customHeight="1" spans="1:11">
      <c r="A78" s="55">
        <v>62</v>
      </c>
      <c r="B78" s="55" t="s">
        <v>1804</v>
      </c>
      <c r="C78" s="59" t="s">
        <v>1548</v>
      </c>
      <c r="D78" s="59" t="s">
        <v>2645</v>
      </c>
      <c r="E78" s="59" t="s">
        <v>2647</v>
      </c>
      <c r="F78" s="60" t="s">
        <v>2944</v>
      </c>
      <c r="G78" s="48"/>
      <c r="H78" s="48"/>
      <c r="I78" s="32"/>
      <c r="J78" s="55" t="s">
        <v>1129</v>
      </c>
      <c r="K78" s="59" t="s">
        <v>7</v>
      </c>
    </row>
    <row r="79" ht="30" customHeight="1" spans="1:11">
      <c r="A79" s="55">
        <v>63</v>
      </c>
      <c r="B79" s="55" t="s">
        <v>1804</v>
      </c>
      <c r="C79" s="59" t="s">
        <v>1548</v>
      </c>
      <c r="D79" s="59" t="s">
        <v>2650</v>
      </c>
      <c r="E79" s="59" t="s">
        <v>2652</v>
      </c>
      <c r="F79" s="60" t="s">
        <v>1807</v>
      </c>
      <c r="G79" s="48"/>
      <c r="H79" s="48"/>
      <c r="I79" s="32"/>
      <c r="J79" s="55" t="s">
        <v>1130</v>
      </c>
      <c r="K79" s="59" t="s">
        <v>7</v>
      </c>
    </row>
    <row r="80" ht="60" customHeight="1" spans="1:11">
      <c r="A80" s="55">
        <v>64</v>
      </c>
      <c r="B80" s="55" t="s">
        <v>1804</v>
      </c>
      <c r="C80" s="59" t="s">
        <v>1548</v>
      </c>
      <c r="D80" s="59" t="s">
        <v>2656</v>
      </c>
      <c r="E80" s="59" t="s">
        <v>2658</v>
      </c>
      <c r="F80" s="60" t="s">
        <v>2945</v>
      </c>
      <c r="G80" s="48"/>
      <c r="H80" s="48"/>
      <c r="I80" s="32"/>
      <c r="J80" s="55" t="s">
        <v>1129</v>
      </c>
      <c r="K80" s="59" t="s">
        <v>7</v>
      </c>
    </row>
    <row r="81" ht="45" customHeight="1" spans="1:11">
      <c r="A81" s="55">
        <v>65</v>
      </c>
      <c r="B81" s="55" t="s">
        <v>1804</v>
      </c>
      <c r="C81" s="59" t="s">
        <v>1548</v>
      </c>
      <c r="D81" s="59" t="s">
        <v>2661</v>
      </c>
      <c r="E81" s="59" t="s">
        <v>2663</v>
      </c>
      <c r="F81" s="60" t="s">
        <v>2946</v>
      </c>
      <c r="G81" s="48"/>
      <c r="H81" s="48"/>
      <c r="I81" s="32"/>
      <c r="J81" s="55" t="s">
        <v>1129</v>
      </c>
      <c r="K81" s="59" t="s">
        <v>7</v>
      </c>
    </row>
    <row r="82" ht="45" customHeight="1" spans="1:11">
      <c r="A82" s="55">
        <v>66</v>
      </c>
      <c r="B82" s="55" t="s">
        <v>1804</v>
      </c>
      <c r="C82" s="59" t="s">
        <v>1548</v>
      </c>
      <c r="D82" s="59" t="s">
        <v>2667</v>
      </c>
      <c r="E82" s="59" t="s">
        <v>2669</v>
      </c>
      <c r="F82" s="60" t="s">
        <v>2947</v>
      </c>
      <c r="G82" s="48"/>
      <c r="H82" s="48"/>
      <c r="I82" s="32"/>
      <c r="J82" s="55" t="s">
        <v>1129</v>
      </c>
      <c r="K82" s="59" t="s">
        <v>7</v>
      </c>
    </row>
    <row r="83" ht="30" customHeight="1" spans="1:11">
      <c r="A83" s="55">
        <v>67</v>
      </c>
      <c r="B83" s="55" t="s">
        <v>1804</v>
      </c>
      <c r="C83" s="59" t="s">
        <v>1548</v>
      </c>
      <c r="D83" s="59" t="s">
        <v>2672</v>
      </c>
      <c r="E83" s="59" t="s">
        <v>2674</v>
      </c>
      <c r="F83" s="60" t="s">
        <v>1807</v>
      </c>
      <c r="G83" s="48"/>
      <c r="H83" s="48"/>
      <c r="I83" s="32"/>
      <c r="J83" s="55" t="s">
        <v>1129</v>
      </c>
      <c r="K83" s="59" t="s">
        <v>7</v>
      </c>
    </row>
    <row r="84" ht="30" customHeight="1" spans="1:11">
      <c r="A84" s="55">
        <v>68</v>
      </c>
      <c r="B84" s="55" t="s">
        <v>1804</v>
      </c>
      <c r="C84" s="59" t="s">
        <v>1548</v>
      </c>
      <c r="D84" s="59" t="s">
        <v>2676</v>
      </c>
      <c r="E84" s="59" t="s">
        <v>2678</v>
      </c>
      <c r="F84" s="60" t="s">
        <v>1807</v>
      </c>
      <c r="G84" s="48"/>
      <c r="H84" s="48"/>
      <c r="I84" s="32"/>
      <c r="J84" s="55" t="s">
        <v>1130</v>
      </c>
      <c r="K84" s="59" t="s">
        <v>7</v>
      </c>
    </row>
    <row r="85" ht="30" customHeight="1" spans="1:11">
      <c r="A85" s="55">
        <v>69</v>
      </c>
      <c r="B85" s="55" t="s">
        <v>1804</v>
      </c>
      <c r="C85" s="59" t="s">
        <v>1548</v>
      </c>
      <c r="D85" s="59" t="s">
        <v>2680</v>
      </c>
      <c r="E85" s="59" t="s">
        <v>2682</v>
      </c>
      <c r="F85" s="60" t="s">
        <v>1807</v>
      </c>
      <c r="G85" s="48"/>
      <c r="H85" s="48"/>
      <c r="I85" s="32"/>
      <c r="J85" s="55" t="s">
        <v>1129</v>
      </c>
      <c r="K85" s="59" t="s">
        <v>7</v>
      </c>
    </row>
    <row r="86" ht="30" customHeight="1" spans="1:11">
      <c r="A86" s="55">
        <v>70</v>
      </c>
      <c r="B86" s="55" t="s">
        <v>1804</v>
      </c>
      <c r="C86" s="59" t="s">
        <v>1548</v>
      </c>
      <c r="D86" s="59" t="s">
        <v>2686</v>
      </c>
      <c r="E86" s="59" t="s">
        <v>2688</v>
      </c>
      <c r="F86" s="60" t="s">
        <v>1807</v>
      </c>
      <c r="G86" s="48"/>
      <c r="H86" s="48"/>
      <c r="I86" s="32"/>
      <c r="J86" s="55" t="s">
        <v>1129</v>
      </c>
      <c r="K86" s="59" t="s">
        <v>7</v>
      </c>
    </row>
    <row r="87" ht="60" customHeight="1" spans="1:11">
      <c r="A87" s="55">
        <v>71</v>
      </c>
      <c r="B87" s="55" t="s">
        <v>1804</v>
      </c>
      <c r="C87" s="59" t="s">
        <v>1548</v>
      </c>
      <c r="D87" s="59" t="s">
        <v>2691</v>
      </c>
      <c r="E87" s="59" t="s">
        <v>2693</v>
      </c>
      <c r="F87" s="60" t="s">
        <v>2948</v>
      </c>
      <c r="G87" s="48"/>
      <c r="H87" s="48"/>
      <c r="I87" s="32"/>
      <c r="J87" s="55" t="s">
        <v>1129</v>
      </c>
      <c r="K87" s="59" t="s">
        <v>7</v>
      </c>
    </row>
    <row r="88" ht="30" customHeight="1" spans="1:11">
      <c r="A88" s="55">
        <v>72</v>
      </c>
      <c r="B88" s="55" t="s">
        <v>1804</v>
      </c>
      <c r="C88" s="59" t="s">
        <v>1548</v>
      </c>
      <c r="D88" s="59" t="s">
        <v>2696</v>
      </c>
      <c r="E88" s="59" t="s">
        <v>2698</v>
      </c>
      <c r="F88" s="60" t="s">
        <v>1807</v>
      </c>
      <c r="G88" s="48"/>
      <c r="H88" s="48"/>
      <c r="I88" s="32"/>
      <c r="J88" s="55" t="s">
        <v>1129</v>
      </c>
      <c r="K88" s="59" t="s">
        <v>7</v>
      </c>
    </row>
    <row r="89" ht="30" customHeight="1" spans="1:11">
      <c r="A89" s="55">
        <v>73</v>
      </c>
      <c r="B89" s="55" t="s">
        <v>1804</v>
      </c>
      <c r="C89" s="59" t="s">
        <v>1548</v>
      </c>
      <c r="D89" s="59" t="s">
        <v>2700</v>
      </c>
      <c r="E89" s="59" t="s">
        <v>2702</v>
      </c>
      <c r="F89" s="60" t="s">
        <v>1807</v>
      </c>
      <c r="G89" s="48"/>
      <c r="H89" s="48"/>
      <c r="I89" s="32"/>
      <c r="J89" s="55" t="s">
        <v>1130</v>
      </c>
      <c r="K89" s="59" t="s">
        <v>7</v>
      </c>
    </row>
    <row r="90" ht="30" customHeight="1" spans="1:11">
      <c r="A90" s="55">
        <v>74</v>
      </c>
      <c r="B90" s="55" t="s">
        <v>1804</v>
      </c>
      <c r="C90" s="59" t="s">
        <v>1548</v>
      </c>
      <c r="D90" s="59" t="s">
        <v>2705</v>
      </c>
      <c r="E90" s="59" t="s">
        <v>2707</v>
      </c>
      <c r="F90" s="60" t="s">
        <v>1807</v>
      </c>
      <c r="G90" s="48"/>
      <c r="H90" s="48"/>
      <c r="I90" s="32"/>
      <c r="J90" s="55" t="s">
        <v>1129</v>
      </c>
      <c r="K90" s="59" t="s">
        <v>7</v>
      </c>
    </row>
    <row r="91" ht="30" customHeight="1" spans="1:11">
      <c r="A91" s="55">
        <v>75</v>
      </c>
      <c r="B91" s="55" t="s">
        <v>1804</v>
      </c>
      <c r="C91" s="59" t="s">
        <v>1548</v>
      </c>
      <c r="D91" s="59" t="s">
        <v>2710</v>
      </c>
      <c r="E91" s="59" t="s">
        <v>2712</v>
      </c>
      <c r="F91" s="60" t="s">
        <v>1807</v>
      </c>
      <c r="G91" s="48"/>
      <c r="H91" s="48"/>
      <c r="I91" s="32"/>
      <c r="J91" s="55" t="s">
        <v>1129</v>
      </c>
      <c r="K91" s="59" t="s">
        <v>7</v>
      </c>
    </row>
    <row r="92" ht="30" customHeight="1" spans="1:11">
      <c r="A92" s="55">
        <v>76</v>
      </c>
      <c r="B92" s="55" t="s">
        <v>1804</v>
      </c>
      <c r="C92" s="59" t="s">
        <v>1548</v>
      </c>
      <c r="D92" s="59" t="s">
        <v>2716</v>
      </c>
      <c r="E92" s="59" t="s">
        <v>2717</v>
      </c>
      <c r="F92" s="60" t="s">
        <v>1807</v>
      </c>
      <c r="G92" s="48"/>
      <c r="H92" s="48"/>
      <c r="I92" s="32"/>
      <c r="J92" s="55" t="s">
        <v>1129</v>
      </c>
      <c r="K92" s="59" t="s">
        <v>7</v>
      </c>
    </row>
    <row r="93" ht="30" customHeight="1" spans="1:11">
      <c r="A93" s="55">
        <v>77</v>
      </c>
      <c r="B93" s="55" t="s">
        <v>1804</v>
      </c>
      <c r="C93" s="59" t="s">
        <v>1548</v>
      </c>
      <c r="D93" s="59" t="s">
        <v>2722</v>
      </c>
      <c r="E93" s="59" t="s">
        <v>2724</v>
      </c>
      <c r="F93" s="60" t="s">
        <v>1807</v>
      </c>
      <c r="G93" s="48"/>
      <c r="H93" s="48"/>
      <c r="I93" s="32"/>
      <c r="J93" s="55" t="s">
        <v>1129</v>
      </c>
      <c r="K93" s="59" t="s">
        <v>7</v>
      </c>
    </row>
    <row r="94" ht="45" customHeight="1" spans="1:11">
      <c r="A94" s="55">
        <v>78</v>
      </c>
      <c r="B94" s="55" t="s">
        <v>1804</v>
      </c>
      <c r="C94" s="59" t="s">
        <v>1548</v>
      </c>
      <c r="D94" s="59" t="s">
        <v>2726</v>
      </c>
      <c r="E94" s="59" t="s">
        <v>2728</v>
      </c>
      <c r="F94" s="60" t="s">
        <v>2949</v>
      </c>
      <c r="G94" s="48"/>
      <c r="H94" s="48"/>
      <c r="I94" s="32"/>
      <c r="J94" s="55" t="s">
        <v>1129</v>
      </c>
      <c r="K94" s="59" t="s">
        <v>7</v>
      </c>
    </row>
    <row r="95" ht="30" customHeight="1" spans="1:11">
      <c r="A95" s="55">
        <v>79</v>
      </c>
      <c r="B95" s="55" t="s">
        <v>1804</v>
      </c>
      <c r="C95" s="59" t="s">
        <v>1548</v>
      </c>
      <c r="D95" s="59" t="s">
        <v>2731</v>
      </c>
      <c r="E95" s="59" t="s">
        <v>2732</v>
      </c>
      <c r="F95" s="60" t="s">
        <v>1807</v>
      </c>
      <c r="G95" s="48"/>
      <c r="H95" s="48"/>
      <c r="I95" s="32"/>
      <c r="J95" s="55" t="s">
        <v>1129</v>
      </c>
      <c r="K95" s="59" t="s">
        <v>7</v>
      </c>
    </row>
    <row r="96" ht="30" customHeight="1" spans="1:11">
      <c r="A96" s="55">
        <v>80</v>
      </c>
      <c r="B96" s="55" t="s">
        <v>1804</v>
      </c>
      <c r="C96" s="59" t="s">
        <v>1548</v>
      </c>
      <c r="D96" s="59" t="s">
        <v>2734</v>
      </c>
      <c r="E96" s="59" t="s">
        <v>2736</v>
      </c>
      <c r="F96" s="60" t="s">
        <v>1807</v>
      </c>
      <c r="G96" s="48"/>
      <c r="H96" s="48"/>
      <c r="I96" s="32"/>
      <c r="J96" s="55" t="s">
        <v>1130</v>
      </c>
      <c r="K96" s="59" t="s">
        <v>7</v>
      </c>
    </row>
    <row r="97" ht="45" customHeight="1" spans="1:11">
      <c r="A97" s="55">
        <v>81</v>
      </c>
      <c r="B97" s="55" t="s">
        <v>1804</v>
      </c>
      <c r="C97" s="59" t="s">
        <v>1548</v>
      </c>
      <c r="D97" s="59" t="s">
        <v>2739</v>
      </c>
      <c r="E97" s="59" t="s">
        <v>2741</v>
      </c>
      <c r="F97" s="60" t="s">
        <v>2950</v>
      </c>
      <c r="G97" s="48"/>
      <c r="H97" s="48"/>
      <c r="I97" s="32"/>
      <c r="J97" s="55" t="s">
        <v>1129</v>
      </c>
      <c r="K97" s="59" t="s">
        <v>7</v>
      </c>
    </row>
    <row r="98" ht="30" customHeight="1" spans="1:11">
      <c r="A98" s="55">
        <v>82</v>
      </c>
      <c r="B98" s="55" t="s">
        <v>1804</v>
      </c>
      <c r="C98" s="59" t="s">
        <v>1548</v>
      </c>
      <c r="D98" s="59" t="s">
        <v>2745</v>
      </c>
      <c r="E98" s="59" t="s">
        <v>2746</v>
      </c>
      <c r="F98" s="60" t="s">
        <v>1807</v>
      </c>
      <c r="G98" s="48"/>
      <c r="H98" s="48"/>
      <c r="I98" s="32"/>
      <c r="J98" s="55" t="s">
        <v>1129</v>
      </c>
      <c r="K98" s="59" t="s">
        <v>7</v>
      </c>
    </row>
    <row r="99" ht="30" customHeight="1" spans="1:11">
      <c r="A99" s="55">
        <v>83</v>
      </c>
      <c r="B99" s="55" t="s">
        <v>1804</v>
      </c>
      <c r="C99" s="59" t="s">
        <v>1548</v>
      </c>
      <c r="D99" s="59" t="s">
        <v>2750</v>
      </c>
      <c r="E99" s="59" t="s">
        <v>2751</v>
      </c>
      <c r="F99" s="60" t="s">
        <v>1807</v>
      </c>
      <c r="G99" s="48"/>
      <c r="H99" s="48"/>
      <c r="I99" s="32"/>
      <c r="J99" s="55" t="s">
        <v>1129</v>
      </c>
      <c r="K99" s="59" t="s">
        <v>7</v>
      </c>
    </row>
    <row r="100" ht="30" customHeight="1" spans="1:11">
      <c r="A100" s="55">
        <v>84</v>
      </c>
      <c r="B100" s="55" t="s">
        <v>1804</v>
      </c>
      <c r="C100" s="59" t="s">
        <v>1548</v>
      </c>
      <c r="D100" s="59" t="s">
        <v>2755</v>
      </c>
      <c r="E100" s="59" t="s">
        <v>2756</v>
      </c>
      <c r="F100" s="60" t="s">
        <v>1807</v>
      </c>
      <c r="G100" s="48"/>
      <c r="H100" s="48"/>
      <c r="I100" s="32"/>
      <c r="J100" s="55" t="s">
        <v>1129</v>
      </c>
      <c r="K100" s="59" t="s">
        <v>7</v>
      </c>
    </row>
    <row r="101" ht="30" customHeight="1" spans="1:11">
      <c r="A101" s="55">
        <v>85</v>
      </c>
      <c r="B101" s="55" t="s">
        <v>1804</v>
      </c>
      <c r="C101" s="59" t="s">
        <v>1548</v>
      </c>
      <c r="D101" s="59" t="s">
        <v>2760</v>
      </c>
      <c r="E101" s="59" t="s">
        <v>2761</v>
      </c>
      <c r="F101" s="60" t="s">
        <v>1807</v>
      </c>
      <c r="G101" s="48"/>
      <c r="H101" s="48"/>
      <c r="I101" s="32"/>
      <c r="J101" s="55" t="s">
        <v>1129</v>
      </c>
      <c r="K101" s="59" t="s">
        <v>7</v>
      </c>
    </row>
    <row r="102" ht="45" customHeight="1" spans="1:11">
      <c r="A102" s="55">
        <v>86</v>
      </c>
      <c r="B102" s="55" t="s">
        <v>1804</v>
      </c>
      <c r="C102" s="59" t="s">
        <v>1548</v>
      </c>
      <c r="D102" s="59" t="s">
        <v>2765</v>
      </c>
      <c r="E102" s="59" t="s">
        <v>2767</v>
      </c>
      <c r="F102" s="60" t="s">
        <v>2951</v>
      </c>
      <c r="G102" s="48"/>
      <c r="H102" s="48"/>
      <c r="I102" s="32"/>
      <c r="J102" s="55" t="s">
        <v>1129</v>
      </c>
      <c r="K102" s="59" t="s">
        <v>7</v>
      </c>
    </row>
    <row r="103" ht="60" customHeight="1" spans="1:11">
      <c r="A103" s="55">
        <v>87</v>
      </c>
      <c r="B103" s="55" t="s">
        <v>1804</v>
      </c>
      <c r="C103" s="59" t="s">
        <v>1548</v>
      </c>
      <c r="D103" s="59" t="s">
        <v>2771</v>
      </c>
      <c r="E103" s="59" t="s">
        <v>2773</v>
      </c>
      <c r="F103" s="60" t="s">
        <v>2952</v>
      </c>
      <c r="G103" s="48"/>
      <c r="H103" s="48"/>
      <c r="I103" s="32"/>
      <c r="J103" s="55" t="s">
        <v>1129</v>
      </c>
      <c r="K103" s="59" t="s">
        <v>7</v>
      </c>
    </row>
    <row r="104" ht="30" customHeight="1" spans="1:11">
      <c r="A104" s="55">
        <v>88</v>
      </c>
      <c r="B104" s="55" t="s">
        <v>1804</v>
      </c>
      <c r="C104" s="59" t="s">
        <v>1548</v>
      </c>
      <c r="D104" s="59" t="s">
        <v>2775</v>
      </c>
      <c r="E104" s="59" t="s">
        <v>2776</v>
      </c>
      <c r="F104" s="60" t="s">
        <v>1807</v>
      </c>
      <c r="G104" s="48"/>
      <c r="H104" s="48"/>
      <c r="I104" s="32"/>
      <c r="J104" s="55" t="s">
        <v>1130</v>
      </c>
      <c r="K104" s="59" t="s">
        <v>7</v>
      </c>
    </row>
    <row r="105" ht="30" customHeight="1" spans="1:11">
      <c r="A105" s="55">
        <v>89</v>
      </c>
      <c r="B105" s="55" t="s">
        <v>1804</v>
      </c>
      <c r="C105" s="59" t="s">
        <v>1548</v>
      </c>
      <c r="D105" s="59" t="s">
        <v>2780</v>
      </c>
      <c r="E105" s="59" t="s">
        <v>2782</v>
      </c>
      <c r="F105" s="60" t="s">
        <v>1807</v>
      </c>
      <c r="G105" s="48"/>
      <c r="H105" s="48"/>
      <c r="I105" s="32"/>
      <c r="J105" s="55" t="s">
        <v>1130</v>
      </c>
      <c r="K105" s="59" t="s">
        <v>7</v>
      </c>
    </row>
    <row r="106" ht="30" customHeight="1" spans="1:11">
      <c r="A106" s="55">
        <v>90</v>
      </c>
      <c r="B106" s="55" t="s">
        <v>1804</v>
      </c>
      <c r="C106" s="59" t="s">
        <v>1548</v>
      </c>
      <c r="D106" s="59" t="s">
        <v>2784</v>
      </c>
      <c r="E106" s="59" t="s">
        <v>2785</v>
      </c>
      <c r="F106" s="60" t="s">
        <v>1807</v>
      </c>
      <c r="G106" s="48"/>
      <c r="H106" s="48"/>
      <c r="I106" s="32"/>
      <c r="J106" s="55" t="s">
        <v>1129</v>
      </c>
      <c r="K106" s="59" t="s">
        <v>7</v>
      </c>
    </row>
    <row r="107" ht="30" customHeight="1" spans="1:11">
      <c r="A107" s="55">
        <v>91</v>
      </c>
      <c r="B107" s="55" t="s">
        <v>1804</v>
      </c>
      <c r="C107" s="59" t="s">
        <v>1548</v>
      </c>
      <c r="D107" s="59" t="s">
        <v>2788</v>
      </c>
      <c r="E107" s="59" t="s">
        <v>2789</v>
      </c>
      <c r="F107" s="60" t="s">
        <v>1807</v>
      </c>
      <c r="G107" s="48"/>
      <c r="H107" s="48"/>
      <c r="I107" s="32"/>
      <c r="J107" s="55" t="s">
        <v>1129</v>
      </c>
      <c r="K107" s="59" t="s">
        <v>7</v>
      </c>
    </row>
    <row r="108" ht="30" customHeight="1" spans="1:11">
      <c r="A108" s="55">
        <v>92</v>
      </c>
      <c r="B108" s="55" t="s">
        <v>1804</v>
      </c>
      <c r="C108" s="59" t="s">
        <v>1548</v>
      </c>
      <c r="D108" s="59" t="s">
        <v>2791</v>
      </c>
      <c r="E108" s="59" t="s">
        <v>2792</v>
      </c>
      <c r="F108" s="60" t="s">
        <v>1807</v>
      </c>
      <c r="G108" s="48"/>
      <c r="H108" s="48"/>
      <c r="I108" s="32"/>
      <c r="J108" s="55" t="s">
        <v>1130</v>
      </c>
      <c r="K108" s="59" t="s">
        <v>7</v>
      </c>
    </row>
    <row r="109" ht="30" customHeight="1" spans="1:11">
      <c r="A109" s="55">
        <v>93</v>
      </c>
      <c r="B109" s="55" t="s">
        <v>1804</v>
      </c>
      <c r="C109" s="59" t="s">
        <v>1548</v>
      </c>
      <c r="D109" s="59" t="s">
        <v>2795</v>
      </c>
      <c r="E109" s="59" t="s">
        <v>2797</v>
      </c>
      <c r="F109" s="60" t="s">
        <v>1807</v>
      </c>
      <c r="G109" s="48"/>
      <c r="H109" s="48"/>
      <c r="I109" s="32"/>
      <c r="J109" s="55" t="s">
        <v>1129</v>
      </c>
      <c r="K109" s="59" t="s">
        <v>7</v>
      </c>
    </row>
    <row r="110" ht="30" customHeight="1" spans="1:11">
      <c r="A110" s="55">
        <v>94</v>
      </c>
      <c r="B110" s="55" t="s">
        <v>1804</v>
      </c>
      <c r="C110" s="59" t="s">
        <v>1548</v>
      </c>
      <c r="D110" s="59" t="s">
        <v>2801</v>
      </c>
      <c r="E110" s="59" t="s">
        <v>2803</v>
      </c>
      <c r="F110" s="60" t="s">
        <v>1807</v>
      </c>
      <c r="G110" s="48"/>
      <c r="H110" s="48"/>
      <c r="I110" s="32"/>
      <c r="J110" s="55" t="s">
        <v>1129</v>
      </c>
      <c r="K110" s="59" t="s">
        <v>7</v>
      </c>
    </row>
    <row r="111" ht="30" customHeight="1" spans="1:11">
      <c r="A111" s="55">
        <v>95</v>
      </c>
      <c r="B111" s="55" t="s">
        <v>1804</v>
      </c>
      <c r="C111" s="59" t="s">
        <v>1548</v>
      </c>
      <c r="D111" s="59" t="s">
        <v>2807</v>
      </c>
      <c r="E111" s="59" t="s">
        <v>2808</v>
      </c>
      <c r="F111" s="60" t="s">
        <v>1807</v>
      </c>
      <c r="G111" s="48"/>
      <c r="H111" s="48"/>
      <c r="I111" s="32"/>
      <c r="J111" s="55" t="s">
        <v>1129</v>
      </c>
      <c r="K111" s="59" t="s">
        <v>7</v>
      </c>
    </row>
    <row r="112" ht="30" customHeight="1" spans="1:11">
      <c r="A112" s="55">
        <v>96</v>
      </c>
      <c r="B112" s="55" t="s">
        <v>1804</v>
      </c>
      <c r="C112" s="59" t="s">
        <v>1548</v>
      </c>
      <c r="D112" s="59" t="s">
        <v>2811</v>
      </c>
      <c r="E112" s="59" t="s">
        <v>2813</v>
      </c>
      <c r="F112" s="60" t="s">
        <v>1807</v>
      </c>
      <c r="G112" s="48"/>
      <c r="H112" s="48"/>
      <c r="I112" s="32"/>
      <c r="J112" s="55" t="s">
        <v>1129</v>
      </c>
      <c r="K112" s="59" t="s">
        <v>7</v>
      </c>
    </row>
    <row r="113" ht="30" customHeight="1" spans="1:11">
      <c r="A113" s="55">
        <v>97</v>
      </c>
      <c r="B113" s="55" t="s">
        <v>1804</v>
      </c>
      <c r="C113" s="59" t="s">
        <v>1548</v>
      </c>
      <c r="D113" s="59" t="s">
        <v>2816</v>
      </c>
      <c r="E113" s="59" t="s">
        <v>2817</v>
      </c>
      <c r="F113" s="60" t="s">
        <v>1807</v>
      </c>
      <c r="G113" s="48"/>
      <c r="H113" s="48"/>
      <c r="I113" s="32"/>
      <c r="J113" s="55" t="s">
        <v>1130</v>
      </c>
      <c r="K113" s="59" t="s">
        <v>7</v>
      </c>
    </row>
    <row r="114" ht="30" customHeight="1" spans="1:11">
      <c r="A114" s="55">
        <v>98</v>
      </c>
      <c r="B114" s="55" t="s">
        <v>1804</v>
      </c>
      <c r="C114" s="59" t="s">
        <v>1548</v>
      </c>
      <c r="D114" s="59" t="s">
        <v>2821</v>
      </c>
      <c r="E114" s="59" t="s">
        <v>2823</v>
      </c>
      <c r="F114" s="60" t="s">
        <v>1807</v>
      </c>
      <c r="G114" s="48"/>
      <c r="H114" s="48"/>
      <c r="I114" s="32"/>
      <c r="J114" s="55" t="s">
        <v>1129</v>
      </c>
      <c r="K114" s="59" t="s">
        <v>7</v>
      </c>
    </row>
    <row r="115" ht="30" customHeight="1" spans="1:11">
      <c r="A115" s="55">
        <v>99</v>
      </c>
      <c r="B115" s="55" t="s">
        <v>1804</v>
      </c>
      <c r="C115" s="59" t="s">
        <v>1548</v>
      </c>
      <c r="D115" s="59" t="s">
        <v>2825</v>
      </c>
      <c r="E115" s="59" t="s">
        <v>2827</v>
      </c>
      <c r="F115" s="60" t="s">
        <v>1807</v>
      </c>
      <c r="G115" s="48"/>
      <c r="H115" s="48"/>
      <c r="I115" s="32"/>
      <c r="J115" s="55" t="s">
        <v>1129</v>
      </c>
      <c r="K115" s="59" t="s">
        <v>7</v>
      </c>
    </row>
    <row r="116" ht="45" customHeight="1" spans="1:11">
      <c r="A116" s="55">
        <v>100</v>
      </c>
      <c r="B116" s="55" t="s">
        <v>1804</v>
      </c>
      <c r="C116" s="59" t="s">
        <v>1548</v>
      </c>
      <c r="D116" s="59" t="s">
        <v>2830</v>
      </c>
      <c r="E116" s="59" t="s">
        <v>2832</v>
      </c>
      <c r="F116" s="60" t="s">
        <v>2953</v>
      </c>
      <c r="G116" s="48"/>
      <c r="H116" s="48"/>
      <c r="I116" s="32"/>
      <c r="J116" s="55" t="s">
        <v>1129</v>
      </c>
      <c r="K116" s="59" t="s">
        <v>7</v>
      </c>
    </row>
    <row r="117" ht="30" customHeight="1" spans="1:11">
      <c r="A117" s="55">
        <v>101</v>
      </c>
      <c r="B117" s="55" t="s">
        <v>1804</v>
      </c>
      <c r="C117" s="59" t="s">
        <v>1548</v>
      </c>
      <c r="D117" s="59" t="s">
        <v>2835</v>
      </c>
      <c r="E117" s="59" t="s">
        <v>2837</v>
      </c>
      <c r="F117" s="60" t="s">
        <v>1807</v>
      </c>
      <c r="G117" s="48"/>
      <c r="H117" s="48"/>
      <c r="I117" s="32"/>
      <c r="J117" s="55" t="s">
        <v>1129</v>
      </c>
      <c r="K117" s="59" t="s">
        <v>7</v>
      </c>
    </row>
    <row r="118" ht="60" customHeight="1" spans="1:11">
      <c r="A118" s="55">
        <v>102</v>
      </c>
      <c r="B118" s="55" t="s">
        <v>1804</v>
      </c>
      <c r="C118" s="59" t="s">
        <v>1548</v>
      </c>
      <c r="D118" s="59" t="s">
        <v>2839</v>
      </c>
      <c r="E118" s="59" t="s">
        <v>2841</v>
      </c>
      <c r="F118" s="60" t="s">
        <v>2954</v>
      </c>
      <c r="G118" s="48"/>
      <c r="H118" s="48"/>
      <c r="I118" s="32"/>
      <c r="J118" s="55" t="s">
        <v>1129</v>
      </c>
      <c r="K118" s="59" t="s">
        <v>7</v>
      </c>
    </row>
    <row r="119" ht="45" customHeight="1" spans="1:11">
      <c r="A119" s="55">
        <v>103</v>
      </c>
      <c r="B119" s="55" t="s">
        <v>1804</v>
      </c>
      <c r="C119" s="59" t="s">
        <v>1548</v>
      </c>
      <c r="D119" s="59" t="s">
        <v>2844</v>
      </c>
      <c r="E119" s="59" t="s">
        <v>2846</v>
      </c>
      <c r="F119" s="60" t="s">
        <v>2953</v>
      </c>
      <c r="G119" s="48"/>
      <c r="H119" s="48"/>
      <c r="I119" s="32"/>
      <c r="J119" s="55" t="s">
        <v>1129</v>
      </c>
      <c r="K119" s="59" t="s">
        <v>7</v>
      </c>
    </row>
    <row r="120" ht="30" customHeight="1" spans="1:11">
      <c r="A120" s="55">
        <v>104</v>
      </c>
      <c r="B120" s="55" t="s">
        <v>1804</v>
      </c>
      <c r="C120" s="59" t="s">
        <v>1548</v>
      </c>
      <c r="D120" s="59" t="s">
        <v>2849</v>
      </c>
      <c r="E120" s="59" t="s">
        <v>2851</v>
      </c>
      <c r="F120" s="60" t="s">
        <v>1807</v>
      </c>
      <c r="G120" s="48"/>
      <c r="H120" s="48"/>
      <c r="I120" s="32"/>
      <c r="J120" s="55" t="s">
        <v>1129</v>
      </c>
      <c r="K120" s="59" t="s">
        <v>7</v>
      </c>
    </row>
    <row r="121" ht="45" customHeight="1" spans="1:11">
      <c r="A121" s="55">
        <v>105</v>
      </c>
      <c r="B121" s="55" t="s">
        <v>1804</v>
      </c>
      <c r="C121" s="59" t="s">
        <v>1548</v>
      </c>
      <c r="D121" s="59" t="s">
        <v>2853</v>
      </c>
      <c r="E121" s="59" t="s">
        <v>2855</v>
      </c>
      <c r="F121" s="60" t="s">
        <v>2953</v>
      </c>
      <c r="G121" s="48"/>
      <c r="H121" s="48"/>
      <c r="I121" s="32"/>
      <c r="J121" s="55" t="s">
        <v>1129</v>
      </c>
      <c r="K121" s="59" t="s">
        <v>7</v>
      </c>
    </row>
    <row r="122" ht="30" customHeight="1" spans="1:11">
      <c r="A122" s="55">
        <v>106</v>
      </c>
      <c r="B122" s="55" t="s">
        <v>1804</v>
      </c>
      <c r="C122" s="59" t="s">
        <v>1548</v>
      </c>
      <c r="D122" s="59" t="s">
        <v>2858</v>
      </c>
      <c r="E122" s="59" t="s">
        <v>2860</v>
      </c>
      <c r="F122" s="60" t="s">
        <v>1807</v>
      </c>
      <c r="G122" s="48"/>
      <c r="H122" s="48"/>
      <c r="I122" s="32"/>
      <c r="J122" s="55" t="s">
        <v>1129</v>
      </c>
      <c r="K122" s="59" t="s">
        <v>7</v>
      </c>
    </row>
    <row r="123" ht="30" customHeight="1" spans="1:11">
      <c r="A123" s="55">
        <v>107</v>
      </c>
      <c r="B123" s="55" t="s">
        <v>1804</v>
      </c>
      <c r="C123" s="59" t="s">
        <v>1548</v>
      </c>
      <c r="D123" s="59" t="s">
        <v>2863</v>
      </c>
      <c r="E123" s="59" t="s">
        <v>2864</v>
      </c>
      <c r="F123" s="60" t="s">
        <v>1807</v>
      </c>
      <c r="G123" s="48"/>
      <c r="H123" s="48"/>
      <c r="I123" s="32"/>
      <c r="J123" s="55" t="s">
        <v>1129</v>
      </c>
      <c r="K123" s="59" t="s">
        <v>7</v>
      </c>
    </row>
    <row r="124" ht="30" customHeight="1" spans="1:11">
      <c r="A124" s="55">
        <v>108</v>
      </c>
      <c r="B124" s="55" t="s">
        <v>1804</v>
      </c>
      <c r="C124" s="59" t="s">
        <v>1548</v>
      </c>
      <c r="D124" s="59" t="s">
        <v>2866</v>
      </c>
      <c r="E124" s="59" t="s">
        <v>2867</v>
      </c>
      <c r="F124" s="60" t="s">
        <v>1807</v>
      </c>
      <c r="G124" s="48"/>
      <c r="H124" s="48"/>
      <c r="I124" s="32"/>
      <c r="J124" s="55" t="s">
        <v>1130</v>
      </c>
      <c r="K124" s="59" t="s">
        <v>7</v>
      </c>
    </row>
    <row r="125" ht="15.75" spans="1:11">
      <c r="A125" s="58" t="s">
        <v>1818</v>
      </c>
      <c r="B125" s="48"/>
      <c r="C125" s="48"/>
      <c r="D125" s="48"/>
      <c r="E125" s="48"/>
      <c r="F125" s="48"/>
      <c r="G125" s="48"/>
      <c r="H125" s="48"/>
      <c r="I125" s="48"/>
      <c r="J125" s="48"/>
      <c r="K125" s="48"/>
    </row>
    <row r="126" ht="30" customHeight="1" spans="1:11">
      <c r="A126" s="55">
        <v>109</v>
      </c>
      <c r="B126" s="55" t="s">
        <v>1819</v>
      </c>
      <c r="C126" s="59" t="s">
        <v>2955</v>
      </c>
      <c r="D126" s="59" t="s">
        <v>2051</v>
      </c>
      <c r="E126" s="59" t="s">
        <v>2052</v>
      </c>
      <c r="F126" s="60" t="s">
        <v>2054</v>
      </c>
      <c r="G126" s="48"/>
      <c r="H126" s="48"/>
      <c r="I126" s="32"/>
      <c r="J126" s="55" t="s">
        <v>1129</v>
      </c>
      <c r="K126" s="59" t="s">
        <v>7</v>
      </c>
    </row>
    <row r="127" ht="30" customHeight="1" spans="1:11">
      <c r="A127" s="55">
        <v>110</v>
      </c>
      <c r="B127" s="55" t="s">
        <v>1819</v>
      </c>
      <c r="C127" s="59" t="s">
        <v>2955</v>
      </c>
      <c r="D127" s="59" t="s">
        <v>2056</v>
      </c>
      <c r="E127" s="59" t="s">
        <v>2057</v>
      </c>
      <c r="F127" s="60" t="s">
        <v>2059</v>
      </c>
      <c r="G127" s="48"/>
      <c r="H127" s="48"/>
      <c r="I127" s="32"/>
      <c r="J127" s="55" t="s">
        <v>1129</v>
      </c>
      <c r="K127" s="59" t="s">
        <v>7</v>
      </c>
    </row>
    <row r="128" ht="45" customHeight="1" spans="1:11">
      <c r="A128" s="55">
        <v>111</v>
      </c>
      <c r="B128" s="55" t="s">
        <v>1819</v>
      </c>
      <c r="C128" s="59" t="s">
        <v>2955</v>
      </c>
      <c r="D128" s="59" t="s">
        <v>2061</v>
      </c>
      <c r="E128" s="59" t="s">
        <v>2062</v>
      </c>
      <c r="F128" s="60" t="s">
        <v>2064</v>
      </c>
      <c r="G128" s="48"/>
      <c r="H128" s="48"/>
      <c r="I128" s="32"/>
      <c r="J128" s="55" t="s">
        <v>1129</v>
      </c>
      <c r="K128" s="59" t="s">
        <v>7</v>
      </c>
    </row>
    <row r="129" ht="45" customHeight="1" spans="1:11">
      <c r="A129" s="55">
        <v>112</v>
      </c>
      <c r="B129" s="55" t="s">
        <v>1819</v>
      </c>
      <c r="C129" s="59" t="s">
        <v>2955</v>
      </c>
      <c r="D129" s="59" t="s">
        <v>2067</v>
      </c>
      <c r="E129" s="59" t="s">
        <v>2068</v>
      </c>
      <c r="F129" s="60" t="s">
        <v>2070</v>
      </c>
      <c r="G129" s="48"/>
      <c r="H129" s="48"/>
      <c r="I129" s="32"/>
      <c r="J129" s="55" t="s">
        <v>1130</v>
      </c>
      <c r="K129" s="59" t="s">
        <v>7</v>
      </c>
    </row>
    <row r="130" ht="45" customHeight="1" spans="1:11">
      <c r="A130" s="55">
        <v>113</v>
      </c>
      <c r="B130" s="55" t="s">
        <v>1819</v>
      </c>
      <c r="C130" s="59" t="s">
        <v>2955</v>
      </c>
      <c r="D130" s="59" t="s">
        <v>2073</v>
      </c>
      <c r="E130" s="59" t="s">
        <v>2074</v>
      </c>
      <c r="F130" s="60" t="s">
        <v>2076</v>
      </c>
      <c r="G130" s="48"/>
      <c r="H130" s="48"/>
      <c r="I130" s="32"/>
      <c r="J130" s="55" t="s">
        <v>1129</v>
      </c>
      <c r="K130" s="59" t="s">
        <v>7</v>
      </c>
    </row>
    <row r="131" ht="45" customHeight="1" spans="1:11">
      <c r="A131" s="55">
        <v>114</v>
      </c>
      <c r="B131" s="55" t="s">
        <v>1819</v>
      </c>
      <c r="C131" s="59" t="s">
        <v>2955</v>
      </c>
      <c r="D131" s="59" t="s">
        <v>2079</v>
      </c>
      <c r="E131" s="59" t="s">
        <v>2080</v>
      </c>
      <c r="F131" s="60" t="s">
        <v>2082</v>
      </c>
      <c r="G131" s="48"/>
      <c r="H131" s="48"/>
      <c r="I131" s="32"/>
      <c r="J131" s="55" t="s">
        <v>1129</v>
      </c>
      <c r="K131" s="59" t="s">
        <v>7</v>
      </c>
    </row>
    <row r="132" ht="45" customHeight="1" spans="1:11">
      <c r="A132" s="55">
        <v>115</v>
      </c>
      <c r="B132" s="55" t="s">
        <v>1819</v>
      </c>
      <c r="C132" s="59" t="s">
        <v>2955</v>
      </c>
      <c r="D132" s="59" t="s">
        <v>2085</v>
      </c>
      <c r="E132" s="59" t="s">
        <v>2086</v>
      </c>
      <c r="F132" s="60" t="s">
        <v>2087</v>
      </c>
      <c r="G132" s="48"/>
      <c r="H132" s="48"/>
      <c r="I132" s="32"/>
      <c r="J132" s="55" t="s">
        <v>1130</v>
      </c>
      <c r="K132" s="59" t="s">
        <v>7</v>
      </c>
    </row>
    <row r="133" ht="30" customHeight="1" spans="1:11">
      <c r="A133" s="55">
        <v>116</v>
      </c>
      <c r="B133" s="55" t="s">
        <v>1819</v>
      </c>
      <c r="C133" s="59" t="s">
        <v>2955</v>
      </c>
      <c r="D133" s="59" t="s">
        <v>2091</v>
      </c>
      <c r="E133" s="59" t="s">
        <v>2092</v>
      </c>
      <c r="F133" s="60" t="s">
        <v>2094</v>
      </c>
      <c r="G133" s="48"/>
      <c r="H133" s="48"/>
      <c r="I133" s="32"/>
      <c r="J133" s="55" t="s">
        <v>1129</v>
      </c>
      <c r="K133" s="59" t="s">
        <v>7</v>
      </c>
    </row>
    <row r="134" ht="30" customHeight="1" spans="1:11">
      <c r="A134" s="55">
        <v>117</v>
      </c>
      <c r="B134" s="55" t="s">
        <v>1819</v>
      </c>
      <c r="C134" s="59" t="s">
        <v>2955</v>
      </c>
      <c r="D134" s="59" t="s">
        <v>2096</v>
      </c>
      <c r="E134" s="59" t="s">
        <v>2097</v>
      </c>
      <c r="F134" s="60" t="s">
        <v>2099</v>
      </c>
      <c r="G134" s="48"/>
      <c r="H134" s="48"/>
      <c r="I134" s="32"/>
      <c r="J134" s="55" t="s">
        <v>1129</v>
      </c>
      <c r="K134" s="59" t="s">
        <v>7</v>
      </c>
    </row>
    <row r="135" ht="30" customHeight="1" spans="1:11">
      <c r="A135" s="55">
        <v>118</v>
      </c>
      <c r="B135" s="55" t="s">
        <v>1819</v>
      </c>
      <c r="C135" s="59" t="s">
        <v>2955</v>
      </c>
      <c r="D135" s="59" t="s">
        <v>2101</v>
      </c>
      <c r="E135" s="59" t="s">
        <v>2102</v>
      </c>
      <c r="F135" s="60" t="s">
        <v>2104</v>
      </c>
      <c r="G135" s="48"/>
      <c r="H135" s="48"/>
      <c r="I135" s="32"/>
      <c r="J135" s="55" t="s">
        <v>1129</v>
      </c>
      <c r="K135" s="59" t="s">
        <v>7</v>
      </c>
    </row>
    <row r="136" ht="45" customHeight="1" spans="1:11">
      <c r="A136" s="55">
        <v>119</v>
      </c>
      <c r="B136" s="55" t="s">
        <v>1819</v>
      </c>
      <c r="C136" s="59" t="s">
        <v>2955</v>
      </c>
      <c r="D136" s="59" t="s">
        <v>2106</v>
      </c>
      <c r="E136" s="59" t="s">
        <v>2107</v>
      </c>
      <c r="F136" s="60" t="s">
        <v>2109</v>
      </c>
      <c r="G136" s="48"/>
      <c r="H136" s="48"/>
      <c r="I136" s="32"/>
      <c r="J136" s="55" t="s">
        <v>1130</v>
      </c>
      <c r="K136" s="59" t="s">
        <v>7</v>
      </c>
    </row>
    <row r="137" ht="30" customHeight="1" spans="1:11">
      <c r="A137" s="55">
        <v>120</v>
      </c>
      <c r="B137" s="55" t="s">
        <v>1819</v>
      </c>
      <c r="C137" s="59" t="s">
        <v>2955</v>
      </c>
      <c r="D137" s="59" t="s">
        <v>2112</v>
      </c>
      <c r="E137" s="59" t="s">
        <v>2113</v>
      </c>
      <c r="F137" s="60" t="s">
        <v>2115</v>
      </c>
      <c r="G137" s="48"/>
      <c r="H137" s="48"/>
      <c r="I137" s="32"/>
      <c r="J137" s="55" t="s">
        <v>1129</v>
      </c>
      <c r="K137" s="59" t="s">
        <v>7</v>
      </c>
    </row>
    <row r="138" customHeight="1" spans="1:11">
      <c r="A138" s="55">
        <v>121</v>
      </c>
      <c r="B138" s="55" t="s">
        <v>1819</v>
      </c>
      <c r="C138" s="59" t="s">
        <v>2955</v>
      </c>
      <c r="D138" s="59" t="s">
        <v>2117</v>
      </c>
      <c r="E138" s="59" t="s">
        <v>2118</v>
      </c>
      <c r="F138" s="60" t="s">
        <v>2120</v>
      </c>
      <c r="G138" s="48"/>
      <c r="H138" s="48"/>
      <c r="I138" s="32"/>
      <c r="J138" s="55" t="s">
        <v>1130</v>
      </c>
      <c r="K138" s="59" t="s">
        <v>7</v>
      </c>
    </row>
    <row r="139" ht="45" customHeight="1" spans="1:11">
      <c r="A139" s="55">
        <v>122</v>
      </c>
      <c r="B139" s="55" t="s">
        <v>1819</v>
      </c>
      <c r="C139" s="59" t="s">
        <v>2955</v>
      </c>
      <c r="D139" s="59" t="s">
        <v>2123</v>
      </c>
      <c r="E139" s="59" t="s">
        <v>2124</v>
      </c>
      <c r="F139" s="60" t="s">
        <v>2126</v>
      </c>
      <c r="G139" s="48"/>
      <c r="H139" s="48"/>
      <c r="I139" s="32"/>
      <c r="J139" s="55" t="s">
        <v>1129</v>
      </c>
      <c r="K139" s="59" t="s">
        <v>7</v>
      </c>
    </row>
    <row r="140" ht="30" customHeight="1" spans="1:11">
      <c r="A140" s="55">
        <v>123</v>
      </c>
      <c r="B140" s="55" t="s">
        <v>1819</v>
      </c>
      <c r="C140" s="59" t="s">
        <v>2955</v>
      </c>
      <c r="D140" s="59" t="s">
        <v>2129</v>
      </c>
      <c r="E140" s="59" t="s">
        <v>2130</v>
      </c>
      <c r="F140" s="60" t="s">
        <v>2132</v>
      </c>
      <c r="G140" s="48"/>
      <c r="H140" s="48"/>
      <c r="I140" s="32"/>
      <c r="J140" s="55" t="s">
        <v>1129</v>
      </c>
      <c r="K140" s="59" t="s">
        <v>7</v>
      </c>
    </row>
    <row r="141" ht="30" customHeight="1" spans="1:11">
      <c r="A141" s="55">
        <v>124</v>
      </c>
      <c r="B141" s="55" t="s">
        <v>1819</v>
      </c>
      <c r="C141" s="59" t="s">
        <v>2955</v>
      </c>
      <c r="D141" s="59" t="s">
        <v>2135</v>
      </c>
      <c r="E141" s="59" t="s">
        <v>2136</v>
      </c>
      <c r="F141" s="60" t="s">
        <v>2138</v>
      </c>
      <c r="G141" s="48"/>
      <c r="H141" s="48"/>
      <c r="I141" s="32"/>
      <c r="J141" s="55" t="s">
        <v>1129</v>
      </c>
      <c r="K141" s="59" t="s">
        <v>7</v>
      </c>
    </row>
    <row r="142" ht="30" customHeight="1" spans="1:11">
      <c r="A142" s="55">
        <v>125</v>
      </c>
      <c r="B142" s="55" t="s">
        <v>1819</v>
      </c>
      <c r="C142" s="59" t="s">
        <v>2955</v>
      </c>
      <c r="D142" s="59" t="s">
        <v>2140</v>
      </c>
      <c r="E142" s="59" t="s">
        <v>2141</v>
      </c>
      <c r="F142" s="60" t="s">
        <v>2143</v>
      </c>
      <c r="G142" s="48"/>
      <c r="H142" s="48"/>
      <c r="I142" s="32"/>
      <c r="J142" s="55" t="s">
        <v>1129</v>
      </c>
      <c r="K142" s="59" t="s">
        <v>7</v>
      </c>
    </row>
    <row r="143" customHeight="1" spans="1:11">
      <c r="A143" s="55">
        <v>126</v>
      </c>
      <c r="B143" s="55" t="s">
        <v>1819</v>
      </c>
      <c r="C143" s="59" t="s">
        <v>2955</v>
      </c>
      <c r="D143" s="59" t="s">
        <v>2145</v>
      </c>
      <c r="E143" s="59" t="s">
        <v>2146</v>
      </c>
      <c r="F143" s="60" t="s">
        <v>2148</v>
      </c>
      <c r="G143" s="48"/>
      <c r="H143" s="48"/>
      <c r="I143" s="32"/>
      <c r="J143" s="55" t="s">
        <v>1129</v>
      </c>
      <c r="K143" s="59" t="s">
        <v>7</v>
      </c>
    </row>
    <row r="144" ht="30" customHeight="1" spans="1:11">
      <c r="A144" s="55">
        <v>127</v>
      </c>
      <c r="B144" s="55" t="s">
        <v>1819</v>
      </c>
      <c r="C144" s="59" t="s">
        <v>2955</v>
      </c>
      <c r="D144" s="59" t="s">
        <v>2150</v>
      </c>
      <c r="E144" s="59" t="s">
        <v>2151</v>
      </c>
      <c r="F144" s="60" t="s">
        <v>2153</v>
      </c>
      <c r="G144" s="48"/>
      <c r="H144" s="48"/>
      <c r="I144" s="32"/>
      <c r="J144" s="55" t="s">
        <v>1129</v>
      </c>
      <c r="K144" s="59" t="s">
        <v>7</v>
      </c>
    </row>
    <row r="145" ht="30" customHeight="1" spans="1:11">
      <c r="A145" s="55">
        <v>128</v>
      </c>
      <c r="B145" s="55" t="s">
        <v>1819</v>
      </c>
      <c r="C145" s="59" t="s">
        <v>2955</v>
      </c>
      <c r="D145" s="59" t="s">
        <v>2155</v>
      </c>
      <c r="E145" s="59" t="s">
        <v>2156</v>
      </c>
      <c r="F145" s="60" t="s">
        <v>2158</v>
      </c>
      <c r="G145" s="48"/>
      <c r="H145" s="48"/>
      <c r="I145" s="32"/>
      <c r="J145" s="55" t="s">
        <v>1129</v>
      </c>
      <c r="K145" s="59" t="s">
        <v>7</v>
      </c>
    </row>
    <row r="146" ht="45" customHeight="1" spans="1:11">
      <c r="A146" s="55">
        <v>129</v>
      </c>
      <c r="B146" s="55" t="s">
        <v>1819</v>
      </c>
      <c r="C146" s="59" t="s">
        <v>2955</v>
      </c>
      <c r="D146" s="59" t="s">
        <v>2161</v>
      </c>
      <c r="E146" s="59" t="s">
        <v>2162</v>
      </c>
      <c r="F146" s="60" t="s">
        <v>2164</v>
      </c>
      <c r="G146" s="48"/>
      <c r="H146" s="48"/>
      <c r="I146" s="32"/>
      <c r="J146" s="55" t="s">
        <v>1129</v>
      </c>
      <c r="K146" s="59" t="s">
        <v>7</v>
      </c>
    </row>
    <row r="147" ht="30" customHeight="1" spans="1:11">
      <c r="A147" s="55">
        <v>130</v>
      </c>
      <c r="B147" s="55" t="s">
        <v>1819</v>
      </c>
      <c r="C147" s="59" t="s">
        <v>2955</v>
      </c>
      <c r="D147" s="59" t="s">
        <v>2168</v>
      </c>
      <c r="E147" s="59" t="s">
        <v>2169</v>
      </c>
      <c r="F147" s="60" t="s">
        <v>2171</v>
      </c>
      <c r="G147" s="48"/>
      <c r="H147" s="48"/>
      <c r="I147" s="32"/>
      <c r="J147" s="55" t="s">
        <v>1129</v>
      </c>
      <c r="K147" s="59" t="s">
        <v>7</v>
      </c>
    </row>
    <row r="148" ht="30" customHeight="1" spans="1:11">
      <c r="A148" s="55">
        <v>131</v>
      </c>
      <c r="B148" s="55" t="s">
        <v>1819</v>
      </c>
      <c r="C148" s="59" t="s">
        <v>2955</v>
      </c>
      <c r="D148" s="59" t="s">
        <v>2173</v>
      </c>
      <c r="E148" s="59" t="s">
        <v>2174</v>
      </c>
      <c r="F148" s="60" t="s">
        <v>2176</v>
      </c>
      <c r="G148" s="48"/>
      <c r="H148" s="48"/>
      <c r="I148" s="32"/>
      <c r="J148" s="55" t="s">
        <v>1129</v>
      </c>
      <c r="K148" s="59" t="s">
        <v>7</v>
      </c>
    </row>
    <row r="149" ht="45" customHeight="1" spans="1:11">
      <c r="A149" s="55">
        <v>132</v>
      </c>
      <c r="B149" s="55" t="s">
        <v>1819</v>
      </c>
      <c r="C149" s="59" t="s">
        <v>2955</v>
      </c>
      <c r="D149" s="59" t="s">
        <v>2179</v>
      </c>
      <c r="E149" s="59" t="s">
        <v>2180</v>
      </c>
      <c r="F149" s="60" t="s">
        <v>2182</v>
      </c>
      <c r="G149" s="48"/>
      <c r="H149" s="48"/>
      <c r="I149" s="32"/>
      <c r="J149" s="55" t="s">
        <v>1129</v>
      </c>
      <c r="K149" s="59" t="s">
        <v>7</v>
      </c>
    </row>
    <row r="150" ht="60" customHeight="1" spans="1:11">
      <c r="A150" s="55">
        <v>133</v>
      </c>
      <c r="B150" s="55" t="s">
        <v>1819</v>
      </c>
      <c r="C150" s="59" t="s">
        <v>2955</v>
      </c>
      <c r="D150" s="59" t="s">
        <v>2185</v>
      </c>
      <c r="E150" s="59" t="s">
        <v>2186</v>
      </c>
      <c r="F150" s="60" t="s">
        <v>2188</v>
      </c>
      <c r="G150" s="48"/>
      <c r="H150" s="48"/>
      <c r="I150" s="32"/>
      <c r="J150" s="55" t="s">
        <v>1129</v>
      </c>
      <c r="K150" s="59" t="s">
        <v>7</v>
      </c>
    </row>
  </sheetData>
  <mergeCells count="150">
    <mergeCell ref="A1:K1"/>
    <mergeCell ref="B3:C3"/>
    <mergeCell ref="B4:C4"/>
    <mergeCell ref="B5:C5"/>
    <mergeCell ref="A7:K7"/>
    <mergeCell ref="A8:B8"/>
    <mergeCell ref="G8:K8"/>
    <mergeCell ref="A9:B9"/>
    <mergeCell ref="G9:K9"/>
    <mergeCell ref="A10:B10"/>
    <mergeCell ref="G10:K10"/>
    <mergeCell ref="A11:B11"/>
    <mergeCell ref="G11:K11"/>
    <mergeCell ref="F13:I13"/>
    <mergeCell ref="A15:K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35:I35"/>
    <mergeCell ref="F36:I36"/>
    <mergeCell ref="F37:I37"/>
    <mergeCell ref="F38:I38"/>
    <mergeCell ref="F39:I39"/>
    <mergeCell ref="F40:I40"/>
    <mergeCell ref="F41:I41"/>
    <mergeCell ref="F42:I42"/>
    <mergeCell ref="F43:I43"/>
    <mergeCell ref="F44:I44"/>
    <mergeCell ref="F45:I45"/>
    <mergeCell ref="F46:I46"/>
    <mergeCell ref="F47:I47"/>
    <mergeCell ref="F48:I48"/>
    <mergeCell ref="F49:I49"/>
    <mergeCell ref="F50:I50"/>
    <mergeCell ref="F51:I51"/>
    <mergeCell ref="F52:I52"/>
    <mergeCell ref="F53:I53"/>
    <mergeCell ref="F54:I54"/>
    <mergeCell ref="F55:I55"/>
    <mergeCell ref="F56:I56"/>
    <mergeCell ref="F57:I57"/>
    <mergeCell ref="F58:I58"/>
    <mergeCell ref="F59:I59"/>
    <mergeCell ref="F60:I60"/>
    <mergeCell ref="F61:I61"/>
    <mergeCell ref="F62:I62"/>
    <mergeCell ref="F63:I63"/>
    <mergeCell ref="F64:I64"/>
    <mergeCell ref="F65:I65"/>
    <mergeCell ref="F66:I66"/>
    <mergeCell ref="F67:I67"/>
    <mergeCell ref="F68:I68"/>
    <mergeCell ref="F69:I69"/>
    <mergeCell ref="F70:I70"/>
    <mergeCell ref="A71:K71"/>
    <mergeCell ref="F72:I72"/>
    <mergeCell ref="F73:I73"/>
    <mergeCell ref="F74:I74"/>
    <mergeCell ref="F75:I75"/>
    <mergeCell ref="F76:I76"/>
    <mergeCell ref="F77:I77"/>
    <mergeCell ref="F78:I78"/>
    <mergeCell ref="F79:I79"/>
    <mergeCell ref="F80:I80"/>
    <mergeCell ref="F81:I81"/>
    <mergeCell ref="F82:I82"/>
    <mergeCell ref="F83:I83"/>
    <mergeCell ref="F84:I84"/>
    <mergeCell ref="F85:I85"/>
    <mergeCell ref="F86:I86"/>
    <mergeCell ref="F87:I87"/>
    <mergeCell ref="F88:I88"/>
    <mergeCell ref="F89:I89"/>
    <mergeCell ref="F90:I90"/>
    <mergeCell ref="F91:I91"/>
    <mergeCell ref="F92:I92"/>
    <mergeCell ref="F93:I93"/>
    <mergeCell ref="F94:I94"/>
    <mergeCell ref="F95:I95"/>
    <mergeCell ref="F96:I96"/>
    <mergeCell ref="F97:I97"/>
    <mergeCell ref="F98:I98"/>
    <mergeCell ref="F99:I99"/>
    <mergeCell ref="F100:I100"/>
    <mergeCell ref="F101:I101"/>
    <mergeCell ref="F102:I102"/>
    <mergeCell ref="F103:I103"/>
    <mergeCell ref="F104:I104"/>
    <mergeCell ref="F105:I105"/>
    <mergeCell ref="F106:I106"/>
    <mergeCell ref="F107:I107"/>
    <mergeCell ref="F108:I108"/>
    <mergeCell ref="F109:I109"/>
    <mergeCell ref="F110:I110"/>
    <mergeCell ref="F111:I111"/>
    <mergeCell ref="F112:I112"/>
    <mergeCell ref="F113:I113"/>
    <mergeCell ref="F114:I114"/>
    <mergeCell ref="F115:I115"/>
    <mergeCell ref="F116:I116"/>
    <mergeCell ref="F117:I117"/>
    <mergeCell ref="F118:I118"/>
    <mergeCell ref="F119:I119"/>
    <mergeCell ref="F120:I120"/>
    <mergeCell ref="F121:I121"/>
    <mergeCell ref="F122:I122"/>
    <mergeCell ref="F123:I123"/>
    <mergeCell ref="F124:I124"/>
    <mergeCell ref="A125:K125"/>
    <mergeCell ref="F126:I126"/>
    <mergeCell ref="F127:I127"/>
    <mergeCell ref="F128:I128"/>
    <mergeCell ref="F129:I129"/>
    <mergeCell ref="F130:I130"/>
    <mergeCell ref="F131:I131"/>
    <mergeCell ref="F132:I132"/>
    <mergeCell ref="F133:I133"/>
    <mergeCell ref="F134:I134"/>
    <mergeCell ref="F135:I135"/>
    <mergeCell ref="F136:I136"/>
    <mergeCell ref="F137:I137"/>
    <mergeCell ref="F138:I138"/>
    <mergeCell ref="F139:I139"/>
    <mergeCell ref="F140:I140"/>
    <mergeCell ref="F141:I141"/>
    <mergeCell ref="F142:I142"/>
    <mergeCell ref="F143:I143"/>
    <mergeCell ref="F144:I144"/>
    <mergeCell ref="F145:I145"/>
    <mergeCell ref="F146:I146"/>
    <mergeCell ref="F147:I147"/>
    <mergeCell ref="F148:I148"/>
    <mergeCell ref="F149:I149"/>
    <mergeCell ref="F150:I150"/>
  </mergeCells>
  <conditionalFormatting sqref="J15:J150">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2"/>
  <sheetViews>
    <sheetView workbookViewId="0">
      <selection activeCell="A1" sqref="A1:H1"/>
    </sheetView>
  </sheetViews>
  <sheetFormatPr defaultColWidth="9" defaultRowHeight="15"/>
  <cols>
    <col min="1" max="1" width="9" customWidth="1"/>
    <col min="2" max="2" width="14" customWidth="1"/>
    <col min="3" max="3" width="40" customWidth="1"/>
    <col min="4" max="4" width="30" customWidth="1"/>
    <col min="5" max="5" width="10" customWidth="1"/>
    <col min="6" max="6" width="9" customWidth="1"/>
    <col min="7" max="12" width="10" customWidth="1"/>
    <col min="13" max="13" width="12" customWidth="1"/>
    <col min="14" max="15" width="10" customWidth="1"/>
  </cols>
  <sheetData>
    <row r="1" ht="20.25" spans="1:4">
      <c r="A1" s="20" t="s">
        <v>2956</v>
      </c>
    </row>
    <row r="3" ht="28.5" spans="1:4">
      <c r="A3" s="21" t="s">
        <v>1822</v>
      </c>
      <c r="B3" s="22" t="s">
        <v>1823</v>
      </c>
    </row>
    <row r="4" ht="28.5" spans="1:4">
      <c r="A4" s="21" t="s">
        <v>1544</v>
      </c>
      <c r="B4" s="23" t="s">
        <v>2957</v>
      </c>
    </row>
    <row r="5" ht="42.75" spans="1:4">
      <c r="A5" s="21" t="s">
        <v>1825</v>
      </c>
      <c r="B5" s="23" t="s">
        <v>1826</v>
      </c>
    </row>
    <row r="7" ht="15.75" spans="1:4">
      <c r="A7" s="24" t="s">
        <v>1827</v>
      </c>
    </row>
    <row r="8" ht="28.5" spans="1:4">
      <c r="A8" s="25" t="s">
        <v>211</v>
      </c>
      <c r="B8" s="25" t="s">
        <v>1828</v>
      </c>
      <c r="C8" s="25" t="s">
        <v>1829</v>
      </c>
      <c r="D8" s="25" t="s">
        <v>1830</v>
      </c>
    </row>
    <row r="9" ht="60" customHeight="1" spans="1:4">
      <c r="A9" s="26">
        <v>1</v>
      </c>
      <c r="B9" s="27" t="s">
        <v>1831</v>
      </c>
      <c r="C9" s="28" t="s">
        <v>2958</v>
      </c>
      <c r="D9" s="29" t="s">
        <v>1833</v>
      </c>
    </row>
    <row r="10" ht="45" customHeight="1" spans="1:4">
      <c r="A10" s="26">
        <v>2</v>
      </c>
      <c r="B10" s="27" t="s">
        <v>1834</v>
      </c>
      <c r="C10" s="28" t="s">
        <v>2959</v>
      </c>
      <c r="D10" s="29" t="s">
        <v>1836</v>
      </c>
    </row>
    <row r="11" ht="30" customHeight="1" spans="1:4">
      <c r="A11" s="26">
        <v>3</v>
      </c>
      <c r="B11" s="27" t="s">
        <v>2960</v>
      </c>
      <c r="C11" s="28" t="s">
        <v>2961</v>
      </c>
      <c r="D11" s="29" t="s">
        <v>2962</v>
      </c>
    </row>
    <row r="12" ht="30" customHeight="1" spans="1:4">
      <c r="A12" s="26">
        <v>4</v>
      </c>
      <c r="B12" s="27" t="s">
        <v>2963</v>
      </c>
      <c r="C12" s="28" t="s">
        <v>2964</v>
      </c>
      <c r="D12" s="29" t="s">
        <v>2965</v>
      </c>
    </row>
    <row r="14" ht="15.75" spans="1:4">
      <c r="A14" s="30" t="s">
        <v>1837</v>
      </c>
    </row>
    <row r="15" spans="1:4">
      <c r="A15" s="31" t="s">
        <v>1838</v>
      </c>
      <c r="B15" s="32"/>
      <c r="C15" s="31" t="s">
        <v>1839</v>
      </c>
      <c r="D15" s="32"/>
    </row>
    <row r="16" customHeight="1" spans="1:4">
      <c r="A16" s="33" t="s">
        <v>1840</v>
      </c>
      <c r="B16" s="32"/>
      <c r="C16" s="34" t="s">
        <v>1841</v>
      </c>
      <c r="D16" s="32"/>
    </row>
    <row r="17" customHeight="1" spans="1:15">
      <c r="A17" s="33" t="s">
        <v>1842</v>
      </c>
      <c r="B17" s="32"/>
      <c r="C17" s="34" t="s">
        <v>1843</v>
      </c>
      <c r="D17" s="32"/>
    </row>
    <row r="18" customHeight="1" spans="1:15">
      <c r="A18" s="33" t="s">
        <v>1844</v>
      </c>
      <c r="B18" s="32"/>
      <c r="C18" s="34" t="s">
        <v>1845</v>
      </c>
      <c r="D18" s="32"/>
    </row>
    <row r="19" customHeight="1" spans="1:15">
      <c r="A19" s="33" t="s">
        <v>1846</v>
      </c>
      <c r="B19" s="32"/>
      <c r="C19" s="34" t="s">
        <v>1847</v>
      </c>
      <c r="D19" s="32"/>
    </row>
    <row r="20" customHeight="1" spans="1:15">
      <c r="A20" s="33" t="s">
        <v>1848</v>
      </c>
      <c r="B20" s="32"/>
      <c r="C20" s="34" t="s">
        <v>1849</v>
      </c>
      <c r="D20" s="32"/>
    </row>
    <row r="21" ht="30" customHeight="1" spans="1:15">
      <c r="A21" s="33" t="s">
        <v>1850</v>
      </c>
      <c r="B21" s="32"/>
      <c r="C21" s="34" t="s">
        <v>1851</v>
      </c>
      <c r="D21" s="32"/>
    </row>
    <row r="22" ht="30" customHeight="1" spans="1:15">
      <c r="A22" s="33" t="s">
        <v>1852</v>
      </c>
      <c r="B22" s="32"/>
      <c r="C22" s="34" t="s">
        <v>1853</v>
      </c>
      <c r="D22" s="32"/>
    </row>
    <row r="23" customHeight="1" spans="1:15">
      <c r="A23" s="33" t="s">
        <v>1854</v>
      </c>
      <c r="B23" s="32"/>
      <c r="C23" s="34" t="s">
        <v>1855</v>
      </c>
      <c r="D23" s="32"/>
    </row>
    <row r="25" ht="15.75" spans="1:15">
      <c r="A25" s="24" t="s">
        <v>1856</v>
      </c>
    </row>
    <row r="26" ht="28.5" spans="1:15">
      <c r="A26" s="31" t="s">
        <v>211</v>
      </c>
      <c r="B26" s="31" t="s">
        <v>1857</v>
      </c>
      <c r="C26" s="32"/>
      <c r="D26" s="31" t="s">
        <v>1858</v>
      </c>
    </row>
    <row r="27" ht="30" customHeight="1" spans="1:15">
      <c r="A27" s="35">
        <v>1</v>
      </c>
      <c r="B27" s="33" t="s">
        <v>2966</v>
      </c>
      <c r="C27" s="32"/>
      <c r="D27" s="34" t="s">
        <v>2967</v>
      </c>
    </row>
    <row r="28" ht="45" customHeight="1" spans="1:15">
      <c r="A28" s="35">
        <v>2</v>
      </c>
      <c r="B28" s="33" t="s">
        <v>2968</v>
      </c>
      <c r="C28" s="32"/>
      <c r="D28" s="34" t="s">
        <v>2969</v>
      </c>
    </row>
    <row r="30" spans="1:15">
      <c r="A30" s="36" t="s">
        <v>1863</v>
      </c>
      <c r="B30" s="37"/>
      <c r="C30" s="37"/>
      <c r="D30" s="37"/>
      <c r="E30" s="37"/>
      <c r="F30" s="37"/>
      <c r="G30" s="37"/>
      <c r="H30" s="37"/>
      <c r="I30" s="37"/>
      <c r="J30" s="37"/>
      <c r="K30" s="37"/>
      <c r="L30" s="37"/>
      <c r="M30" s="37"/>
      <c r="N30" s="37"/>
      <c r="O30" s="37"/>
    </row>
    <row r="31" ht="32" customHeight="1" spans="1:15">
      <c r="A31" s="38" t="s">
        <v>211</v>
      </c>
      <c r="B31" s="38" t="s">
        <v>1828</v>
      </c>
      <c r="C31" s="38" t="s">
        <v>1864</v>
      </c>
      <c r="D31" s="38" t="s">
        <v>1865</v>
      </c>
      <c r="E31" s="38" t="s">
        <v>1866</v>
      </c>
      <c r="F31" s="38" t="s">
        <v>1867</v>
      </c>
      <c r="G31" s="38" t="s">
        <v>1868</v>
      </c>
      <c r="H31" s="38" t="s">
        <v>1869</v>
      </c>
      <c r="I31" s="38" t="s">
        <v>1870</v>
      </c>
      <c r="J31" s="38" t="s">
        <v>1871</v>
      </c>
      <c r="K31" s="38" t="s">
        <v>1872</v>
      </c>
      <c r="L31" s="38" t="s">
        <v>1873</v>
      </c>
      <c r="M31" s="38" t="s">
        <v>1874</v>
      </c>
      <c r="N31" s="38" t="s">
        <v>1875</v>
      </c>
      <c r="O31" s="38" t="s">
        <v>1876</v>
      </c>
    </row>
    <row r="32" ht="30" customHeight="1" spans="1:15">
      <c r="A32" s="39">
        <v>1</v>
      </c>
      <c r="B32" s="39" t="s">
        <v>1831</v>
      </c>
      <c r="C32" s="40" t="s">
        <v>2970</v>
      </c>
      <c r="D32" s="39" t="s">
        <v>1878</v>
      </c>
      <c r="E32" s="39">
        <v>20</v>
      </c>
      <c r="F32" s="39">
        <v>30</v>
      </c>
      <c r="G32" s="39">
        <v>40</v>
      </c>
      <c r="H32" s="39">
        <v>21197</v>
      </c>
      <c r="I32" s="39">
        <v>28</v>
      </c>
      <c r="J32" s="39">
        <v>48</v>
      </c>
      <c r="K32" s="39">
        <v>13</v>
      </c>
      <c r="L32" s="39">
        <v>159</v>
      </c>
      <c r="M32" s="39">
        <v>705.8</v>
      </c>
      <c r="N32" s="41">
        <v>0</v>
      </c>
      <c r="O32" s="39" t="s">
        <v>1385</v>
      </c>
    </row>
    <row r="33" ht="30" customHeight="1" spans="1:15">
      <c r="A33" s="39">
        <v>2</v>
      </c>
      <c r="B33" s="39" t="s">
        <v>1831</v>
      </c>
      <c r="C33" s="40" t="s">
        <v>2971</v>
      </c>
      <c r="D33" s="39" t="s">
        <v>1878</v>
      </c>
      <c r="E33" s="39">
        <v>20</v>
      </c>
      <c r="F33" s="39">
        <v>30</v>
      </c>
      <c r="G33" s="39">
        <v>5</v>
      </c>
      <c r="H33" s="39">
        <v>168422</v>
      </c>
      <c r="I33" s="39">
        <v>3</v>
      </c>
      <c r="J33" s="39">
        <v>6</v>
      </c>
      <c r="K33" s="39">
        <v>1</v>
      </c>
      <c r="L33" s="39">
        <v>44</v>
      </c>
      <c r="M33" s="39">
        <v>5613.2</v>
      </c>
      <c r="N33" s="41">
        <v>0</v>
      </c>
      <c r="O33" s="39" t="s">
        <v>1385</v>
      </c>
    </row>
    <row r="34" ht="30" customHeight="1" spans="1:15">
      <c r="A34" s="39">
        <v>3</v>
      </c>
      <c r="B34" s="39" t="s">
        <v>1831</v>
      </c>
      <c r="C34" s="40" t="s">
        <v>2972</v>
      </c>
      <c r="D34" s="39" t="s">
        <v>1878</v>
      </c>
      <c r="E34" s="39">
        <v>20</v>
      </c>
      <c r="F34" s="39">
        <v>30</v>
      </c>
      <c r="G34" s="39">
        <v>39</v>
      </c>
      <c r="H34" s="39">
        <v>27487</v>
      </c>
      <c r="I34" s="39">
        <v>22</v>
      </c>
      <c r="J34" s="39">
        <v>53</v>
      </c>
      <c r="K34" s="39">
        <v>7</v>
      </c>
      <c r="L34" s="39">
        <v>692</v>
      </c>
      <c r="M34" s="39">
        <v>915.9</v>
      </c>
      <c r="N34" s="41">
        <v>0</v>
      </c>
      <c r="O34" s="39" t="s">
        <v>1385</v>
      </c>
    </row>
    <row r="35" ht="30" customHeight="1" spans="1:15">
      <c r="A35" s="39">
        <v>4</v>
      </c>
      <c r="B35" s="39" t="s">
        <v>1834</v>
      </c>
      <c r="C35" s="40" t="s">
        <v>2973</v>
      </c>
      <c r="D35" s="39" t="s">
        <v>1881</v>
      </c>
      <c r="E35" s="39">
        <v>50</v>
      </c>
      <c r="F35" s="39">
        <v>30</v>
      </c>
      <c r="G35" s="39">
        <v>54</v>
      </c>
      <c r="H35" s="39">
        <v>32535</v>
      </c>
      <c r="I35" s="39">
        <v>46</v>
      </c>
      <c r="J35" s="39">
        <v>59</v>
      </c>
      <c r="K35" s="39">
        <v>8</v>
      </c>
      <c r="L35" s="39">
        <v>109</v>
      </c>
      <c r="M35" s="39">
        <v>1083.2</v>
      </c>
      <c r="N35" s="41">
        <v>0</v>
      </c>
      <c r="O35" s="39" t="s">
        <v>1385</v>
      </c>
    </row>
    <row r="36" ht="30" customHeight="1" spans="1:15">
      <c r="A36" s="39">
        <v>5</v>
      </c>
      <c r="B36" s="39" t="s">
        <v>1834</v>
      </c>
      <c r="C36" s="40" t="s">
        <v>2974</v>
      </c>
      <c r="D36" s="39" t="s">
        <v>1881</v>
      </c>
      <c r="E36" s="39">
        <v>50</v>
      </c>
      <c r="F36" s="39">
        <v>30</v>
      </c>
      <c r="G36" s="39">
        <v>8</v>
      </c>
      <c r="H36" s="39">
        <v>236385</v>
      </c>
      <c r="I36" s="39">
        <v>6</v>
      </c>
      <c r="J36" s="39">
        <v>9</v>
      </c>
      <c r="K36" s="39">
        <v>1</v>
      </c>
      <c r="L36" s="39">
        <v>50</v>
      </c>
      <c r="M36" s="39">
        <v>7878.5</v>
      </c>
      <c r="N36" s="41">
        <v>0</v>
      </c>
      <c r="O36" s="39" t="s">
        <v>1385</v>
      </c>
    </row>
    <row r="37" ht="30" customHeight="1" spans="1:15">
      <c r="A37" s="39">
        <v>6</v>
      </c>
      <c r="B37" s="39" t="s">
        <v>2960</v>
      </c>
      <c r="C37" s="40" t="s">
        <v>2975</v>
      </c>
      <c r="D37" s="39" t="s">
        <v>2976</v>
      </c>
      <c r="E37" s="39">
        <v>5</v>
      </c>
      <c r="F37" s="39">
        <v>30</v>
      </c>
      <c r="G37" s="39">
        <v>27251</v>
      </c>
      <c r="H37" s="39">
        <v>20</v>
      </c>
      <c r="I37" s="39">
        <v>7685</v>
      </c>
      <c r="J37" s="39">
        <v>27252</v>
      </c>
      <c r="K37" s="39">
        <v>1106</v>
      </c>
      <c r="L37" s="39">
        <v>27253</v>
      </c>
      <c r="M37" s="39">
        <v>0.6</v>
      </c>
      <c r="N37" s="41">
        <v>0</v>
      </c>
      <c r="O37" s="39" t="s">
        <v>1508</v>
      </c>
    </row>
    <row r="38" ht="30" customHeight="1" spans="1:15">
      <c r="A38" s="39">
        <v>7</v>
      </c>
      <c r="B38" s="39" t="s">
        <v>2963</v>
      </c>
      <c r="C38" s="40" t="s">
        <v>2977</v>
      </c>
      <c r="D38" s="39" t="s">
        <v>2978</v>
      </c>
      <c r="E38" s="39">
        <v>60</v>
      </c>
      <c r="F38" s="39">
        <v>15</v>
      </c>
      <c r="G38" s="39">
        <v>24</v>
      </c>
      <c r="H38" s="39">
        <v>62728</v>
      </c>
      <c r="I38" s="39">
        <v>14</v>
      </c>
      <c r="J38" s="39">
        <v>30</v>
      </c>
      <c r="K38" s="39">
        <v>1</v>
      </c>
      <c r="L38" s="39">
        <v>747</v>
      </c>
      <c r="M38" s="39">
        <v>4178.5</v>
      </c>
      <c r="N38" s="41">
        <v>0</v>
      </c>
      <c r="O38" s="39" t="s">
        <v>1385</v>
      </c>
    </row>
    <row r="39" spans="1:15">
      <c r="A39" s="42" t="s">
        <v>1882</v>
      </c>
      <c r="B39" s="42" t="s">
        <v>1883</v>
      </c>
      <c r="C39" s="42" t="s">
        <v>1884</v>
      </c>
      <c r="D39" s="42" t="s">
        <v>1885</v>
      </c>
      <c r="H39" s="43">
        <f>SUM(H32:H38)</f>
        <v>548774</v>
      </c>
      <c r="I39" s="44">
        <f>IFERROR(SUMPRODUCT(H32:H38,I32:I38)/H39,0)</f>
        <v>10.2962385244199</v>
      </c>
      <c r="N39" s="45">
        <f>IFERROR(SUMPRODUCT(H32:H38,N32:N38)/H39,0)</f>
        <v>0</v>
      </c>
      <c r="O39" s="43" t="str">
        <f>IF(COUNTIF(O32:O38,"FAIL")=0,"PASS","FAIL")</f>
        <v>FAIL</v>
      </c>
    </row>
    <row r="41" spans="1:15">
      <c r="A41" s="46" t="s">
        <v>1886</v>
      </c>
      <c r="B41" s="16"/>
      <c r="C41" s="16"/>
      <c r="D41" s="16"/>
      <c r="E41" s="17"/>
    </row>
    <row r="42" ht="30" spans="1:15">
      <c r="A42" s="38" t="s">
        <v>1887</v>
      </c>
      <c r="B42" s="38" t="s">
        <v>332</v>
      </c>
      <c r="C42" s="38" t="s">
        <v>1888</v>
      </c>
      <c r="D42" s="38" t="s">
        <v>1889</v>
      </c>
      <c r="E42" s="38" t="s">
        <v>430</v>
      </c>
    </row>
    <row r="43" ht="30" customHeight="1" spans="1:15">
      <c r="A43" s="47" t="s">
        <v>1831</v>
      </c>
      <c r="B43" s="47" t="s">
        <v>1878</v>
      </c>
      <c r="C43" s="47" t="s">
        <v>1890</v>
      </c>
      <c r="D43" s="47" t="s">
        <v>1891</v>
      </c>
      <c r="E43" s="47" t="s">
        <v>2970</v>
      </c>
    </row>
    <row r="44" ht="30" customHeight="1" spans="1:15">
      <c r="A44" s="47" t="s">
        <v>1831</v>
      </c>
      <c r="B44" s="47" t="s">
        <v>1878</v>
      </c>
      <c r="C44" s="47" t="s">
        <v>1890</v>
      </c>
      <c r="D44" s="47" t="s">
        <v>1891</v>
      </c>
      <c r="E44" s="47" t="s">
        <v>2971</v>
      </c>
    </row>
    <row r="45" ht="30" customHeight="1" spans="1:15">
      <c r="A45" s="47" t="s">
        <v>1831</v>
      </c>
      <c r="B45" s="47" t="s">
        <v>1878</v>
      </c>
      <c r="C45" s="47" t="s">
        <v>2979</v>
      </c>
      <c r="D45" s="47" t="s">
        <v>1891</v>
      </c>
      <c r="E45" s="47" t="s">
        <v>2972</v>
      </c>
    </row>
    <row r="46" ht="30" customHeight="1" spans="1:15">
      <c r="A46" s="47" t="s">
        <v>1834</v>
      </c>
      <c r="B46" s="47" t="s">
        <v>1881</v>
      </c>
      <c r="C46" s="47" t="s">
        <v>2980</v>
      </c>
      <c r="D46" s="47" t="s">
        <v>1891</v>
      </c>
      <c r="E46" s="47" t="s">
        <v>2973</v>
      </c>
    </row>
    <row r="47" ht="30" customHeight="1" spans="1:15">
      <c r="A47" s="47" t="s">
        <v>1834</v>
      </c>
      <c r="B47" s="47" t="s">
        <v>1881</v>
      </c>
      <c r="C47" s="47" t="s">
        <v>2980</v>
      </c>
      <c r="D47" s="47" t="s">
        <v>1891</v>
      </c>
      <c r="E47" s="47" t="s">
        <v>2974</v>
      </c>
    </row>
    <row r="48" ht="30" customHeight="1" spans="1:15">
      <c r="A48" s="47" t="s">
        <v>2960</v>
      </c>
      <c r="B48" s="47" t="s">
        <v>2976</v>
      </c>
      <c r="C48" s="47" t="s">
        <v>2981</v>
      </c>
      <c r="D48" s="47" t="s">
        <v>1891</v>
      </c>
      <c r="E48" s="47" t="s">
        <v>2975</v>
      </c>
    </row>
    <row r="49" ht="30" customHeight="1" spans="1:15">
      <c r="A49" s="47" t="s">
        <v>2963</v>
      </c>
      <c r="B49" s="47" t="s">
        <v>2978</v>
      </c>
      <c r="C49" s="47" t="s">
        <v>1588</v>
      </c>
      <c r="D49" s="47" t="s">
        <v>2982</v>
      </c>
      <c r="E49" s="47" t="s">
        <v>2977</v>
      </c>
    </row>
    <row r="51" spans="1:15">
      <c r="A51" s="46" t="s">
        <v>1893</v>
      </c>
      <c r="B51" s="16"/>
      <c r="C51" s="16"/>
      <c r="D51" s="16"/>
      <c r="E51" s="16"/>
      <c r="F51" s="16"/>
      <c r="G51" s="16"/>
      <c r="H51" s="16"/>
      <c r="I51" s="16"/>
      <c r="J51" s="16"/>
      <c r="K51" s="16"/>
      <c r="L51" s="16"/>
      <c r="M51" s="16"/>
      <c r="N51" s="16"/>
      <c r="O51" s="17"/>
    </row>
    <row r="52" customHeight="1" spans="1:15">
      <c r="A52" s="47" t="s">
        <v>2983</v>
      </c>
      <c r="B52" s="48"/>
      <c r="C52" s="48"/>
      <c r="D52" s="48"/>
      <c r="E52" s="48"/>
      <c r="F52" s="48"/>
      <c r="G52" s="48"/>
      <c r="H52" s="48"/>
      <c r="I52" s="48"/>
      <c r="J52" s="48"/>
      <c r="K52" s="48"/>
      <c r="L52" s="48"/>
      <c r="M52" s="48"/>
      <c r="N52" s="48"/>
      <c r="O52" s="32"/>
    </row>
  </sheetData>
  <mergeCells count="32">
    <mergeCell ref="A1:H1"/>
    <mergeCell ref="B3:H3"/>
    <mergeCell ref="B4:H4"/>
    <mergeCell ref="B5:H5"/>
    <mergeCell ref="A7:D7"/>
    <mergeCell ref="A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5:D25"/>
    <mergeCell ref="B26:C26"/>
    <mergeCell ref="B27:C27"/>
    <mergeCell ref="B28:C28"/>
    <mergeCell ref="A30:O30"/>
    <mergeCell ref="A41:E41"/>
    <mergeCell ref="A51:O51"/>
    <mergeCell ref="A52:O52"/>
  </mergeCells>
  <conditionalFormatting sqref="O32:O39">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workbookViewId="0">
      <selection activeCell="A1" sqref="A1:G1"/>
    </sheetView>
  </sheetViews>
  <sheetFormatPr defaultColWidth="9" defaultRowHeight="15" outlineLevelCol="6"/>
  <cols>
    <col min="1" max="1" width="34" customWidth="1"/>
    <col min="2" max="2" width="14" customWidth="1"/>
    <col min="3" max="6" width="13" customWidth="1"/>
    <col min="7" max="7" width="44" customWidth="1"/>
  </cols>
  <sheetData>
    <row r="1" ht="19.5" spans="1:7">
      <c r="A1" s="1" t="s">
        <v>1895</v>
      </c>
    </row>
    <row r="2" spans="1:7">
      <c r="A2" s="2" t="s">
        <v>226</v>
      </c>
      <c r="C2" s="2" t="s">
        <v>227</v>
      </c>
    </row>
    <row r="3" spans="1:7">
      <c r="A3" s="2" t="s">
        <v>528</v>
      </c>
      <c r="C3" s="2" t="s">
        <v>231</v>
      </c>
    </row>
    <row r="4" spans="1:7">
      <c r="A4" s="2" t="s">
        <v>1896</v>
      </c>
      <c r="C4" s="3" t="s">
        <v>46</v>
      </c>
    </row>
    <row r="5" spans="1:7">
      <c r="A5" s="2" t="s">
        <v>1897</v>
      </c>
      <c r="C5" s="2" t="s">
        <v>7</v>
      </c>
    </row>
    <row r="6" spans="1:7">
      <c r="A6" s="2" t="s">
        <v>1898</v>
      </c>
      <c r="C6" s="2" t="s">
        <v>233</v>
      </c>
    </row>
    <row r="7" spans="1:7">
      <c r="A7" s="2" t="s">
        <v>1899</v>
      </c>
      <c r="C7" s="2">
        <f>B16</f>
        <v>133</v>
      </c>
    </row>
    <row r="8" spans="1:7">
      <c r="A8" s="2" t="s">
        <v>1900</v>
      </c>
      <c r="C8" s="3" t="s">
        <v>1901</v>
      </c>
    </row>
    <row r="10" spans="1:7">
      <c r="A10" s="4" t="s">
        <v>1902</v>
      </c>
      <c r="B10" s="5"/>
      <c r="C10" s="5"/>
      <c r="D10" s="5"/>
      <c r="E10" s="5"/>
      <c r="F10" s="5"/>
      <c r="G10" s="6"/>
    </row>
    <row r="11" ht="32" customHeight="1" spans="1:7">
      <c r="A11" s="7" t="s">
        <v>1903</v>
      </c>
      <c r="B11" s="7" t="s">
        <v>1904</v>
      </c>
      <c r="C11" s="7" t="s">
        <v>1553</v>
      </c>
      <c r="D11" s="7" t="s">
        <v>1554</v>
      </c>
      <c r="E11" s="7" t="s">
        <v>1905</v>
      </c>
      <c r="F11" s="7" t="s">
        <v>1759</v>
      </c>
      <c r="G11" s="7" t="s">
        <v>1906</v>
      </c>
    </row>
    <row r="12" customHeight="1" spans="1:7">
      <c r="A12" s="8" t="s">
        <v>1907</v>
      </c>
      <c r="B12" s="9">
        <f>'PH2-Kiểm thử giao diện'!C16</f>
        <v>25</v>
      </c>
      <c r="C12" s="9">
        <f>'PH2-Kiểm thử giao diện'!E16</f>
        <v>21</v>
      </c>
      <c r="D12" s="9">
        <f>'PH2-Kiểm thử giao diện'!F16</f>
        <v>4</v>
      </c>
      <c r="E12" s="9">
        <f>'PH2-Kiểm thử giao diện'!D16</f>
        <v>0</v>
      </c>
      <c r="F12" s="10">
        <f>IFERROR(C12/B12,0)</f>
        <v>0.84</v>
      </c>
      <c r="G12" s="11" t="s">
        <v>1908</v>
      </c>
    </row>
    <row r="13" ht="30" customHeight="1" spans="1:7">
      <c r="A13" s="8" t="s">
        <v>1909</v>
      </c>
      <c r="B13" s="9">
        <f>'PH2-Kiểm thử API(Postman)'!A10</f>
        <v>53</v>
      </c>
      <c r="C13" s="9">
        <f>'PH2-Kiểm thử API(Postman)'!B10</f>
        <v>42</v>
      </c>
      <c r="D13" s="9">
        <f>'PH2-Kiểm thử API(Postman)'!C10</f>
        <v>11</v>
      </c>
      <c r="E13" s="9">
        <v>0</v>
      </c>
      <c r="F13" s="10">
        <f>IFERROR(C13/B13,0)</f>
        <v>0.792452830188679</v>
      </c>
      <c r="G13" s="11" t="s">
        <v>2984</v>
      </c>
    </row>
    <row r="14" ht="30" customHeight="1" spans="1:7">
      <c r="A14" s="8" t="s">
        <v>1911</v>
      </c>
      <c r="B14" s="9">
        <f>'PH2-Unit test'!B147</f>
        <v>55</v>
      </c>
      <c r="C14" s="9">
        <f>'PH2-Unit test'!B148</f>
        <v>48</v>
      </c>
      <c r="D14" s="9">
        <f>'PH2-Unit test'!B149</f>
        <v>7</v>
      </c>
      <c r="E14" s="9">
        <v>0</v>
      </c>
      <c r="F14" s="10">
        <f>IFERROR(C14/B14,0)</f>
        <v>0.872727272727273</v>
      </c>
      <c r="G14" s="11" t="s">
        <v>2985</v>
      </c>
    </row>
    <row r="15" ht="45" customHeight="1" spans="1:7">
      <c r="A15" s="8" t="s">
        <v>1913</v>
      </c>
      <c r="B15" s="9">
        <f>COUNTA('PH2-Kiểm thử hiệu năng'!O32:O38)</f>
        <v>7</v>
      </c>
      <c r="C15" s="9">
        <f>COUNTIF('PH2-Kiểm thử hiệu năng'!O32:O38,"PASS")</f>
        <v>6</v>
      </c>
      <c r="D15" s="9">
        <f>COUNTIF('PH2-Kiểm thử hiệu năng'!O32:O38,"FAIL")</f>
        <v>1</v>
      </c>
      <c r="E15" s="9">
        <v>0</v>
      </c>
      <c r="F15" s="10">
        <f>IFERROR(C15/B15,0)</f>
        <v>0.857142857142857</v>
      </c>
      <c r="G15" s="11" t="s">
        <v>2986</v>
      </c>
    </row>
    <row r="16" spans="1:7">
      <c r="A16" s="12" t="s">
        <v>1914</v>
      </c>
      <c r="B16" s="7">
        <f>SUMIF($A$12:$A$15,"&lt;&gt;Kiểm thử Hiệu năng*",B12:B15)</f>
        <v>133</v>
      </c>
      <c r="C16" s="7">
        <f>SUMIF($A$12:$A$15,"&lt;&gt;Kiểm thử Hiệu năng*",C12:C15)</f>
        <v>111</v>
      </c>
      <c r="D16" s="7">
        <f>SUMIF($A$12:$A$15,"&lt;&gt;Kiểm thử Hiệu năng*",D12:D15)</f>
        <v>22</v>
      </c>
      <c r="E16" s="7">
        <f>SUMIF($A$12:$A$15,"&lt;&gt;Kiểm thử Hiệu năng*",E12:E15)</f>
        <v>0</v>
      </c>
      <c r="F16" s="13">
        <f>IFERROR(C16/B16,0)</f>
        <v>0.834586466165414</v>
      </c>
      <c r="G16" s="12" t="s">
        <v>7</v>
      </c>
    </row>
    <row r="18" ht="400" customHeight="1" spans="1:7">
      <c r="A18" s="14" t="s">
        <v>1915</v>
      </c>
      <c r="B18" s="15" t="s">
        <v>2987</v>
      </c>
      <c r="C18" s="16"/>
      <c r="D18" s="16"/>
      <c r="E18" s="16"/>
      <c r="F18" s="16"/>
      <c r="G18" s="17"/>
    </row>
    <row r="19" ht="400" customHeight="1" spans="1:7">
      <c r="A19" s="18" t="s">
        <v>1917</v>
      </c>
      <c r="B19" s="15" t="s">
        <v>2988</v>
      </c>
      <c r="C19" s="16"/>
      <c r="D19" s="16"/>
      <c r="E19" s="17"/>
      <c r="F19" s="15" t="s">
        <v>2989</v>
      </c>
      <c r="G19" s="17"/>
    </row>
    <row r="20" ht="225" customHeight="1" spans="1:7">
      <c r="A20" s="14" t="s">
        <v>1920</v>
      </c>
      <c r="B20" s="15" t="s">
        <v>2036</v>
      </c>
      <c r="C20" s="16"/>
      <c r="D20" s="16"/>
      <c r="E20" s="16"/>
      <c r="F20" s="16"/>
      <c r="G20" s="17"/>
    </row>
    <row r="21" ht="45" customHeight="1" spans="1:7">
      <c r="A21" s="14" t="s">
        <v>1921</v>
      </c>
      <c r="B21" s="15" t="s">
        <v>2990</v>
      </c>
      <c r="C21" s="16"/>
      <c r="D21" s="16"/>
      <c r="E21" s="16"/>
      <c r="F21" s="16"/>
      <c r="G21" s="17"/>
    </row>
    <row r="22" ht="32" customHeight="1" spans="1:7">
      <c r="A22" s="19" t="s">
        <v>1923</v>
      </c>
    </row>
  </sheetData>
  <mergeCells count="21">
    <mergeCell ref="A1:G1"/>
    <mergeCell ref="A2:B2"/>
    <mergeCell ref="C2:F2"/>
    <mergeCell ref="A3:B3"/>
    <mergeCell ref="C3:F3"/>
    <mergeCell ref="A4:B4"/>
    <mergeCell ref="C4:F4"/>
    <mergeCell ref="A5:B5"/>
    <mergeCell ref="C5:F5"/>
    <mergeCell ref="A6:B6"/>
    <mergeCell ref="C6:F6"/>
    <mergeCell ref="A7:B7"/>
    <mergeCell ref="C7:F7"/>
    <mergeCell ref="A8:B8"/>
    <mergeCell ref="C8:F8"/>
    <mergeCell ref="A10:G10"/>
    <mergeCell ref="B18:G18"/>
    <mergeCell ref="B19:E19"/>
    <mergeCell ref="F19:G19"/>
    <mergeCell ref="B20:G20"/>
    <mergeCell ref="B21:G21"/>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
  <sheetViews>
    <sheetView workbookViewId="0">
      <pane xSplit="1" ySplit="13" topLeftCell="B14" activePane="bottomRight" state="frozen"/>
      <selection/>
      <selection pane="topRight"/>
      <selection pane="bottomLeft"/>
      <selection pane="bottomRight" activeCell="A1" sqref="A1:F1"/>
    </sheetView>
  </sheetViews>
  <sheetFormatPr defaultColWidth="9" defaultRowHeight="15" outlineLevelCol="5"/>
  <cols>
    <col min="1" max="1" width="57.7142857142857" customWidth="1"/>
    <col min="2" max="2" width="11.1428571428571" customWidth="1"/>
    <col min="3" max="3" width="13.5714285714286" customWidth="1"/>
    <col min="4" max="4" width="13" customWidth="1"/>
    <col min="5" max="5" width="38.5714285714286" customWidth="1"/>
    <col min="6" max="6" width="13" customWidth="1"/>
  </cols>
  <sheetData>
    <row r="1" ht="24" customHeight="1" spans="1:6">
      <c r="A1" s="144" t="s">
        <v>69</v>
      </c>
    </row>
    <row r="3" customHeight="1" spans="1:6">
      <c r="A3" s="145" t="s">
        <v>226</v>
      </c>
      <c r="B3" s="146" t="s">
        <v>227</v>
      </c>
      <c r="C3" s="147"/>
      <c r="D3" s="147"/>
      <c r="E3" s="147"/>
      <c r="F3" s="147"/>
    </row>
    <row r="4" customHeight="1" spans="1:6">
      <c r="A4" s="145" t="s">
        <v>528</v>
      </c>
      <c r="B4" s="146" t="s">
        <v>231</v>
      </c>
      <c r="C4" s="147"/>
      <c r="D4" s="147"/>
      <c r="E4" s="147"/>
      <c r="F4" s="147"/>
    </row>
    <row r="5" customHeight="1" spans="1:6">
      <c r="A5" s="145" t="s">
        <v>529</v>
      </c>
      <c r="B5" s="146" t="s">
        <v>47</v>
      </c>
      <c r="C5" s="147"/>
      <c r="D5" s="147"/>
      <c r="E5" s="147"/>
      <c r="F5" s="147"/>
    </row>
    <row r="6" customHeight="1" spans="1:6">
      <c r="A6" s="145" t="s">
        <v>422</v>
      </c>
      <c r="B6" s="146" t="s">
        <v>60</v>
      </c>
      <c r="C6" s="147"/>
      <c r="D6" s="147"/>
      <c r="E6" s="147"/>
      <c r="F6" s="147"/>
    </row>
    <row r="7" customHeight="1" spans="1:6">
      <c r="A7" s="145" t="s">
        <v>238</v>
      </c>
      <c r="B7" s="146" t="s">
        <v>7</v>
      </c>
      <c r="C7" s="147"/>
      <c r="D7" s="147"/>
      <c r="E7" s="147"/>
      <c r="F7" s="147"/>
    </row>
    <row r="8" customHeight="1" spans="1:6">
      <c r="A8" s="145" t="s">
        <v>421</v>
      </c>
      <c r="B8" s="146" t="s">
        <v>233</v>
      </c>
      <c r="C8" s="147"/>
      <c r="D8" s="147"/>
      <c r="E8" s="147"/>
      <c r="F8" s="147"/>
    </row>
    <row r="9" ht="60" customHeight="1" spans="1:6">
      <c r="A9" s="145" t="s">
        <v>423</v>
      </c>
      <c r="B9" s="148" t="s">
        <v>2991</v>
      </c>
      <c r="C9" s="147"/>
      <c r="D9" s="147"/>
      <c r="E9" s="147"/>
      <c r="F9" s="147"/>
    </row>
    <row r="10" customHeight="1" spans="1:6">
      <c r="A10" s="145" t="s">
        <v>532</v>
      </c>
      <c r="B10" s="146" t="s">
        <v>103</v>
      </c>
      <c r="C10" s="147"/>
      <c r="D10" s="147"/>
      <c r="E10" s="147"/>
      <c r="F10" s="147"/>
    </row>
    <row r="11" ht="105" customHeight="1" spans="1:6">
      <c r="A11" s="145" t="s">
        <v>935</v>
      </c>
      <c r="B11" s="148" t="s">
        <v>2992</v>
      </c>
      <c r="C11" s="147"/>
      <c r="D11" s="147"/>
      <c r="E11" s="147"/>
      <c r="F11" s="147"/>
    </row>
    <row r="13" spans="1:6">
      <c r="A13" s="149" t="s">
        <v>426</v>
      </c>
      <c r="B13" s="150" t="s">
        <v>427</v>
      </c>
      <c r="C13" s="150" t="s">
        <v>428</v>
      </c>
      <c r="D13" s="150" t="s">
        <v>429</v>
      </c>
      <c r="E13" s="150" t="s">
        <v>430</v>
      </c>
      <c r="F13" s="150" t="s">
        <v>431</v>
      </c>
    </row>
    <row r="14" spans="1:6">
      <c r="A14" s="149" t="s">
        <v>432</v>
      </c>
      <c r="B14" s="149"/>
      <c r="C14" s="149"/>
      <c r="D14" s="149"/>
      <c r="E14" s="149"/>
      <c r="F14" s="149"/>
    </row>
    <row r="15" ht="90" customHeight="1" spans="1:6">
      <c r="A15" s="151" t="s">
        <v>433</v>
      </c>
      <c r="B15" s="152"/>
      <c r="C15" s="152" t="s">
        <v>434</v>
      </c>
      <c r="D15" s="152"/>
      <c r="E15" s="151" t="s">
        <v>2993</v>
      </c>
      <c r="F15" s="152" t="s">
        <v>436</v>
      </c>
    </row>
    <row r="16" ht="60" customHeight="1" spans="1:6">
      <c r="A16" s="151" t="s">
        <v>437</v>
      </c>
      <c r="B16" s="152"/>
      <c r="C16" s="152" t="s">
        <v>434</v>
      </c>
      <c r="D16" s="152"/>
      <c r="E16" s="151" t="s">
        <v>2994</v>
      </c>
      <c r="F16" s="152" t="s">
        <v>436</v>
      </c>
    </row>
    <row r="17" ht="75" customHeight="1" spans="1:6">
      <c r="A17" s="151" t="s">
        <v>535</v>
      </c>
      <c r="B17" s="152"/>
      <c r="C17" s="152" t="s">
        <v>434</v>
      </c>
      <c r="D17" s="152"/>
      <c r="E17" s="151" t="s">
        <v>2995</v>
      </c>
      <c r="F17" s="152" t="s">
        <v>436</v>
      </c>
    </row>
    <row r="18" ht="60" customHeight="1" spans="1:6">
      <c r="A18" s="151" t="s">
        <v>537</v>
      </c>
      <c r="B18" s="152"/>
      <c r="C18" s="152" t="s">
        <v>434</v>
      </c>
      <c r="D18" s="152"/>
      <c r="E18" s="151" t="s">
        <v>2996</v>
      </c>
      <c r="F18" s="152" t="s">
        <v>436</v>
      </c>
    </row>
    <row r="19" ht="30" customHeight="1" spans="1:6">
      <c r="A19" s="151" t="s">
        <v>539</v>
      </c>
      <c r="B19" s="152"/>
      <c r="C19" s="152" t="s">
        <v>434</v>
      </c>
      <c r="D19" s="152"/>
      <c r="E19" s="151" t="s">
        <v>2997</v>
      </c>
      <c r="F19" s="152" t="s">
        <v>436</v>
      </c>
    </row>
    <row r="20" ht="45" customHeight="1" spans="1:6">
      <c r="A20" s="151" t="s">
        <v>541</v>
      </c>
      <c r="B20" s="152"/>
      <c r="C20" s="152" t="s">
        <v>434</v>
      </c>
      <c r="D20" s="152"/>
      <c r="E20" s="151" t="s">
        <v>2998</v>
      </c>
      <c r="F20" s="152" t="s">
        <v>436</v>
      </c>
    </row>
    <row r="21" ht="75" customHeight="1" spans="1:6">
      <c r="A21" s="151" t="s">
        <v>543</v>
      </c>
      <c r="B21" s="152"/>
      <c r="C21" s="152" t="s">
        <v>434</v>
      </c>
      <c r="D21" s="152"/>
      <c r="E21" s="151" t="s">
        <v>2999</v>
      </c>
      <c r="F21" s="152" t="s">
        <v>436</v>
      </c>
    </row>
    <row r="22" ht="90" customHeight="1" spans="1:6">
      <c r="A22" s="151" t="s">
        <v>449</v>
      </c>
      <c r="B22" s="152"/>
      <c r="C22" s="152"/>
      <c r="D22" s="152" t="s">
        <v>434</v>
      </c>
      <c r="E22" s="151" t="s">
        <v>3000</v>
      </c>
      <c r="F22" s="152" t="s">
        <v>436</v>
      </c>
    </row>
    <row r="23" ht="30" customHeight="1" spans="1:6">
      <c r="A23" s="151" t="s">
        <v>451</v>
      </c>
      <c r="B23" s="152"/>
      <c r="C23" s="152"/>
      <c r="D23" s="152" t="s">
        <v>434</v>
      </c>
      <c r="E23" s="151" t="s">
        <v>3001</v>
      </c>
      <c r="F23" s="152" t="s">
        <v>436</v>
      </c>
    </row>
    <row r="24" spans="1:6">
      <c r="A24" s="149" t="s">
        <v>547</v>
      </c>
      <c r="B24" s="149"/>
      <c r="C24" s="149"/>
      <c r="D24" s="149"/>
      <c r="E24" s="149"/>
      <c r="F24" s="149"/>
    </row>
    <row r="25" ht="90" customHeight="1" spans="1:6">
      <c r="A25" s="151" t="s">
        <v>548</v>
      </c>
      <c r="B25" s="152" t="s">
        <v>434</v>
      </c>
      <c r="C25" s="152"/>
      <c r="D25" s="152"/>
      <c r="E25" s="151" t="s">
        <v>3002</v>
      </c>
      <c r="F25" s="152" t="s">
        <v>436</v>
      </c>
    </row>
    <row r="26" ht="90" customHeight="1" spans="1:6">
      <c r="A26" s="151" t="s">
        <v>550</v>
      </c>
      <c r="B26" s="152" t="s">
        <v>434</v>
      </c>
      <c r="C26" s="152"/>
      <c r="D26" s="152"/>
      <c r="E26" s="151" t="s">
        <v>3003</v>
      </c>
      <c r="F26" s="152" t="s">
        <v>436</v>
      </c>
    </row>
    <row r="27" ht="135" customHeight="1" spans="1:6">
      <c r="A27" s="151" t="s">
        <v>552</v>
      </c>
      <c r="B27" s="152"/>
      <c r="C27" s="152" t="s">
        <v>434</v>
      </c>
      <c r="D27" s="152"/>
      <c r="E27" s="151" t="s">
        <v>3004</v>
      </c>
      <c r="F27" s="152" t="s">
        <v>436</v>
      </c>
    </row>
    <row r="28" ht="30" customHeight="1" spans="1:6">
      <c r="A28" s="151" t="s">
        <v>554</v>
      </c>
      <c r="B28" s="152"/>
      <c r="C28" s="152" t="s">
        <v>434</v>
      </c>
      <c r="D28" s="152"/>
      <c r="E28" s="151" t="s">
        <v>3005</v>
      </c>
      <c r="F28" s="152" t="s">
        <v>436</v>
      </c>
    </row>
    <row r="29" customHeight="1" spans="1:6">
      <c r="A29" s="151" t="s">
        <v>556</v>
      </c>
      <c r="B29" s="152"/>
      <c r="C29" s="152"/>
      <c r="D29" s="152" t="s">
        <v>434</v>
      </c>
      <c r="E29" s="151" t="s">
        <v>557</v>
      </c>
      <c r="F29" s="152" t="s">
        <v>7</v>
      </c>
    </row>
    <row r="30" customHeight="1" spans="1:6">
      <c r="A30" s="151" t="s">
        <v>224</v>
      </c>
      <c r="B30" s="152"/>
      <c r="C30" s="152"/>
      <c r="D30" s="152" t="s">
        <v>434</v>
      </c>
      <c r="E30" s="151" t="s">
        <v>557</v>
      </c>
      <c r="F30" s="152" t="s">
        <v>7</v>
      </c>
    </row>
    <row r="31" customHeight="1" spans="1:6">
      <c r="A31" s="151" t="s">
        <v>558</v>
      </c>
      <c r="B31" s="152"/>
      <c r="C31" s="152"/>
      <c r="D31" s="152" t="s">
        <v>434</v>
      </c>
      <c r="E31" s="151" t="s">
        <v>557</v>
      </c>
      <c r="F31" s="152" t="s">
        <v>7</v>
      </c>
    </row>
    <row r="32" customHeight="1" spans="1:6">
      <c r="A32" s="151" t="s">
        <v>246</v>
      </c>
      <c r="B32" s="152"/>
      <c r="C32" s="152"/>
      <c r="D32" s="152" t="s">
        <v>434</v>
      </c>
      <c r="E32" s="151" t="s">
        <v>557</v>
      </c>
      <c r="F32" s="152" t="s">
        <v>7</v>
      </c>
    </row>
    <row r="33" ht="90" customHeight="1" spans="1:6">
      <c r="A33" s="151" t="s">
        <v>559</v>
      </c>
      <c r="B33" s="152" t="s">
        <v>434</v>
      </c>
      <c r="C33" s="152"/>
      <c r="D33" s="152"/>
      <c r="E33" s="151" t="s">
        <v>3006</v>
      </c>
      <c r="F33" s="152" t="s">
        <v>436</v>
      </c>
    </row>
    <row r="34" ht="45" customHeight="1" spans="1:6">
      <c r="A34" s="151" t="s">
        <v>561</v>
      </c>
      <c r="B34" s="152"/>
      <c r="C34" s="152" t="s">
        <v>434</v>
      </c>
      <c r="D34" s="152"/>
      <c r="E34" s="151" t="s">
        <v>3007</v>
      </c>
      <c r="F34" s="152" t="s">
        <v>436</v>
      </c>
    </row>
    <row r="35" spans="1:6">
      <c r="A35" s="149" t="s">
        <v>563</v>
      </c>
      <c r="B35" s="149"/>
      <c r="C35" s="149"/>
      <c r="D35" s="149"/>
      <c r="E35" s="149"/>
      <c r="F35" s="149"/>
    </row>
    <row r="36" ht="75" customHeight="1" spans="1:6">
      <c r="A36" s="151" t="s">
        <v>564</v>
      </c>
      <c r="B36" s="152" t="s">
        <v>434</v>
      </c>
      <c r="C36" s="152"/>
      <c r="D36" s="152"/>
      <c r="E36" s="151" t="s">
        <v>3008</v>
      </c>
      <c r="F36" s="152" t="s">
        <v>436</v>
      </c>
    </row>
    <row r="37" ht="90" customHeight="1" spans="1:6">
      <c r="A37" s="151" t="s">
        <v>566</v>
      </c>
      <c r="B37" s="152" t="s">
        <v>434</v>
      </c>
      <c r="C37" s="152"/>
      <c r="D37" s="152"/>
      <c r="E37" s="151" t="s">
        <v>3009</v>
      </c>
      <c r="F37" s="152" t="s">
        <v>436</v>
      </c>
    </row>
    <row r="38" ht="30" customHeight="1" spans="1:6">
      <c r="A38" s="151" t="s">
        <v>568</v>
      </c>
      <c r="B38" s="152" t="s">
        <v>434</v>
      </c>
      <c r="C38" s="152"/>
      <c r="D38" s="152"/>
      <c r="E38" s="151" t="s">
        <v>3010</v>
      </c>
      <c r="F38" s="152" t="s">
        <v>436</v>
      </c>
    </row>
    <row r="39" ht="60" customHeight="1" spans="1:6">
      <c r="A39" s="151" t="s">
        <v>570</v>
      </c>
      <c r="B39" s="152" t="s">
        <v>434</v>
      </c>
      <c r="C39" s="152"/>
      <c r="D39" s="152"/>
      <c r="E39" s="151" t="s">
        <v>3011</v>
      </c>
      <c r="F39" s="152" t="s">
        <v>436</v>
      </c>
    </row>
    <row r="40" ht="120" customHeight="1" spans="1:6">
      <c r="A40" s="151" t="s">
        <v>572</v>
      </c>
      <c r="B40" s="152"/>
      <c r="C40" s="152" t="s">
        <v>434</v>
      </c>
      <c r="D40" s="152"/>
      <c r="E40" s="151" t="s">
        <v>3012</v>
      </c>
      <c r="F40" s="152" t="s">
        <v>436</v>
      </c>
    </row>
    <row r="41" ht="60" customHeight="1" spans="1:6">
      <c r="A41" s="151" t="s">
        <v>574</v>
      </c>
      <c r="B41" s="152" t="s">
        <v>434</v>
      </c>
      <c r="C41" s="152"/>
      <c r="D41" s="152"/>
      <c r="E41" s="151" t="s">
        <v>3013</v>
      </c>
      <c r="F41" s="152" t="s">
        <v>7</v>
      </c>
    </row>
    <row r="42" ht="90" customHeight="1" spans="1:6">
      <c r="A42" s="151" t="s">
        <v>576</v>
      </c>
      <c r="B42" s="152" t="s">
        <v>434</v>
      </c>
      <c r="C42" s="152"/>
      <c r="D42" s="152"/>
      <c r="E42" s="151" t="s">
        <v>3014</v>
      </c>
      <c r="F42" s="152" t="s">
        <v>7</v>
      </c>
    </row>
    <row r="43" ht="90" customHeight="1" spans="1:6">
      <c r="A43" s="151" t="s">
        <v>578</v>
      </c>
      <c r="B43" s="152" t="s">
        <v>434</v>
      </c>
      <c r="C43" s="152"/>
      <c r="D43" s="152"/>
      <c r="E43" s="151" t="s">
        <v>3015</v>
      </c>
      <c r="F43" s="152" t="s">
        <v>7</v>
      </c>
    </row>
    <row r="44" ht="45" customHeight="1" spans="1:6">
      <c r="A44" s="151" t="s">
        <v>580</v>
      </c>
      <c r="B44" s="152"/>
      <c r="C44" s="152" t="s">
        <v>434</v>
      </c>
      <c r="D44" s="152"/>
      <c r="E44" s="151" t="s">
        <v>3016</v>
      </c>
      <c r="F44" s="152" t="s">
        <v>436</v>
      </c>
    </row>
    <row r="45" ht="75" customHeight="1" spans="1:6">
      <c r="A45" s="151" t="s">
        <v>582</v>
      </c>
      <c r="B45" s="152" t="s">
        <v>434</v>
      </c>
      <c r="C45" s="152"/>
      <c r="D45" s="152"/>
      <c r="E45" s="151" t="s">
        <v>3017</v>
      </c>
      <c r="F45" s="152" t="s">
        <v>7</v>
      </c>
    </row>
    <row r="46" ht="75" customHeight="1" spans="1:6">
      <c r="A46" s="151" t="s">
        <v>584</v>
      </c>
      <c r="B46" s="152"/>
      <c r="C46" s="152" t="s">
        <v>434</v>
      </c>
      <c r="D46" s="152"/>
      <c r="E46" s="151" t="s">
        <v>3018</v>
      </c>
      <c r="F46" s="152" t="s">
        <v>7</v>
      </c>
    </row>
    <row r="47" spans="1:6">
      <c r="A47" s="153" t="s">
        <v>586</v>
      </c>
      <c r="B47" s="149"/>
      <c r="C47" s="149"/>
      <c r="D47" s="149"/>
      <c r="E47" s="149"/>
      <c r="F47" s="149"/>
    </row>
    <row r="48" ht="45" customHeight="1" spans="1:6">
      <c r="A48" s="151" t="s">
        <v>962</v>
      </c>
      <c r="B48" s="152"/>
      <c r="C48" s="152" t="s">
        <v>434</v>
      </c>
      <c r="D48" s="152"/>
      <c r="E48" s="151" t="s">
        <v>3019</v>
      </c>
      <c r="F48" s="152" t="s">
        <v>436</v>
      </c>
    </row>
    <row r="49" ht="150" customHeight="1" spans="1:6">
      <c r="A49" s="151" t="s">
        <v>589</v>
      </c>
      <c r="B49" s="152"/>
      <c r="C49" s="152" t="s">
        <v>434</v>
      </c>
      <c r="D49" s="152"/>
      <c r="E49" s="151" t="s">
        <v>3020</v>
      </c>
      <c r="F49" s="152" t="s">
        <v>436</v>
      </c>
    </row>
    <row r="50" ht="45" customHeight="1" spans="1:6">
      <c r="A50" s="151" t="s">
        <v>591</v>
      </c>
      <c r="B50" s="152"/>
      <c r="C50" s="152" t="s">
        <v>434</v>
      </c>
      <c r="D50" s="152"/>
      <c r="E50" s="151" t="s">
        <v>3021</v>
      </c>
      <c r="F50" s="152" t="s">
        <v>436</v>
      </c>
    </row>
    <row r="51" ht="45" customHeight="1" spans="1:6">
      <c r="A51" s="151" t="s">
        <v>593</v>
      </c>
      <c r="B51" s="152"/>
      <c r="C51" s="152" t="s">
        <v>434</v>
      </c>
      <c r="D51" s="152"/>
      <c r="E51" s="151" t="s">
        <v>3022</v>
      </c>
      <c r="F51" s="152" t="s">
        <v>436</v>
      </c>
    </row>
    <row r="52" ht="75" customHeight="1" spans="1:6">
      <c r="A52" s="151" t="s">
        <v>595</v>
      </c>
      <c r="B52" s="152"/>
      <c r="C52" s="152" t="s">
        <v>434</v>
      </c>
      <c r="D52" s="152"/>
      <c r="E52" s="151" t="s">
        <v>3023</v>
      </c>
      <c r="F52" s="152" t="s">
        <v>7</v>
      </c>
    </row>
    <row r="53" ht="45" customHeight="1" spans="1:6">
      <c r="A53" s="151" t="s">
        <v>597</v>
      </c>
      <c r="B53" s="152"/>
      <c r="C53" s="152" t="s">
        <v>434</v>
      </c>
      <c r="D53" s="152"/>
      <c r="E53" s="151" t="s">
        <v>3024</v>
      </c>
      <c r="F53" s="152" t="s">
        <v>436</v>
      </c>
    </row>
    <row r="54" ht="75" customHeight="1" spans="1:6">
      <c r="A54" s="151" t="s">
        <v>599</v>
      </c>
      <c r="B54" s="152"/>
      <c r="C54" s="152" t="s">
        <v>434</v>
      </c>
      <c r="D54" s="152"/>
      <c r="E54" s="151" t="s">
        <v>3025</v>
      </c>
      <c r="F54" s="152" t="s">
        <v>7</v>
      </c>
    </row>
    <row r="55" ht="75" customHeight="1" spans="1:6">
      <c r="A55" s="151" t="s">
        <v>601</v>
      </c>
      <c r="B55" s="152"/>
      <c r="C55" s="152" t="s">
        <v>434</v>
      </c>
      <c r="D55" s="152"/>
      <c r="E55" s="151" t="s">
        <v>3026</v>
      </c>
      <c r="F55" s="152" t="s">
        <v>7</v>
      </c>
    </row>
    <row r="56" ht="45" customHeight="1" spans="1:6">
      <c r="A56" s="151" t="s">
        <v>603</v>
      </c>
      <c r="B56" s="152"/>
      <c r="C56" s="152" t="s">
        <v>434</v>
      </c>
      <c r="D56" s="152"/>
      <c r="E56" s="151" t="s">
        <v>3027</v>
      </c>
      <c r="F56" s="152" t="s">
        <v>7</v>
      </c>
    </row>
    <row r="57" ht="60" customHeight="1" spans="1:6">
      <c r="A57" s="151" t="s">
        <v>605</v>
      </c>
      <c r="B57" s="152" t="s">
        <v>434</v>
      </c>
      <c r="C57" s="152"/>
      <c r="D57" s="152"/>
      <c r="E57" s="151" t="s">
        <v>3028</v>
      </c>
      <c r="F57" s="152" t="s">
        <v>7</v>
      </c>
    </row>
    <row r="58" ht="75" customHeight="1" spans="1:6">
      <c r="A58" s="151" t="s">
        <v>607</v>
      </c>
      <c r="B58" s="152"/>
      <c r="C58" s="152" t="s">
        <v>434</v>
      </c>
      <c r="D58" s="152"/>
      <c r="E58" s="151" t="s">
        <v>3029</v>
      </c>
      <c r="F58" s="152" t="s">
        <v>7</v>
      </c>
    </row>
    <row r="59" ht="90" customHeight="1" spans="1:6">
      <c r="A59" s="151" t="s">
        <v>609</v>
      </c>
      <c r="B59" s="152" t="s">
        <v>434</v>
      </c>
      <c r="C59" s="152"/>
      <c r="D59" s="152"/>
      <c r="E59" s="151" t="s">
        <v>3030</v>
      </c>
      <c r="F59" s="152" t="s">
        <v>7</v>
      </c>
    </row>
    <row r="60" spans="1:6">
      <c r="A60" s="153" t="s">
        <v>611</v>
      </c>
      <c r="B60" s="149"/>
      <c r="C60" s="149"/>
      <c r="D60" s="149"/>
      <c r="E60" s="149"/>
      <c r="F60" s="149"/>
    </row>
    <row r="61" ht="45" customHeight="1" spans="1:6">
      <c r="A61" s="151" t="s">
        <v>612</v>
      </c>
      <c r="B61" s="152" t="s">
        <v>434</v>
      </c>
      <c r="C61" s="152"/>
      <c r="D61" s="152"/>
      <c r="E61" s="151" t="s">
        <v>3031</v>
      </c>
      <c r="F61" s="152" t="s">
        <v>436</v>
      </c>
    </row>
    <row r="62" ht="45" customHeight="1" spans="1:6">
      <c r="A62" s="151" t="s">
        <v>614</v>
      </c>
      <c r="B62" s="152" t="s">
        <v>434</v>
      </c>
      <c r="C62" s="152"/>
      <c r="D62" s="152"/>
      <c r="E62" s="151" t="s">
        <v>3032</v>
      </c>
      <c r="F62" s="152" t="s">
        <v>436</v>
      </c>
    </row>
    <row r="63" ht="60" customHeight="1" spans="1:6">
      <c r="A63" s="151" t="s">
        <v>616</v>
      </c>
      <c r="B63" s="152" t="s">
        <v>434</v>
      </c>
      <c r="C63" s="152"/>
      <c r="D63" s="152"/>
      <c r="E63" s="151" t="s">
        <v>3033</v>
      </c>
      <c r="F63" s="152" t="s">
        <v>7</v>
      </c>
    </row>
    <row r="64" ht="45" customHeight="1" spans="1:6">
      <c r="A64" s="151" t="s">
        <v>978</v>
      </c>
      <c r="B64" s="152" t="s">
        <v>434</v>
      </c>
      <c r="C64" s="152"/>
      <c r="D64" s="152"/>
      <c r="E64" s="151" t="s">
        <v>3034</v>
      </c>
      <c r="F64" s="152" t="s">
        <v>436</v>
      </c>
    </row>
    <row r="65" ht="105" customHeight="1" spans="1:6">
      <c r="A65" s="151" t="s">
        <v>620</v>
      </c>
      <c r="B65" s="152"/>
      <c r="C65" s="152" t="s">
        <v>434</v>
      </c>
      <c r="D65" s="152"/>
      <c r="E65" s="151" t="s">
        <v>3035</v>
      </c>
      <c r="F65" s="152" t="s">
        <v>7</v>
      </c>
    </row>
    <row r="66" ht="75" customHeight="1" spans="1:6">
      <c r="A66" s="151" t="s">
        <v>622</v>
      </c>
      <c r="B66" s="152" t="s">
        <v>434</v>
      </c>
      <c r="C66" s="152"/>
      <c r="D66" s="152"/>
      <c r="E66" s="151" t="s">
        <v>3036</v>
      </c>
      <c r="F66" s="152" t="s">
        <v>7</v>
      </c>
    </row>
    <row r="67" ht="25.5" spans="1:6">
      <c r="A67" s="153" t="s">
        <v>624</v>
      </c>
      <c r="B67" s="149"/>
      <c r="C67" s="149"/>
      <c r="D67" s="149"/>
      <c r="E67" s="149"/>
      <c r="F67" s="149"/>
    </row>
    <row r="68" ht="75" customHeight="1" spans="1:6">
      <c r="A68" s="151" t="s">
        <v>625</v>
      </c>
      <c r="B68" s="152" t="s">
        <v>434</v>
      </c>
      <c r="C68" s="152"/>
      <c r="D68" s="152"/>
      <c r="E68" s="151" t="s">
        <v>3037</v>
      </c>
      <c r="F68" s="152" t="s">
        <v>436</v>
      </c>
    </row>
    <row r="69" ht="90" customHeight="1" spans="1:6">
      <c r="A69" s="151" t="s">
        <v>627</v>
      </c>
      <c r="B69" s="152" t="s">
        <v>434</v>
      </c>
      <c r="C69" s="152"/>
      <c r="D69" s="152"/>
      <c r="E69" s="151" t="s">
        <v>3038</v>
      </c>
      <c r="F69" s="152" t="s">
        <v>7</v>
      </c>
    </row>
    <row r="70" ht="45" customHeight="1" spans="1:6">
      <c r="A70" s="151" t="s">
        <v>629</v>
      </c>
      <c r="B70" s="152"/>
      <c r="C70" s="152" t="s">
        <v>434</v>
      </c>
      <c r="D70" s="152"/>
      <c r="E70" s="151" t="s">
        <v>3039</v>
      </c>
      <c r="F70" s="152" t="s">
        <v>7</v>
      </c>
    </row>
    <row r="71" ht="45" customHeight="1" spans="1:6">
      <c r="A71" s="151" t="s">
        <v>631</v>
      </c>
      <c r="B71" s="152"/>
      <c r="C71" s="152" t="s">
        <v>434</v>
      </c>
      <c r="D71" s="152"/>
      <c r="E71" s="151" t="s">
        <v>3040</v>
      </c>
      <c r="F71" s="152" t="s">
        <v>7</v>
      </c>
    </row>
    <row r="72" ht="30" customHeight="1" spans="1:6">
      <c r="A72" s="151" t="s">
        <v>633</v>
      </c>
      <c r="B72" s="152"/>
      <c r="C72" s="152" t="s">
        <v>434</v>
      </c>
      <c r="D72" s="152"/>
      <c r="E72" s="151" t="s">
        <v>3041</v>
      </c>
      <c r="F72" s="152" t="s">
        <v>7</v>
      </c>
    </row>
    <row r="73" ht="45" customHeight="1" spans="1:6">
      <c r="A73" s="151" t="s">
        <v>635</v>
      </c>
      <c r="B73" s="152"/>
      <c r="C73" s="152" t="s">
        <v>434</v>
      </c>
      <c r="D73" s="152"/>
      <c r="E73" s="151" t="s">
        <v>3042</v>
      </c>
      <c r="F73" s="152" t="s">
        <v>7</v>
      </c>
    </row>
    <row r="74" ht="45" customHeight="1" spans="1:6">
      <c r="A74" s="151" t="s">
        <v>637</v>
      </c>
      <c r="B74" s="152"/>
      <c r="C74" s="152" t="s">
        <v>434</v>
      </c>
      <c r="D74" s="152"/>
      <c r="E74" s="151" t="s">
        <v>3043</v>
      </c>
      <c r="F74" s="152" t="s">
        <v>436</v>
      </c>
    </row>
    <row r="75" ht="30" customHeight="1" spans="1:6">
      <c r="A75" s="151" t="s">
        <v>639</v>
      </c>
      <c r="B75" s="152"/>
      <c r="C75" s="152" t="s">
        <v>434</v>
      </c>
      <c r="D75" s="152"/>
      <c r="E75" s="151" t="s">
        <v>3044</v>
      </c>
      <c r="F75" s="152" t="s">
        <v>7</v>
      </c>
    </row>
    <row r="76" ht="60" customHeight="1" spans="1:6">
      <c r="A76" s="151" t="s">
        <v>641</v>
      </c>
      <c r="B76" s="152" t="s">
        <v>434</v>
      </c>
      <c r="C76" s="152"/>
      <c r="D76" s="152"/>
      <c r="E76" s="151" t="s">
        <v>3045</v>
      </c>
      <c r="F76" s="152" t="s">
        <v>436</v>
      </c>
    </row>
    <row r="77" ht="30" customHeight="1" spans="1:6">
      <c r="A77" s="151" t="s">
        <v>643</v>
      </c>
      <c r="B77" s="152" t="s">
        <v>434</v>
      </c>
      <c r="C77" s="152"/>
      <c r="D77" s="152"/>
      <c r="E77" s="151" t="s">
        <v>3046</v>
      </c>
      <c r="F77" s="152" t="s">
        <v>7</v>
      </c>
    </row>
    <row r="78" ht="60" customHeight="1" spans="1:6">
      <c r="A78" s="151" t="s">
        <v>645</v>
      </c>
      <c r="B78" s="152" t="s">
        <v>434</v>
      </c>
      <c r="C78" s="152"/>
      <c r="D78" s="152"/>
      <c r="E78" s="151" t="s">
        <v>3047</v>
      </c>
      <c r="F78" s="152" t="s">
        <v>436</v>
      </c>
    </row>
    <row r="79" ht="30" customHeight="1" spans="1:6">
      <c r="A79" s="151" t="s">
        <v>647</v>
      </c>
      <c r="B79" s="152"/>
      <c r="C79" s="152"/>
      <c r="D79" s="152" t="s">
        <v>434</v>
      </c>
      <c r="E79" s="151" t="s">
        <v>3048</v>
      </c>
      <c r="F79" s="152" t="s">
        <v>7</v>
      </c>
    </row>
    <row r="80" customHeight="1" spans="1:6">
      <c r="A80" s="151" t="s">
        <v>649</v>
      </c>
      <c r="B80" s="152" t="s">
        <v>434</v>
      </c>
      <c r="C80" s="152"/>
      <c r="D80" s="152"/>
      <c r="E80" s="151" t="s">
        <v>3049</v>
      </c>
      <c r="F80" s="152" t="s">
        <v>7</v>
      </c>
    </row>
    <row r="81" ht="45" customHeight="1" spans="1:6">
      <c r="A81" s="151" t="s">
        <v>650</v>
      </c>
      <c r="B81" s="152" t="s">
        <v>434</v>
      </c>
      <c r="C81" s="152"/>
      <c r="D81" s="152"/>
      <c r="E81" s="151" t="s">
        <v>3050</v>
      </c>
      <c r="F81" s="152" t="s">
        <v>436</v>
      </c>
    </row>
    <row r="82" ht="75" customHeight="1" spans="1:6">
      <c r="A82" s="151" t="s">
        <v>652</v>
      </c>
      <c r="B82" s="152" t="s">
        <v>434</v>
      </c>
      <c r="C82" s="152"/>
      <c r="D82" s="152"/>
      <c r="E82" s="151" t="s">
        <v>3051</v>
      </c>
      <c r="F82" s="152" t="s">
        <v>436</v>
      </c>
    </row>
    <row r="83" ht="30" customHeight="1" spans="1:6">
      <c r="A83" s="151" t="s">
        <v>654</v>
      </c>
      <c r="B83" s="152" t="s">
        <v>434</v>
      </c>
      <c r="C83" s="152"/>
      <c r="D83" s="152"/>
      <c r="E83" s="151" t="s">
        <v>3052</v>
      </c>
      <c r="F83" s="152" t="s">
        <v>7</v>
      </c>
    </row>
    <row r="84" ht="30" customHeight="1" spans="1:6">
      <c r="A84" s="151" t="s">
        <v>656</v>
      </c>
      <c r="B84" s="152"/>
      <c r="C84" s="152" t="s">
        <v>434</v>
      </c>
      <c r="D84" s="152"/>
      <c r="E84" s="151" t="s">
        <v>3053</v>
      </c>
      <c r="F84" s="152" t="s">
        <v>7</v>
      </c>
    </row>
    <row r="85" ht="45" customHeight="1" spans="1:6">
      <c r="A85" s="151" t="s">
        <v>658</v>
      </c>
      <c r="B85" s="152" t="s">
        <v>434</v>
      </c>
      <c r="C85" s="152"/>
      <c r="D85" s="152"/>
      <c r="E85" s="151" t="s">
        <v>3054</v>
      </c>
      <c r="F85" s="152" t="s">
        <v>7</v>
      </c>
    </row>
    <row r="86" ht="45" customHeight="1" spans="1:6">
      <c r="A86" s="151" t="s">
        <v>660</v>
      </c>
      <c r="B86" s="152"/>
      <c r="C86" s="152" t="s">
        <v>434</v>
      </c>
      <c r="D86" s="152"/>
      <c r="E86" s="151" t="s">
        <v>3055</v>
      </c>
      <c r="F86" s="152" t="s">
        <v>436</v>
      </c>
    </row>
    <row r="87" ht="60" customHeight="1" spans="1:6">
      <c r="A87" s="151" t="s">
        <v>662</v>
      </c>
      <c r="B87" s="152"/>
      <c r="C87" s="152" t="s">
        <v>434</v>
      </c>
      <c r="D87" s="152"/>
      <c r="E87" s="151" t="s">
        <v>3056</v>
      </c>
      <c r="F87" s="152" t="s">
        <v>7</v>
      </c>
    </row>
    <row r="88" ht="30" customHeight="1" spans="1:6">
      <c r="A88" s="151" t="s">
        <v>660</v>
      </c>
      <c r="B88" s="152"/>
      <c r="C88" s="152"/>
      <c r="D88" s="152" t="s">
        <v>434</v>
      </c>
      <c r="E88" s="151" t="s">
        <v>3057</v>
      </c>
      <c r="F88" s="152" t="s">
        <v>436</v>
      </c>
    </row>
    <row r="89" ht="30" customHeight="1" spans="1:6">
      <c r="A89" s="151" t="s">
        <v>665</v>
      </c>
      <c r="B89" s="152"/>
      <c r="C89" s="152" t="s">
        <v>434</v>
      </c>
      <c r="D89" s="152"/>
      <c r="E89" s="151" t="s">
        <v>3058</v>
      </c>
      <c r="F89" s="152" t="s">
        <v>7</v>
      </c>
    </row>
    <row r="90" ht="30" customHeight="1" spans="1:6">
      <c r="A90" s="151" t="s">
        <v>660</v>
      </c>
      <c r="B90" s="152"/>
      <c r="C90" s="152"/>
      <c r="D90" s="152" t="s">
        <v>434</v>
      </c>
      <c r="E90" s="151" t="s">
        <v>3059</v>
      </c>
      <c r="F90" s="152" t="s">
        <v>436</v>
      </c>
    </row>
    <row r="91" spans="1:6">
      <c r="A91" s="149" t="s">
        <v>519</v>
      </c>
      <c r="B91" s="150">
        <f>COUNTIF(B14:B90,"x")</f>
        <v>28</v>
      </c>
      <c r="C91" s="150">
        <f>COUNTIF(C14:C90,"x")</f>
        <v>34</v>
      </c>
      <c r="D91" s="150">
        <f>COUNTIF(D14:D90,"x")</f>
        <v>9</v>
      </c>
    </row>
    <row r="93" spans="1:6">
      <c r="A93" s="149" t="s">
        <v>1004</v>
      </c>
      <c r="B93" s="154"/>
      <c r="C93" s="154"/>
      <c r="D93" s="154"/>
      <c r="E93" s="154"/>
      <c r="F93" s="155"/>
    </row>
    <row r="94" ht="75" customHeight="1" spans="1:6">
      <c r="A94" s="151" t="s">
        <v>3060</v>
      </c>
      <c r="B94" s="156"/>
      <c r="C94" s="156"/>
      <c r="D94" s="156"/>
      <c r="E94" s="156"/>
      <c r="F94" s="157"/>
    </row>
    <row r="95" spans="1:6">
      <c r="A95" s="149" t="s">
        <v>522</v>
      </c>
      <c r="B95" s="154"/>
      <c r="C95" s="154"/>
      <c r="D95" s="154"/>
      <c r="E95" s="154"/>
      <c r="F95" s="155"/>
    </row>
    <row r="96" ht="120" customHeight="1" spans="1:6">
      <c r="A96" s="151" t="s">
        <v>3061</v>
      </c>
      <c r="B96" s="156"/>
      <c r="C96" s="156"/>
      <c r="D96" s="156"/>
      <c r="E96" s="156"/>
      <c r="F96" s="157"/>
    </row>
    <row r="97" spans="1:6">
      <c r="A97" s="158" t="s">
        <v>524</v>
      </c>
      <c r="B97" s="156"/>
      <c r="C97" s="156"/>
      <c r="D97" s="156"/>
      <c r="E97" s="156"/>
      <c r="F97" s="157"/>
    </row>
    <row r="98" spans="1:6">
      <c r="A98" s="158" t="s">
        <v>525</v>
      </c>
      <c r="B98" s="156"/>
      <c r="C98" s="156"/>
      <c r="D98" s="156"/>
      <c r="E98" s="156"/>
      <c r="F98" s="157"/>
    </row>
    <row r="99" spans="1:6">
      <c r="A99" s="158" t="s">
        <v>526</v>
      </c>
      <c r="B99" s="156"/>
      <c r="C99" s="156"/>
      <c r="D99" s="156"/>
      <c r="E99" s="156"/>
      <c r="F99" s="157"/>
    </row>
  </sheetData>
  <mergeCells count="17">
    <mergeCell ref="A1:F1"/>
    <mergeCell ref="B3:F3"/>
    <mergeCell ref="B4:F4"/>
    <mergeCell ref="B5:F5"/>
    <mergeCell ref="B6:F6"/>
    <mergeCell ref="B7:F7"/>
    <mergeCell ref="B8:F8"/>
    <mergeCell ref="B9:F9"/>
    <mergeCell ref="B10:F10"/>
    <mergeCell ref="B11:F11"/>
    <mergeCell ref="A93:F93"/>
    <mergeCell ref="A94:F94"/>
    <mergeCell ref="A95:F95"/>
    <mergeCell ref="A96:F96"/>
    <mergeCell ref="A97:F97"/>
    <mergeCell ref="A98:F98"/>
    <mergeCell ref="A99:F99"/>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0"/>
  <sheetViews>
    <sheetView workbookViewId="0">
      <pane xSplit="1" ySplit="12" topLeftCell="B13" activePane="bottomRight" state="frozen"/>
      <selection/>
      <selection pane="topRight"/>
      <selection pane="bottomLeft"/>
      <selection pane="bottomRight" activeCell="A1" sqref="A1:F1"/>
    </sheetView>
  </sheetViews>
  <sheetFormatPr defaultColWidth="9" defaultRowHeight="15" outlineLevelCol="5"/>
  <cols>
    <col min="1" max="1" width="64.2857142857143" customWidth="1"/>
    <col min="2" max="2" width="7.42857142857143" customWidth="1"/>
    <col min="3" max="3" width="6.71428571428571" customWidth="1"/>
    <col min="4" max="4" width="4" customWidth="1"/>
    <col min="5" max="5" width="53.8571428571429" customWidth="1"/>
    <col min="6" max="6" width="9.14285714285714" customWidth="1"/>
  </cols>
  <sheetData>
    <row r="1" ht="24" customHeight="1" spans="1:6">
      <c r="A1" s="128" t="s">
        <v>1007</v>
      </c>
      <c r="B1" s="129"/>
      <c r="C1" s="129"/>
      <c r="D1" s="129"/>
      <c r="E1" s="129"/>
      <c r="F1" s="130"/>
    </row>
    <row r="3" customHeight="1" spans="1:6">
      <c r="A3" s="131" t="s">
        <v>1008</v>
      </c>
      <c r="B3" s="132" t="s">
        <v>227</v>
      </c>
      <c r="C3" s="133"/>
      <c r="D3" s="133"/>
      <c r="E3" s="133"/>
      <c r="F3" s="134"/>
    </row>
    <row r="4" ht="45" customHeight="1" spans="1:6">
      <c r="A4" s="131" t="s">
        <v>1009</v>
      </c>
      <c r="B4" s="135" t="s">
        <v>3062</v>
      </c>
      <c r="C4" s="133"/>
      <c r="D4" s="133"/>
      <c r="E4" s="133"/>
      <c r="F4" s="134"/>
    </row>
    <row r="5" customHeight="1" spans="1:6">
      <c r="A5" s="131" t="s">
        <v>1011</v>
      </c>
      <c r="B5" s="132" t="s">
        <v>231</v>
      </c>
      <c r="C5" s="133"/>
      <c r="D5" s="133"/>
      <c r="E5" s="133"/>
      <c r="F5" s="134"/>
    </row>
    <row r="6" customHeight="1" spans="1:6">
      <c r="A6" s="131" t="s">
        <v>1012</v>
      </c>
      <c r="B6" s="132" t="s">
        <v>60</v>
      </c>
      <c r="C6" s="133"/>
      <c r="D6" s="133"/>
      <c r="E6" s="133"/>
      <c r="F6" s="134"/>
    </row>
    <row r="7" customHeight="1" spans="1:6">
      <c r="A7" s="131" t="s">
        <v>1013</v>
      </c>
      <c r="B7" s="132" t="s">
        <v>7</v>
      </c>
      <c r="C7" s="133"/>
      <c r="D7" s="133"/>
      <c r="E7" s="133"/>
      <c r="F7" s="134"/>
    </row>
    <row r="8" customHeight="1" spans="1:6">
      <c r="A8" s="131" t="s">
        <v>1014</v>
      </c>
      <c r="B8" s="132" t="s">
        <v>233</v>
      </c>
      <c r="C8" s="133"/>
      <c r="D8" s="133"/>
      <c r="E8" s="133"/>
      <c r="F8" s="134"/>
    </row>
    <row r="9" ht="105" customHeight="1" spans="1:6">
      <c r="A9" s="131" t="s">
        <v>1015</v>
      </c>
      <c r="B9" s="135" t="s">
        <v>3063</v>
      </c>
      <c r="C9" s="133"/>
      <c r="D9" s="133"/>
      <c r="E9" s="133"/>
      <c r="F9" s="134"/>
    </row>
    <row r="10" customHeight="1" spans="1:6">
      <c r="A10" s="131" t="s">
        <v>1017</v>
      </c>
      <c r="B10" s="132" t="s">
        <v>103</v>
      </c>
      <c r="C10" s="133"/>
      <c r="D10" s="133"/>
      <c r="E10" s="133"/>
      <c r="F10" s="134"/>
    </row>
    <row r="12" spans="1:6">
      <c r="A12" s="136" t="s">
        <v>426</v>
      </c>
      <c r="B12" s="137" t="s">
        <v>427</v>
      </c>
      <c r="C12" s="137" t="s">
        <v>428</v>
      </c>
      <c r="D12" s="137" t="s">
        <v>429</v>
      </c>
      <c r="E12" s="137" t="s">
        <v>430</v>
      </c>
    </row>
    <row r="13" spans="1:6">
      <c r="A13" s="136" t="s">
        <v>1018</v>
      </c>
      <c r="B13" s="136"/>
      <c r="C13" s="136"/>
      <c r="D13" s="136"/>
      <c r="E13" s="136"/>
    </row>
    <row r="14" ht="90" customHeight="1" spans="1:6">
      <c r="A14" s="138" t="s">
        <v>1019</v>
      </c>
      <c r="B14" s="139"/>
      <c r="C14" s="139" t="s">
        <v>434</v>
      </c>
      <c r="D14" s="139"/>
      <c r="E14" s="138" t="s">
        <v>3064</v>
      </c>
    </row>
    <row r="15" spans="1:6">
      <c r="A15" s="136" t="s">
        <v>1021</v>
      </c>
      <c r="B15" s="136"/>
      <c r="C15" s="136"/>
      <c r="D15" s="136"/>
      <c r="E15" s="136"/>
    </row>
    <row r="16" ht="120" customHeight="1" spans="1:6">
      <c r="A16" s="138" t="s">
        <v>1022</v>
      </c>
      <c r="B16" s="139" t="s">
        <v>434</v>
      </c>
      <c r="C16" s="139"/>
      <c r="D16" s="139"/>
      <c r="E16" s="138" t="s">
        <v>3065</v>
      </c>
    </row>
    <row r="17" ht="90" customHeight="1" spans="1:5">
      <c r="A17" s="138" t="s">
        <v>1024</v>
      </c>
      <c r="B17" s="139" t="s">
        <v>434</v>
      </c>
      <c r="C17" s="139"/>
      <c r="D17" s="139"/>
      <c r="E17" s="138" t="s">
        <v>3066</v>
      </c>
    </row>
    <row r="18" ht="60" customHeight="1" spans="1:5">
      <c r="A18" s="138" t="s">
        <v>1026</v>
      </c>
      <c r="B18" s="139" t="s">
        <v>434</v>
      </c>
      <c r="C18" s="139"/>
      <c r="D18" s="139"/>
      <c r="E18" s="138" t="s">
        <v>3067</v>
      </c>
    </row>
    <row r="19" ht="60" customHeight="1" spans="1:5">
      <c r="A19" s="138" t="s">
        <v>1028</v>
      </c>
      <c r="B19" s="139" t="s">
        <v>434</v>
      </c>
      <c r="C19" s="139"/>
      <c r="D19" s="139"/>
      <c r="E19" s="138" t="s">
        <v>3068</v>
      </c>
    </row>
    <row r="20" ht="30" customHeight="1" spans="1:5">
      <c r="A20" s="138" t="s">
        <v>1030</v>
      </c>
      <c r="B20" s="139"/>
      <c r="C20" s="139" t="s">
        <v>434</v>
      </c>
      <c r="D20" s="139"/>
      <c r="E20" s="138" t="s">
        <v>3069</v>
      </c>
    </row>
    <row r="21" ht="105" customHeight="1" spans="1:5">
      <c r="A21" s="138" t="s">
        <v>1032</v>
      </c>
      <c r="B21" s="139"/>
      <c r="C21" s="139" t="s">
        <v>434</v>
      </c>
      <c r="D21" s="139"/>
      <c r="E21" s="138" t="s">
        <v>3070</v>
      </c>
    </row>
    <row r="22" ht="180" customHeight="1" spans="1:5">
      <c r="A22" s="138" t="s">
        <v>1034</v>
      </c>
      <c r="B22" s="139" t="s">
        <v>434</v>
      </c>
      <c r="C22" s="139"/>
      <c r="D22" s="139"/>
      <c r="E22" s="138" t="s">
        <v>3071</v>
      </c>
    </row>
    <row r="23" ht="60" customHeight="1" spans="1:5">
      <c r="A23" s="138" t="s">
        <v>1036</v>
      </c>
      <c r="B23" s="139"/>
      <c r="C23" s="139" t="s">
        <v>434</v>
      </c>
      <c r="D23" s="139"/>
      <c r="E23" s="138" t="s">
        <v>3072</v>
      </c>
    </row>
    <row r="24" ht="105" customHeight="1" spans="1:5">
      <c r="A24" s="138" t="s">
        <v>1038</v>
      </c>
      <c r="B24" s="139" t="s">
        <v>434</v>
      </c>
      <c r="C24" s="139"/>
      <c r="D24" s="139"/>
      <c r="E24" s="138" t="s">
        <v>3073</v>
      </c>
    </row>
    <row r="25" ht="30" customHeight="1" spans="1:5">
      <c r="A25" s="138" t="s">
        <v>1040</v>
      </c>
      <c r="B25" s="139"/>
      <c r="C25" s="139"/>
      <c r="D25" s="139" t="s">
        <v>434</v>
      </c>
      <c r="E25" s="138" t="s">
        <v>3074</v>
      </c>
    </row>
    <row r="26" ht="150" customHeight="1" spans="1:5">
      <c r="A26" s="138" t="s">
        <v>1042</v>
      </c>
      <c r="B26" s="139"/>
      <c r="C26" s="139" t="s">
        <v>434</v>
      </c>
      <c r="D26" s="139"/>
      <c r="E26" s="138" t="s">
        <v>3075</v>
      </c>
    </row>
    <row r="27" ht="60" customHeight="1" spans="1:5">
      <c r="A27" s="138" t="s">
        <v>1044</v>
      </c>
      <c r="B27" s="139" t="s">
        <v>434</v>
      </c>
      <c r="C27" s="139"/>
      <c r="D27" s="139"/>
      <c r="E27" s="138" t="s">
        <v>3076</v>
      </c>
    </row>
    <row r="28" ht="105" customHeight="1" spans="1:5">
      <c r="A28" s="138" t="s">
        <v>1046</v>
      </c>
      <c r="B28" s="139" t="s">
        <v>434</v>
      </c>
      <c r="C28" s="139"/>
      <c r="D28" s="139"/>
      <c r="E28" s="138" t="s">
        <v>3077</v>
      </c>
    </row>
    <row r="29" ht="75" customHeight="1" spans="1:5">
      <c r="A29" s="138" t="s">
        <v>1048</v>
      </c>
      <c r="B29" s="139" t="s">
        <v>434</v>
      </c>
      <c r="C29" s="139"/>
      <c r="D29" s="139"/>
      <c r="E29" s="138" t="s">
        <v>3078</v>
      </c>
    </row>
    <row r="30" spans="1:5">
      <c r="A30" s="136" t="s">
        <v>1050</v>
      </c>
      <c r="B30" s="136"/>
      <c r="C30" s="136"/>
      <c r="D30" s="136"/>
      <c r="E30" s="136"/>
    </row>
    <row r="31" ht="90" customHeight="1" spans="1:5">
      <c r="A31" s="138" t="s">
        <v>1051</v>
      </c>
      <c r="B31" s="139"/>
      <c r="C31" s="139" t="s">
        <v>434</v>
      </c>
      <c r="D31" s="139"/>
      <c r="E31" s="138" t="s">
        <v>3079</v>
      </c>
    </row>
    <row r="32" ht="180" customHeight="1" spans="1:5">
      <c r="A32" s="138" t="s">
        <v>1053</v>
      </c>
      <c r="B32" s="139"/>
      <c r="C32" s="139" t="s">
        <v>434</v>
      </c>
      <c r="D32" s="139"/>
      <c r="E32" s="138" t="s">
        <v>3080</v>
      </c>
    </row>
    <row r="33" ht="120" customHeight="1" spans="1:5">
      <c r="A33" s="138" t="s">
        <v>1055</v>
      </c>
      <c r="B33" s="139" t="s">
        <v>434</v>
      </c>
      <c r="C33" s="139"/>
      <c r="D33" s="139"/>
      <c r="E33" s="138" t="s">
        <v>3081</v>
      </c>
    </row>
    <row r="34" spans="1:5">
      <c r="A34" s="136" t="s">
        <v>1057</v>
      </c>
      <c r="B34" s="136"/>
      <c r="C34" s="136"/>
      <c r="D34" s="136"/>
      <c r="E34" s="136"/>
    </row>
    <row r="35" ht="135" customHeight="1" spans="1:5">
      <c r="A35" s="138" t="s">
        <v>1058</v>
      </c>
      <c r="B35" s="139" t="s">
        <v>434</v>
      </c>
      <c r="C35" s="139"/>
      <c r="D35" s="139"/>
      <c r="E35" s="138" t="s">
        <v>3082</v>
      </c>
    </row>
    <row r="36" ht="90" customHeight="1" spans="1:5">
      <c r="A36" s="138" t="s">
        <v>1060</v>
      </c>
      <c r="B36" s="139" t="s">
        <v>434</v>
      </c>
      <c r="C36" s="139"/>
      <c r="D36" s="139"/>
      <c r="E36" s="138" t="s">
        <v>3083</v>
      </c>
    </row>
    <row r="37" ht="105" customHeight="1" spans="1:5">
      <c r="A37" s="138" t="s">
        <v>1062</v>
      </c>
      <c r="B37" s="139"/>
      <c r="C37" s="139" t="s">
        <v>434</v>
      </c>
      <c r="D37" s="139"/>
      <c r="E37" s="138" t="s">
        <v>3084</v>
      </c>
    </row>
    <row r="38" spans="1:5">
      <c r="A38" s="136" t="s">
        <v>1064</v>
      </c>
      <c r="B38" s="136"/>
      <c r="C38" s="136"/>
      <c r="D38" s="136"/>
      <c r="E38" s="136"/>
    </row>
    <row r="39" ht="90" customHeight="1" spans="1:5">
      <c r="A39" s="138" t="s">
        <v>1065</v>
      </c>
      <c r="B39" s="139" t="s">
        <v>434</v>
      </c>
      <c r="C39" s="139"/>
      <c r="D39" s="139"/>
      <c r="E39" s="138" t="s">
        <v>3085</v>
      </c>
    </row>
    <row r="40" ht="90" customHeight="1" spans="1:5">
      <c r="A40" s="138" t="s">
        <v>1067</v>
      </c>
      <c r="B40" s="139" t="s">
        <v>434</v>
      </c>
      <c r="C40" s="139"/>
      <c r="D40" s="139"/>
      <c r="E40" s="138" t="s">
        <v>3086</v>
      </c>
    </row>
    <row r="41" ht="90" customHeight="1" spans="1:5">
      <c r="A41" s="138" t="s">
        <v>1069</v>
      </c>
      <c r="B41" s="139" t="s">
        <v>434</v>
      </c>
      <c r="C41" s="139"/>
      <c r="D41" s="139"/>
      <c r="E41" s="138" t="s">
        <v>3087</v>
      </c>
    </row>
    <row r="42" ht="150" customHeight="1" spans="1:5">
      <c r="A42" s="138" t="s">
        <v>1071</v>
      </c>
      <c r="B42" s="139" t="s">
        <v>434</v>
      </c>
      <c r="C42" s="139"/>
      <c r="D42" s="139"/>
      <c r="E42" s="138" t="s">
        <v>3088</v>
      </c>
    </row>
    <row r="43" spans="1:5">
      <c r="A43" s="136" t="s">
        <v>1073</v>
      </c>
      <c r="B43" s="136"/>
      <c r="C43" s="136"/>
      <c r="D43" s="136"/>
      <c r="E43" s="136"/>
    </row>
    <row r="44" ht="90" customHeight="1" spans="1:5">
      <c r="A44" s="138" t="s">
        <v>1074</v>
      </c>
      <c r="B44" s="139" t="s">
        <v>434</v>
      </c>
      <c r="C44" s="139"/>
      <c r="D44" s="139"/>
      <c r="E44" s="138" t="s">
        <v>3089</v>
      </c>
    </row>
    <row r="45" ht="30" customHeight="1" spans="1:5">
      <c r="A45" s="138" t="s">
        <v>1076</v>
      </c>
      <c r="B45" s="139"/>
      <c r="C45" s="139" t="s">
        <v>434</v>
      </c>
      <c r="D45" s="139"/>
      <c r="E45" s="138" t="s">
        <v>3090</v>
      </c>
    </row>
    <row r="46" ht="90" customHeight="1" spans="1:5">
      <c r="A46" s="138" t="s">
        <v>1078</v>
      </c>
      <c r="B46" s="139" t="s">
        <v>434</v>
      </c>
      <c r="C46" s="139"/>
      <c r="D46" s="139"/>
      <c r="E46" s="138" t="s">
        <v>3091</v>
      </c>
    </row>
    <row r="47" spans="1:5">
      <c r="A47" s="136" t="s">
        <v>1080</v>
      </c>
      <c r="B47" s="136"/>
      <c r="C47" s="136"/>
      <c r="D47" s="136"/>
      <c r="E47" s="136"/>
    </row>
    <row r="48" ht="75" customHeight="1" spans="1:5">
      <c r="A48" s="138" t="s">
        <v>1081</v>
      </c>
      <c r="B48" s="139"/>
      <c r="C48" s="139" t="s">
        <v>434</v>
      </c>
      <c r="D48" s="139"/>
      <c r="E48" s="138" t="s">
        <v>3092</v>
      </c>
    </row>
    <row r="49" ht="135" customHeight="1" spans="1:6">
      <c r="A49" s="138" t="s">
        <v>1083</v>
      </c>
      <c r="B49" s="139" t="s">
        <v>434</v>
      </c>
      <c r="C49" s="139"/>
      <c r="D49" s="139"/>
      <c r="E49" s="138" t="s">
        <v>3093</v>
      </c>
    </row>
    <row r="50" ht="90" customHeight="1" spans="1:6">
      <c r="A50" s="138" t="s">
        <v>1085</v>
      </c>
      <c r="B50" s="139"/>
      <c r="C50" s="139" t="s">
        <v>434</v>
      </c>
      <c r="D50" s="139"/>
      <c r="E50" s="138" t="s">
        <v>3094</v>
      </c>
    </row>
    <row r="51" spans="1:6">
      <c r="A51" s="136" t="s">
        <v>1087</v>
      </c>
      <c r="B51" s="136"/>
      <c r="C51" s="136"/>
      <c r="D51" s="136"/>
      <c r="E51" s="136"/>
    </row>
    <row r="52" ht="105" customHeight="1" spans="1:6">
      <c r="A52" s="138" t="s">
        <v>1088</v>
      </c>
      <c r="B52" s="139"/>
      <c r="C52" s="139" t="s">
        <v>434</v>
      </c>
      <c r="D52" s="139"/>
      <c r="E52" s="138" t="s">
        <v>3095</v>
      </c>
    </row>
    <row r="53" ht="60" customHeight="1" spans="1:6">
      <c r="A53" s="138" t="s">
        <v>1090</v>
      </c>
      <c r="B53" s="139" t="s">
        <v>434</v>
      </c>
      <c r="C53" s="139"/>
      <c r="D53" s="139"/>
      <c r="E53" s="138" t="s">
        <v>3096</v>
      </c>
    </row>
    <row r="54" ht="75" customHeight="1" spans="1:6">
      <c r="A54" s="138" t="s">
        <v>1092</v>
      </c>
      <c r="B54" s="139" t="s">
        <v>434</v>
      </c>
      <c r="C54" s="139"/>
      <c r="D54" s="139"/>
      <c r="E54" s="138" t="s">
        <v>3097</v>
      </c>
    </row>
    <row r="55" ht="90" customHeight="1" spans="1:6">
      <c r="A55" s="138" t="s">
        <v>1094</v>
      </c>
      <c r="B55" s="139" t="s">
        <v>434</v>
      </c>
      <c r="C55" s="139"/>
      <c r="D55" s="139"/>
      <c r="E55" s="138" t="s">
        <v>3098</v>
      </c>
    </row>
    <row r="56" spans="1:6">
      <c r="A56" s="136" t="s">
        <v>3099</v>
      </c>
      <c r="B56" s="136"/>
      <c r="C56" s="136"/>
      <c r="D56" s="136"/>
      <c r="E56" s="136"/>
    </row>
    <row r="57" ht="90" customHeight="1" spans="1:6">
      <c r="A57" s="138" t="s">
        <v>3100</v>
      </c>
      <c r="B57" s="139"/>
      <c r="C57" s="139" t="s">
        <v>434</v>
      </c>
      <c r="D57" s="139"/>
      <c r="E57" s="138" t="s">
        <v>3101</v>
      </c>
    </row>
    <row r="58" ht="120" customHeight="1" spans="1:6">
      <c r="A58" s="138" t="s">
        <v>3102</v>
      </c>
      <c r="B58" s="139"/>
      <c r="C58" s="139" t="s">
        <v>434</v>
      </c>
      <c r="D58" s="139"/>
      <c r="E58" s="138" t="s">
        <v>3103</v>
      </c>
    </row>
    <row r="59" ht="120" customHeight="1" spans="1:6">
      <c r="A59" s="138" t="s">
        <v>3104</v>
      </c>
      <c r="B59" s="139"/>
      <c r="C59" s="139" t="s">
        <v>434</v>
      </c>
      <c r="D59" s="139"/>
      <c r="E59" s="138" t="s">
        <v>3105</v>
      </c>
    </row>
    <row r="60" ht="30" customHeight="1" spans="1:6">
      <c r="A60" s="138" t="s">
        <v>3106</v>
      </c>
      <c r="B60" s="139"/>
      <c r="C60" s="139" t="s">
        <v>434</v>
      </c>
      <c r="D60" s="139"/>
      <c r="E60" s="138" t="s">
        <v>3107</v>
      </c>
    </row>
    <row r="61" ht="105" customHeight="1" spans="1:6">
      <c r="A61" s="138" t="s">
        <v>3108</v>
      </c>
      <c r="B61" s="139" t="s">
        <v>434</v>
      </c>
      <c r="C61" s="139"/>
      <c r="D61" s="139"/>
      <c r="E61" s="138" t="s">
        <v>3109</v>
      </c>
    </row>
    <row r="62" spans="1:6">
      <c r="A62" s="136" t="s">
        <v>519</v>
      </c>
      <c r="B62" s="137">
        <f>COUNTIF(B13:B61,"x")</f>
        <v>23</v>
      </c>
      <c r="C62" s="137">
        <f>COUNTIF(C13:C61,"x")</f>
        <v>16</v>
      </c>
      <c r="D62" s="137">
        <f>COUNTIF(D13:D61,"x")</f>
        <v>1</v>
      </c>
    </row>
    <row r="64" spans="1:6">
      <c r="A64" s="136" t="s">
        <v>1004</v>
      </c>
      <c r="B64" s="140"/>
      <c r="C64" s="140"/>
      <c r="D64" s="140"/>
      <c r="E64" s="140"/>
      <c r="F64" s="141"/>
    </row>
    <row r="65" ht="120" customHeight="1" spans="1:6">
      <c r="A65" s="138" t="s">
        <v>3110</v>
      </c>
      <c r="B65" s="140"/>
      <c r="C65" s="140"/>
      <c r="D65" s="140"/>
      <c r="E65" s="140"/>
      <c r="F65" s="142"/>
    </row>
    <row r="66" spans="1:6">
      <c r="A66" s="136" t="s">
        <v>522</v>
      </c>
      <c r="B66" s="140"/>
      <c r="C66" s="140"/>
      <c r="D66" s="140"/>
      <c r="E66" s="140"/>
      <c r="F66" s="141"/>
    </row>
    <row r="67" ht="180" customHeight="1" spans="1:6">
      <c r="A67" s="138" t="s">
        <v>3111</v>
      </c>
      <c r="B67" s="140"/>
      <c r="C67" s="140"/>
      <c r="D67" s="140"/>
      <c r="E67" s="140"/>
      <c r="F67" s="142"/>
    </row>
    <row r="68" spans="1:6">
      <c r="A68" s="143" t="s">
        <v>524</v>
      </c>
      <c r="B68" s="140"/>
      <c r="C68" s="140"/>
      <c r="D68" s="140"/>
      <c r="E68" s="140"/>
      <c r="F68" s="142"/>
    </row>
    <row r="69" spans="1:6">
      <c r="A69" s="143" t="s">
        <v>525</v>
      </c>
      <c r="B69" s="140"/>
      <c r="C69" s="140"/>
      <c r="D69" s="140"/>
      <c r="E69" s="140"/>
      <c r="F69" s="142"/>
    </row>
    <row r="70" spans="1:6">
      <c r="A70" s="143" t="s">
        <v>526</v>
      </c>
      <c r="B70" s="140"/>
      <c r="C70" s="140"/>
      <c r="D70" s="140"/>
      <c r="E70" s="140"/>
      <c r="F70" s="142"/>
    </row>
  </sheetData>
  <mergeCells count="16">
    <mergeCell ref="A1:F1"/>
    <mergeCell ref="B3:F3"/>
    <mergeCell ref="B4:F4"/>
    <mergeCell ref="B5:F5"/>
    <mergeCell ref="B6:F6"/>
    <mergeCell ref="B7:F7"/>
    <mergeCell ref="B8:F8"/>
    <mergeCell ref="B9:F9"/>
    <mergeCell ref="B10:F10"/>
    <mergeCell ref="A64:F64"/>
    <mergeCell ref="A65:F65"/>
    <mergeCell ref="A66:F66"/>
    <mergeCell ref="A67:F67"/>
    <mergeCell ref="A68:F68"/>
    <mergeCell ref="A69:F69"/>
    <mergeCell ref="A70:F70"/>
  </mergeCell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8"/>
  <sheetViews>
    <sheetView workbookViewId="0">
      <selection activeCell="A1" sqref="A1:C1"/>
    </sheetView>
  </sheetViews>
  <sheetFormatPr defaultColWidth="9" defaultRowHeight="15"/>
  <cols>
    <col min="1" max="1" width="18" customWidth="1"/>
    <col min="2" max="2" width="34" customWidth="1"/>
    <col min="3" max="3" width="13" customWidth="1"/>
    <col min="4" max="4" width="26" customWidth="1"/>
    <col min="5" max="6" width="40" customWidth="1"/>
    <col min="7" max="7" width="10" customWidth="1"/>
    <col min="8" max="8" width="9" customWidth="1"/>
    <col min="9" max="9" width="36" customWidth="1"/>
  </cols>
  <sheetData>
    <row r="1" spans="1:14">
      <c r="A1" s="107" t="s">
        <v>1108</v>
      </c>
      <c r="B1" s="16"/>
      <c r="C1" s="17"/>
    </row>
    <row r="2" ht="15.75" spans="1:14">
      <c r="A2" s="108" t="s">
        <v>1109</v>
      </c>
      <c r="B2" s="108" t="s">
        <v>13</v>
      </c>
      <c r="C2" s="108" t="s">
        <v>1110</v>
      </c>
    </row>
    <row r="3" ht="15.75" spans="1:14">
      <c r="A3" s="127" t="s">
        <v>3112</v>
      </c>
      <c r="B3" s="16"/>
      <c r="C3" s="17"/>
    </row>
    <row r="4" ht="105" customHeight="1" spans="1:14">
      <c r="A4" s="110" t="s">
        <v>1112</v>
      </c>
      <c r="B4" s="110" t="s">
        <v>3113</v>
      </c>
      <c r="C4" s="111" t="s">
        <v>3114</v>
      </c>
    </row>
    <row r="5" ht="90" customHeight="1" spans="1:14">
      <c r="A5" s="110" t="s">
        <v>1115</v>
      </c>
      <c r="B5" s="110" t="s">
        <v>3115</v>
      </c>
      <c r="C5" s="111" t="s">
        <v>3116</v>
      </c>
    </row>
    <row r="6" ht="90" customHeight="1" spans="1:14">
      <c r="A6" s="110" t="s">
        <v>1118</v>
      </c>
      <c r="B6" s="110" t="s">
        <v>3117</v>
      </c>
      <c r="C6" s="111" t="s">
        <v>3118</v>
      </c>
    </row>
    <row r="7" ht="90" customHeight="1" spans="1:14">
      <c r="A7" s="110" t="s">
        <v>1121</v>
      </c>
      <c r="B7" s="110" t="s">
        <v>3119</v>
      </c>
      <c r="C7" s="111" t="s">
        <v>3120</v>
      </c>
    </row>
    <row r="10" ht="15.75" spans="1:14">
      <c r="A10" s="112" t="s">
        <v>1124</v>
      </c>
      <c r="B10" s="16"/>
      <c r="C10" s="16"/>
      <c r="D10" s="16"/>
      <c r="E10" s="16"/>
      <c r="F10" s="16"/>
      <c r="G10" s="16"/>
      <c r="H10" s="16"/>
      <c r="I10" s="16"/>
      <c r="J10" s="16"/>
      <c r="K10" s="16"/>
      <c r="L10" s="16"/>
      <c r="M10" s="16"/>
      <c r="N10" s="17"/>
    </row>
    <row r="11" ht="45" customHeight="1" spans="1:14">
      <c r="A11" s="113" t="s">
        <v>1125</v>
      </c>
      <c r="B11" s="113" t="s">
        <v>1126</v>
      </c>
      <c r="C11" s="113" t="s">
        <v>1127</v>
      </c>
      <c r="D11" s="113" t="s">
        <v>1128</v>
      </c>
      <c r="E11" s="113" t="s">
        <v>1129</v>
      </c>
      <c r="F11" s="113" t="s">
        <v>1130</v>
      </c>
      <c r="G11" s="113" t="s">
        <v>1131</v>
      </c>
      <c r="H11" s="113" t="s">
        <v>1132</v>
      </c>
      <c r="I11" s="113" t="s">
        <v>1133</v>
      </c>
      <c r="J11" s="113" t="s">
        <v>1134</v>
      </c>
      <c r="K11" s="113" t="s">
        <v>1135</v>
      </c>
      <c r="L11" s="113" t="s">
        <v>1136</v>
      </c>
      <c r="M11" s="113" t="s">
        <v>1137</v>
      </c>
      <c r="N11" s="113" t="s">
        <v>1138</v>
      </c>
    </row>
    <row r="12" customHeight="1" spans="1:14">
      <c r="A12" s="114" t="s">
        <v>1112</v>
      </c>
      <c r="B12" s="114" t="s">
        <v>3113</v>
      </c>
      <c r="C12" s="115">
        <f>COUNTIF($A$60:$A$88,"UI_PH3_FR01_*")</f>
        <v>7</v>
      </c>
      <c r="D12" s="115">
        <f>COUNTIFS($A$60:$A$88,"UI_PH3_FR01_*",$G$60:$G$88,"Pending")</f>
        <v>0</v>
      </c>
      <c r="E12" s="115">
        <f>COUNTIFS($A$60:$A$88,"UI_PH3_FR01_*",$G$60:$G$88,"Pass")</f>
        <v>7</v>
      </c>
      <c r="F12" s="115">
        <f>COUNTIFS($A$60:$A$88,"UI_PH3_FR01_*",$G$60:$G$88,"Fail")</f>
        <v>0</v>
      </c>
      <c r="G12" s="115">
        <f>SUMIFS($H$60:$H$88,$A$60:$A$88,"UI_PH3_FR01_*")</f>
        <v>0</v>
      </c>
      <c r="H12" s="116">
        <f>IFERROR(E12/C12,0)</f>
        <v>1</v>
      </c>
      <c r="I12" s="115">
        <f>COUNTIFS($A$60:$A$88,"UI_PH3_FR01_*",$C$60:$C$88,"UI/UX")</f>
        <v>2</v>
      </c>
      <c r="J12" s="115">
        <f>COUNTIFS($A$60:$A$88,"UI_PH3_FR01_*",$C$60:$C$88,"Function")</f>
        <v>3</v>
      </c>
      <c r="K12" s="115">
        <f>COUNTIFS($A$60:$A$88,"UI_PH3_FR01_*",$C$60:$C$88,"Negative")</f>
        <v>2</v>
      </c>
      <c r="L12" s="115">
        <f>SUMIFS($H$60:$H$88,$A$60:$A$88,"UI_PH3_FR01_*",$C$60:$C$88,"UI/UX")</f>
        <v>0</v>
      </c>
      <c r="M12" s="115">
        <f>SUMIFS($H$60:$H$88,$A$60:$A$88,"UI_PH3_FR01_*",$C$60:$C$88,"Function")</f>
        <v>0</v>
      </c>
      <c r="N12" s="115">
        <f>SUMIFS($H$60:$H$88,$A$60:$A$88,"UI_PH3_FR01_*",$C$60:$C$88,"Negative")</f>
        <v>0</v>
      </c>
    </row>
    <row r="13" customHeight="1" spans="1:14">
      <c r="A13" s="114" t="s">
        <v>1115</v>
      </c>
      <c r="B13" s="114" t="s">
        <v>3115</v>
      </c>
      <c r="C13" s="115">
        <f>COUNTIF($A$60:$A$88,"UI_PH3_FR02_*")</f>
        <v>7</v>
      </c>
      <c r="D13" s="115">
        <f>COUNTIFS($A$60:$A$88,"UI_PH3_FR02_*",$G$60:$G$88,"Pending")</f>
        <v>0</v>
      </c>
      <c r="E13" s="115">
        <f>COUNTIFS($A$60:$A$88,"UI_PH3_FR02_*",$G$60:$G$88,"Pass")</f>
        <v>6</v>
      </c>
      <c r="F13" s="115">
        <f>COUNTIFS($A$60:$A$88,"UI_PH3_FR02_*",$G$60:$G$88,"Fail")</f>
        <v>1</v>
      </c>
      <c r="G13" s="115">
        <f>SUMIFS($H$60:$H$88,$A$60:$A$88,"UI_PH3_FR02_*")</f>
        <v>1</v>
      </c>
      <c r="H13" s="116">
        <f>IFERROR(E13/C13,0)</f>
        <v>0.857142857142857</v>
      </c>
      <c r="I13" s="115">
        <f>COUNTIFS($A$60:$A$88,"UI_PH3_FR02_*",$C$60:$C$88,"UI/UX")</f>
        <v>1</v>
      </c>
      <c r="J13" s="115">
        <f>COUNTIFS($A$60:$A$88,"UI_PH3_FR02_*",$C$60:$C$88,"Function")</f>
        <v>4</v>
      </c>
      <c r="K13" s="115">
        <f>COUNTIFS($A$60:$A$88,"UI_PH3_FR02_*",$C$60:$C$88,"Negative")</f>
        <v>2</v>
      </c>
      <c r="L13" s="115">
        <f>SUMIFS($H$60:$H$88,$A$60:$A$88,"UI_PH3_FR02_*",$C$60:$C$88,"UI/UX")</f>
        <v>0</v>
      </c>
      <c r="M13" s="115">
        <f>SUMIFS($H$60:$H$88,$A$60:$A$88,"UI_PH3_FR02_*",$C$60:$C$88,"Function")</f>
        <v>1</v>
      </c>
      <c r="N13" s="115">
        <f>SUMIFS($H$60:$H$88,$A$60:$A$88,"UI_PH3_FR02_*",$C$60:$C$88,"Negative")</f>
        <v>0</v>
      </c>
    </row>
    <row r="14" customHeight="1" spans="1:14">
      <c r="A14" s="114" t="s">
        <v>1118</v>
      </c>
      <c r="B14" s="114" t="s">
        <v>3117</v>
      </c>
      <c r="C14" s="115">
        <f>COUNTIF($A$60:$A$88,"UI_PH3_FR03_*")</f>
        <v>6</v>
      </c>
      <c r="D14" s="115">
        <f>COUNTIFS($A$60:$A$88,"UI_PH3_FR03_*",$G$60:$G$88,"Pending")</f>
        <v>0</v>
      </c>
      <c r="E14" s="115">
        <f>COUNTIFS($A$60:$A$88,"UI_PH3_FR03_*",$G$60:$G$88,"Pass")</f>
        <v>3</v>
      </c>
      <c r="F14" s="115">
        <f>COUNTIFS($A$60:$A$88,"UI_PH3_FR03_*",$G$60:$G$88,"Fail")</f>
        <v>3</v>
      </c>
      <c r="G14" s="115">
        <f>SUMIFS($H$60:$H$88,$A$60:$A$88,"UI_PH3_FR03_*")</f>
        <v>3</v>
      </c>
      <c r="H14" s="116">
        <f>IFERROR(E14/C14,0)</f>
        <v>0.5</v>
      </c>
      <c r="I14" s="115">
        <f>COUNTIFS($A$60:$A$88,"UI_PH3_FR03_*",$C$60:$C$88,"UI/UX")</f>
        <v>1</v>
      </c>
      <c r="J14" s="115">
        <f>COUNTIFS($A$60:$A$88,"UI_PH3_FR03_*",$C$60:$C$88,"Function")</f>
        <v>2</v>
      </c>
      <c r="K14" s="115">
        <f>COUNTIFS($A$60:$A$88,"UI_PH3_FR03_*",$C$60:$C$88,"Negative")</f>
        <v>3</v>
      </c>
      <c r="L14" s="115">
        <f>SUMIFS($H$60:$H$88,$A$60:$A$88,"UI_PH3_FR03_*",$C$60:$C$88,"UI/UX")</f>
        <v>0</v>
      </c>
      <c r="M14" s="115">
        <f>SUMIFS($H$60:$H$88,$A$60:$A$88,"UI_PH3_FR03_*",$C$60:$C$88,"Function")</f>
        <v>1</v>
      </c>
      <c r="N14" s="115">
        <f>SUMIFS($H$60:$H$88,$A$60:$A$88,"UI_PH3_FR03_*",$C$60:$C$88,"Negative")</f>
        <v>2</v>
      </c>
    </row>
    <row r="15" customHeight="1" spans="1:14">
      <c r="A15" s="114" t="s">
        <v>1121</v>
      </c>
      <c r="B15" s="114" t="s">
        <v>3119</v>
      </c>
      <c r="C15" s="115">
        <f>COUNTIF($A$60:$A$88,"UI_PH3_FR04_*")</f>
        <v>5</v>
      </c>
      <c r="D15" s="115">
        <f>COUNTIFS($A$60:$A$88,"UI_PH3_FR04_*",$G$60:$G$88,"Pending")</f>
        <v>0</v>
      </c>
      <c r="E15" s="115">
        <f>COUNTIFS($A$60:$A$88,"UI_PH3_FR04_*",$G$60:$G$88,"Pass")</f>
        <v>5</v>
      </c>
      <c r="F15" s="115">
        <f>COUNTIFS($A$60:$A$88,"UI_PH3_FR04_*",$G$60:$G$88,"Fail")</f>
        <v>0</v>
      </c>
      <c r="G15" s="115">
        <f>SUMIFS($H$60:$H$88,$A$60:$A$88,"UI_PH3_FR04_*")</f>
        <v>0</v>
      </c>
      <c r="H15" s="116">
        <f>IFERROR(E15/C15,0)</f>
        <v>1</v>
      </c>
      <c r="I15" s="115">
        <f>COUNTIFS($A$60:$A$88,"UI_PH3_FR04_*",$C$60:$C$88,"UI/UX")</f>
        <v>1</v>
      </c>
      <c r="J15" s="115">
        <f>COUNTIFS($A$60:$A$88,"UI_PH3_FR04_*",$C$60:$C$88,"Function")</f>
        <v>3</v>
      </c>
      <c r="K15" s="115">
        <f>COUNTIFS($A$60:$A$88,"UI_PH3_FR04_*",$C$60:$C$88,"Negative")</f>
        <v>1</v>
      </c>
      <c r="L15" s="115">
        <f>SUMIFS($H$60:$H$88,$A$60:$A$88,"UI_PH3_FR04_*",$C$60:$C$88,"UI/UX")</f>
        <v>0</v>
      </c>
      <c r="M15" s="115">
        <f>SUMIFS($H$60:$H$88,$A$60:$A$88,"UI_PH3_FR04_*",$C$60:$C$88,"Function")</f>
        <v>0</v>
      </c>
      <c r="N15" s="115">
        <f>SUMIFS($H$60:$H$88,$A$60:$A$88,"UI_PH3_FR04_*",$C$60:$C$88,"Negative")</f>
        <v>0</v>
      </c>
    </row>
    <row r="16" ht="15.75" spans="1:14">
      <c r="A16" s="117" t="s">
        <v>1127</v>
      </c>
      <c r="B16" s="117" t="s">
        <v>7</v>
      </c>
      <c r="C16" s="118">
        <f>SUM(C12:C15)</f>
        <v>25</v>
      </c>
      <c r="D16" s="118">
        <f>SUM(D12:D15)</f>
        <v>0</v>
      </c>
      <c r="E16" s="118">
        <f>SUM(E12:E15)</f>
        <v>21</v>
      </c>
      <c r="F16" s="118">
        <f>SUM(F12:F15)</f>
        <v>4</v>
      </c>
      <c r="G16" s="118">
        <f>SUM(G12:G15)</f>
        <v>4</v>
      </c>
      <c r="H16" s="119">
        <f>IFERROR(E16/C16,0)</f>
        <v>0.84</v>
      </c>
      <c r="I16" s="118">
        <f t="shared" ref="I16:N16" si="0">SUM(I12:I15)</f>
        <v>5</v>
      </c>
      <c r="J16" s="118">
        <f t="shared" si="0"/>
        <v>12</v>
      </c>
      <c r="K16" s="118">
        <f t="shared" si="0"/>
        <v>8</v>
      </c>
      <c r="L16" s="118">
        <f t="shared" si="0"/>
        <v>0</v>
      </c>
      <c r="M16" s="118">
        <f t="shared" si="0"/>
        <v>2</v>
      </c>
      <c r="N16" s="118">
        <f t="shared" si="0"/>
        <v>2</v>
      </c>
    </row>
    <row r="19" ht="15.75" spans="1:5">
      <c r="A19" s="120" t="s">
        <v>1139</v>
      </c>
      <c r="B19" s="110" t="s">
        <v>1112</v>
      </c>
    </row>
    <row r="20" ht="15.75" spans="1:5">
      <c r="A20" s="120" t="s">
        <v>1140</v>
      </c>
      <c r="B20" s="110" t="s">
        <v>3113</v>
      </c>
    </row>
    <row r="21" ht="15.75" spans="1:5">
      <c r="A21" s="120" t="s">
        <v>1141</v>
      </c>
      <c r="B21" s="110" t="s">
        <v>7</v>
      </c>
    </row>
    <row r="22" ht="15.75" spans="1:5">
      <c r="A22" s="121" t="s">
        <v>1129</v>
      </c>
      <c r="B22" s="122">
        <f>E12</f>
        <v>7</v>
      </c>
      <c r="D22" s="121" t="s">
        <v>1133</v>
      </c>
      <c r="E22" s="122">
        <f>I12</f>
        <v>2</v>
      </c>
    </row>
    <row r="23" ht="15.75" spans="1:5">
      <c r="A23" s="121" t="s">
        <v>1130</v>
      </c>
      <c r="B23" s="122">
        <f>F12</f>
        <v>0</v>
      </c>
      <c r="D23" s="121" t="s">
        <v>1134</v>
      </c>
      <c r="E23" s="122">
        <f>J12</f>
        <v>3</v>
      </c>
    </row>
    <row r="24" ht="15.75" spans="1:5">
      <c r="A24" s="121" t="s">
        <v>1128</v>
      </c>
      <c r="B24" s="122">
        <f>D12</f>
        <v>0</v>
      </c>
      <c r="D24" s="121" t="s">
        <v>1135</v>
      </c>
      <c r="E24" s="122">
        <f>K12</f>
        <v>2</v>
      </c>
    </row>
    <row r="25" ht="15.75" spans="1:5">
      <c r="A25" s="121" t="s">
        <v>1131</v>
      </c>
      <c r="B25" s="122">
        <f>G12</f>
        <v>0</v>
      </c>
      <c r="D25" s="121" t="s">
        <v>1127</v>
      </c>
      <c r="E25" s="122">
        <f>C12</f>
        <v>7</v>
      </c>
    </row>
    <row r="26" ht="15.75" spans="1:5">
      <c r="A26" s="120" t="s">
        <v>1139</v>
      </c>
      <c r="B26" s="110" t="s">
        <v>1115</v>
      </c>
    </row>
    <row r="27" ht="15.75" spans="1:5">
      <c r="A27" s="120" t="s">
        <v>1140</v>
      </c>
      <c r="B27" s="110" t="s">
        <v>3115</v>
      </c>
    </row>
    <row r="28" ht="15.75" spans="1:5">
      <c r="A28" s="120" t="s">
        <v>1141</v>
      </c>
      <c r="B28" s="110" t="s">
        <v>7</v>
      </c>
    </row>
    <row r="29" ht="15.75" spans="1:5">
      <c r="A29" s="121" t="s">
        <v>1129</v>
      </c>
      <c r="B29" s="122">
        <f>E13</f>
        <v>6</v>
      </c>
      <c r="D29" s="121" t="s">
        <v>1133</v>
      </c>
      <c r="E29" s="122">
        <f>I13</f>
        <v>1</v>
      </c>
    </row>
    <row r="30" ht="15.75" spans="1:5">
      <c r="A30" s="121" t="s">
        <v>1130</v>
      </c>
      <c r="B30" s="122">
        <f>F13</f>
        <v>1</v>
      </c>
      <c r="D30" s="121" t="s">
        <v>1134</v>
      </c>
      <c r="E30" s="122">
        <f>J13</f>
        <v>4</v>
      </c>
    </row>
    <row r="31" ht="15.75" spans="1:5">
      <c r="A31" s="121" t="s">
        <v>1128</v>
      </c>
      <c r="B31" s="122">
        <f>D13</f>
        <v>0</v>
      </c>
      <c r="D31" s="121" t="s">
        <v>1135</v>
      </c>
      <c r="E31" s="122">
        <f>K13</f>
        <v>2</v>
      </c>
    </row>
    <row r="32" ht="15.75" spans="1:5">
      <c r="A32" s="121" t="s">
        <v>1131</v>
      </c>
      <c r="B32" s="122">
        <f>G13</f>
        <v>1</v>
      </c>
      <c r="D32" s="121" t="s">
        <v>1127</v>
      </c>
      <c r="E32" s="122">
        <f>C13</f>
        <v>7</v>
      </c>
    </row>
    <row r="33" ht="15.75" spans="1:9">
      <c r="A33" s="120" t="s">
        <v>1139</v>
      </c>
      <c r="B33" s="110" t="s">
        <v>1118</v>
      </c>
    </row>
    <row r="34" ht="15.75" spans="1:9">
      <c r="A34" s="120" t="s">
        <v>1140</v>
      </c>
      <c r="B34" s="110" t="s">
        <v>3117</v>
      </c>
    </row>
    <row r="35" ht="15.75" spans="1:9">
      <c r="A35" s="120" t="s">
        <v>1141</v>
      </c>
      <c r="B35" s="110" t="s">
        <v>7</v>
      </c>
    </row>
    <row r="36" ht="15.75" spans="1:9">
      <c r="A36" s="121" t="s">
        <v>1129</v>
      </c>
      <c r="B36" s="122">
        <f>E14</f>
        <v>3</v>
      </c>
      <c r="D36" s="121" t="s">
        <v>1133</v>
      </c>
      <c r="E36" s="122">
        <f>I14</f>
        <v>1</v>
      </c>
    </row>
    <row r="37" ht="15.75" spans="1:9">
      <c r="A37" s="121" t="s">
        <v>1130</v>
      </c>
      <c r="B37" s="122">
        <f>F14</f>
        <v>3</v>
      </c>
      <c r="D37" s="121" t="s">
        <v>1134</v>
      </c>
      <c r="E37" s="122">
        <f>J14</f>
        <v>2</v>
      </c>
    </row>
    <row r="38" ht="15.75" spans="1:9">
      <c r="A38" s="121" t="s">
        <v>1128</v>
      </c>
      <c r="B38" s="122">
        <f>D14</f>
        <v>0</v>
      </c>
      <c r="D38" s="121" t="s">
        <v>1135</v>
      </c>
      <c r="E38" s="122">
        <f>K14</f>
        <v>3</v>
      </c>
    </row>
    <row r="39" ht="15.75" spans="1:9">
      <c r="A39" s="121" t="s">
        <v>1131</v>
      </c>
      <c r="B39" s="122">
        <f>G14</f>
        <v>3</v>
      </c>
      <c r="D39" s="121" t="s">
        <v>1127</v>
      </c>
      <c r="E39" s="122">
        <f>C14</f>
        <v>6</v>
      </c>
    </row>
    <row r="40" ht="15.75" spans="1:9">
      <c r="A40" s="120" t="s">
        <v>1139</v>
      </c>
      <c r="B40" s="110" t="s">
        <v>1121</v>
      </c>
    </row>
    <row r="41" ht="15.75" spans="1:9">
      <c r="A41" s="120" t="s">
        <v>1140</v>
      </c>
      <c r="B41" s="110" t="s">
        <v>3119</v>
      </c>
    </row>
    <row r="42" ht="15.75" spans="1:9">
      <c r="A42" s="120" t="s">
        <v>1141</v>
      </c>
      <c r="B42" s="110" t="s">
        <v>7</v>
      </c>
    </row>
    <row r="43" ht="15.75" spans="1:9">
      <c r="A43" s="121" t="s">
        <v>1129</v>
      </c>
      <c r="B43" s="122">
        <f>E15</f>
        <v>5</v>
      </c>
      <c r="D43" s="121" t="s">
        <v>1133</v>
      </c>
      <c r="E43" s="122">
        <f>I15</f>
        <v>1</v>
      </c>
    </row>
    <row r="44" ht="15.75" spans="1:9">
      <c r="A44" s="121" t="s">
        <v>1130</v>
      </c>
      <c r="B44" s="122">
        <f>F15</f>
        <v>0</v>
      </c>
      <c r="D44" s="121" t="s">
        <v>1134</v>
      </c>
      <c r="E44" s="122">
        <f>J15</f>
        <v>3</v>
      </c>
    </row>
    <row r="45" ht="15.75" spans="1:9">
      <c r="A45" s="121" t="s">
        <v>1128</v>
      </c>
      <c r="B45" s="122">
        <f>D15</f>
        <v>0</v>
      </c>
      <c r="D45" s="121" t="s">
        <v>1135</v>
      </c>
      <c r="E45" s="122">
        <f>K15</f>
        <v>1</v>
      </c>
    </row>
    <row r="46" ht="15.75" spans="1:9">
      <c r="A46" s="121" t="s">
        <v>1131</v>
      </c>
      <c r="B46" s="122">
        <f>G15</f>
        <v>0</v>
      </c>
      <c r="D46" s="121" t="s">
        <v>1127</v>
      </c>
      <c r="E46" s="122">
        <f>C15</f>
        <v>5</v>
      </c>
    </row>
    <row r="47" ht="15.75" spans="1:9">
      <c r="A47" s="123" t="s">
        <v>1142</v>
      </c>
      <c r="B47" s="16"/>
      <c r="C47" s="16"/>
      <c r="D47" s="16"/>
      <c r="E47" s="16"/>
      <c r="F47" s="16"/>
      <c r="G47" s="16"/>
      <c r="H47" s="16"/>
      <c r="I47" s="17"/>
    </row>
    <row r="48" ht="15.75" spans="1:9">
      <c r="A48" s="124" t="s">
        <v>1143</v>
      </c>
      <c r="B48" s="16"/>
      <c r="C48" s="16"/>
      <c r="D48" s="16"/>
      <c r="E48" s="16"/>
      <c r="F48" s="16"/>
      <c r="G48" s="16"/>
      <c r="H48" s="16"/>
      <c r="I48" s="17"/>
    </row>
    <row r="49" ht="75" customHeight="1" spans="1:9">
      <c r="A49" s="310" t="s">
        <v>3121</v>
      </c>
      <c r="B49" s="16"/>
      <c r="C49" s="16"/>
      <c r="D49" s="16"/>
      <c r="E49" s="16"/>
      <c r="F49" s="16"/>
      <c r="G49" s="16"/>
      <c r="H49" s="16"/>
      <c r="I49" s="17"/>
    </row>
    <row r="50" ht="15.75" spans="1:9">
      <c r="A50" s="124" t="s">
        <v>1145</v>
      </c>
      <c r="B50" s="16"/>
      <c r="C50" s="16"/>
      <c r="D50" s="16"/>
      <c r="E50" s="16"/>
      <c r="F50" s="16"/>
      <c r="G50" s="16"/>
      <c r="H50" s="16"/>
      <c r="I50" s="17"/>
    </row>
    <row r="51" ht="120" customHeight="1" spans="1:9">
      <c r="A51" s="310" t="s">
        <v>3122</v>
      </c>
      <c r="B51" s="16"/>
      <c r="C51" s="16"/>
      <c r="D51" s="16"/>
      <c r="E51" s="16"/>
      <c r="F51" s="16"/>
      <c r="G51" s="16"/>
      <c r="H51" s="16"/>
      <c r="I51" s="17"/>
    </row>
    <row r="52" ht="15.75" spans="1:9">
      <c r="A52" s="124" t="s">
        <v>1147</v>
      </c>
      <c r="B52" s="16"/>
      <c r="C52" s="16"/>
      <c r="D52" s="16"/>
      <c r="E52" s="16"/>
      <c r="F52" s="16"/>
      <c r="G52" s="16"/>
      <c r="H52" s="16"/>
      <c r="I52" s="17"/>
    </row>
    <row r="53" ht="60" customHeight="1" spans="1:9">
      <c r="A53" s="310" t="s">
        <v>3123</v>
      </c>
      <c r="B53" s="16"/>
      <c r="C53" s="16"/>
      <c r="D53" s="16"/>
      <c r="E53" s="16"/>
      <c r="F53" s="16"/>
      <c r="G53" s="16"/>
      <c r="H53" s="16"/>
      <c r="I53" s="17"/>
    </row>
    <row r="54" ht="15.75" spans="1:9">
      <c r="A54" s="124" t="s">
        <v>1149</v>
      </c>
      <c r="B54" s="16"/>
      <c r="C54" s="16"/>
      <c r="D54" s="16"/>
      <c r="E54" s="16"/>
      <c r="F54" s="16"/>
      <c r="G54" s="16"/>
      <c r="H54" s="16"/>
      <c r="I54" s="17"/>
    </row>
    <row r="55" ht="45" customHeight="1" spans="1:9">
      <c r="A55" s="310" t="s">
        <v>3124</v>
      </c>
      <c r="B55" s="16"/>
      <c r="C55" s="16"/>
      <c r="D55" s="16"/>
      <c r="E55" s="16"/>
      <c r="F55" s="16"/>
      <c r="G55" s="16"/>
      <c r="H55" s="16"/>
      <c r="I55" s="17"/>
    </row>
    <row r="59" ht="15.75" spans="1:9">
      <c r="A59" s="126" t="s">
        <v>1109</v>
      </c>
      <c r="B59" s="126" t="s">
        <v>1151</v>
      </c>
      <c r="C59" s="126" t="s">
        <v>1152</v>
      </c>
      <c r="D59" s="126" t="s">
        <v>1153</v>
      </c>
      <c r="E59" s="126" t="s">
        <v>1154</v>
      </c>
      <c r="F59" s="126" t="s">
        <v>1155</v>
      </c>
      <c r="G59" s="126" t="s">
        <v>1156</v>
      </c>
      <c r="H59" s="126" t="s">
        <v>1131</v>
      </c>
      <c r="I59" s="126" t="s">
        <v>1157</v>
      </c>
    </row>
    <row r="60" ht="15.75" spans="1:9">
      <c r="A60" s="127" t="s">
        <v>3125</v>
      </c>
      <c r="B60" s="16"/>
      <c r="C60" s="16"/>
      <c r="D60" s="16"/>
      <c r="E60" s="16"/>
      <c r="F60" s="16"/>
      <c r="G60" s="16"/>
      <c r="H60" s="16"/>
      <c r="I60" s="17"/>
    </row>
    <row r="61" ht="30" customHeight="1" spans="1:9">
      <c r="A61" s="111" t="s">
        <v>3126</v>
      </c>
      <c r="B61" s="111" t="s">
        <v>3127</v>
      </c>
      <c r="C61" s="122" t="s">
        <v>1133</v>
      </c>
      <c r="D61" s="111" t="s">
        <v>3128</v>
      </c>
      <c r="E61" s="111" t="s">
        <v>3129</v>
      </c>
      <c r="F61" s="111" t="s">
        <v>3130</v>
      </c>
      <c r="G61" s="122" t="s">
        <v>1129</v>
      </c>
      <c r="H61" s="122"/>
      <c r="I61" s="111" t="s">
        <v>7</v>
      </c>
    </row>
    <row r="62" ht="45" customHeight="1" spans="1:9">
      <c r="A62" s="111" t="s">
        <v>3131</v>
      </c>
      <c r="B62" s="111" t="s">
        <v>3132</v>
      </c>
      <c r="C62" s="122" t="s">
        <v>1134</v>
      </c>
      <c r="D62" s="111" t="s">
        <v>3133</v>
      </c>
      <c r="E62" s="111" t="s">
        <v>3134</v>
      </c>
      <c r="F62" s="111" t="s">
        <v>3135</v>
      </c>
      <c r="G62" s="122" t="s">
        <v>1129</v>
      </c>
      <c r="H62" s="122"/>
      <c r="I62" s="111" t="s">
        <v>7</v>
      </c>
    </row>
    <row r="63" ht="30" customHeight="1" spans="1:9">
      <c r="A63" s="111" t="s">
        <v>3136</v>
      </c>
      <c r="B63" s="111" t="s">
        <v>3137</v>
      </c>
      <c r="C63" s="122" t="s">
        <v>1133</v>
      </c>
      <c r="D63" s="111" t="s">
        <v>3138</v>
      </c>
      <c r="E63" s="111" t="s">
        <v>3139</v>
      </c>
      <c r="F63" s="111" t="s">
        <v>3140</v>
      </c>
      <c r="G63" s="122" t="s">
        <v>1129</v>
      </c>
      <c r="H63" s="122"/>
      <c r="I63" s="111" t="s">
        <v>7</v>
      </c>
    </row>
    <row r="64" ht="30" customHeight="1" spans="1:9">
      <c r="A64" s="111" t="s">
        <v>3141</v>
      </c>
      <c r="B64" s="111" t="s">
        <v>3142</v>
      </c>
      <c r="C64" s="122" t="s">
        <v>1134</v>
      </c>
      <c r="D64" s="111" t="s">
        <v>3138</v>
      </c>
      <c r="E64" s="111" t="s">
        <v>3143</v>
      </c>
      <c r="F64" s="111" t="s">
        <v>3144</v>
      </c>
      <c r="G64" s="122" t="s">
        <v>1129</v>
      </c>
      <c r="H64" s="122"/>
      <c r="I64" s="111" t="s">
        <v>7</v>
      </c>
    </row>
    <row r="65" ht="30" customHeight="1" spans="1:9">
      <c r="A65" s="111" t="s">
        <v>3145</v>
      </c>
      <c r="B65" s="111" t="s">
        <v>3146</v>
      </c>
      <c r="C65" s="122" t="s">
        <v>1134</v>
      </c>
      <c r="D65" s="111" t="s">
        <v>3147</v>
      </c>
      <c r="E65" s="111" t="s">
        <v>3148</v>
      </c>
      <c r="F65" s="111" t="s">
        <v>3149</v>
      </c>
      <c r="G65" s="122" t="s">
        <v>1129</v>
      </c>
      <c r="H65" s="122"/>
      <c r="I65" s="111" t="s">
        <v>7</v>
      </c>
    </row>
    <row r="66" ht="105" customHeight="1" spans="1:9">
      <c r="A66" s="111" t="s">
        <v>3150</v>
      </c>
      <c r="B66" s="111" t="s">
        <v>3151</v>
      </c>
      <c r="C66" s="122" t="s">
        <v>1135</v>
      </c>
      <c r="D66" s="111" t="s">
        <v>3152</v>
      </c>
      <c r="E66" s="111" t="s">
        <v>3153</v>
      </c>
      <c r="F66" s="111" t="s">
        <v>3154</v>
      </c>
      <c r="G66" s="122" t="s">
        <v>1129</v>
      </c>
      <c r="H66" s="122"/>
      <c r="I66" s="111" t="s">
        <v>3155</v>
      </c>
    </row>
    <row r="67" ht="30" customHeight="1" spans="1:9">
      <c r="A67" s="111" t="s">
        <v>3156</v>
      </c>
      <c r="B67" s="111" t="s">
        <v>3157</v>
      </c>
      <c r="C67" s="122" t="s">
        <v>1135</v>
      </c>
      <c r="D67" s="111" t="s">
        <v>3158</v>
      </c>
      <c r="E67" s="111" t="s">
        <v>3159</v>
      </c>
      <c r="F67" s="111" t="s">
        <v>1252</v>
      </c>
      <c r="G67" s="122" t="s">
        <v>1129</v>
      </c>
      <c r="H67" s="122"/>
      <c r="I67" s="111" t="s">
        <v>7</v>
      </c>
    </row>
    <row r="68" ht="15.75" spans="1:9">
      <c r="A68" s="127" t="s">
        <v>3160</v>
      </c>
      <c r="B68" s="16"/>
      <c r="C68" s="16"/>
      <c r="D68" s="16"/>
      <c r="E68" s="16"/>
      <c r="F68" s="16"/>
      <c r="G68" s="16"/>
      <c r="H68" s="16"/>
      <c r="I68" s="17"/>
    </row>
    <row r="69" ht="75" customHeight="1" spans="1:9">
      <c r="A69" s="111" t="s">
        <v>3161</v>
      </c>
      <c r="B69" s="111" t="s">
        <v>3162</v>
      </c>
      <c r="C69" s="122" t="s">
        <v>1133</v>
      </c>
      <c r="D69" s="111" t="s">
        <v>3163</v>
      </c>
      <c r="E69" s="111" t="s">
        <v>3164</v>
      </c>
      <c r="F69" s="111" t="s">
        <v>3165</v>
      </c>
      <c r="G69" s="122" t="s">
        <v>1129</v>
      </c>
      <c r="H69" s="122"/>
      <c r="I69" s="111" t="s">
        <v>7</v>
      </c>
    </row>
    <row r="70" ht="75" customHeight="1" spans="1:9">
      <c r="A70" s="111" t="s">
        <v>3166</v>
      </c>
      <c r="B70" s="111" t="s">
        <v>3167</v>
      </c>
      <c r="C70" s="122" t="s">
        <v>1135</v>
      </c>
      <c r="D70" s="111" t="s">
        <v>3168</v>
      </c>
      <c r="E70" s="111" t="s">
        <v>3169</v>
      </c>
      <c r="F70" s="111" t="s">
        <v>3170</v>
      </c>
      <c r="G70" s="122" t="s">
        <v>1129</v>
      </c>
      <c r="H70" s="122"/>
      <c r="I70" s="111" t="s">
        <v>7</v>
      </c>
    </row>
    <row r="71" ht="45" customHeight="1" spans="1:9">
      <c r="A71" s="111" t="s">
        <v>3171</v>
      </c>
      <c r="B71" s="111" t="s">
        <v>3172</v>
      </c>
      <c r="C71" s="122" t="s">
        <v>1135</v>
      </c>
      <c r="D71" s="111" t="s">
        <v>3173</v>
      </c>
      <c r="E71" s="111" t="s">
        <v>3174</v>
      </c>
      <c r="F71" s="111" t="s">
        <v>3175</v>
      </c>
      <c r="G71" s="122" t="s">
        <v>1129</v>
      </c>
      <c r="H71" s="122"/>
      <c r="I71" s="111" t="s">
        <v>7</v>
      </c>
    </row>
    <row r="72" ht="60" customHeight="1" spans="1:9">
      <c r="A72" s="111" t="s">
        <v>3176</v>
      </c>
      <c r="B72" s="111" t="s">
        <v>3177</v>
      </c>
      <c r="C72" s="122" t="s">
        <v>1134</v>
      </c>
      <c r="D72" s="111" t="s">
        <v>3178</v>
      </c>
      <c r="E72" s="111" t="s">
        <v>3179</v>
      </c>
      <c r="F72" s="111" t="s">
        <v>3180</v>
      </c>
      <c r="G72" s="122" t="s">
        <v>1129</v>
      </c>
      <c r="H72" s="122"/>
      <c r="I72" s="111" t="s">
        <v>3181</v>
      </c>
    </row>
    <row r="73" ht="150" customHeight="1" spans="1:9">
      <c r="A73" s="111" t="s">
        <v>3182</v>
      </c>
      <c r="B73" s="111" t="s">
        <v>3183</v>
      </c>
      <c r="C73" s="122" t="s">
        <v>1134</v>
      </c>
      <c r="D73" s="111" t="s">
        <v>3184</v>
      </c>
      <c r="E73" s="111" t="s">
        <v>3185</v>
      </c>
      <c r="F73" s="111" t="s">
        <v>3186</v>
      </c>
      <c r="G73" s="122" t="s">
        <v>1130</v>
      </c>
      <c r="H73" s="122">
        <v>1</v>
      </c>
      <c r="I73" s="111" t="s">
        <v>3187</v>
      </c>
    </row>
    <row r="74" ht="30" customHeight="1" spans="1:9">
      <c r="A74" s="111" t="s">
        <v>3188</v>
      </c>
      <c r="B74" s="111" t="s">
        <v>3189</v>
      </c>
      <c r="C74" s="122" t="s">
        <v>1134</v>
      </c>
      <c r="D74" s="111" t="s">
        <v>3190</v>
      </c>
      <c r="E74" s="111" t="s">
        <v>3191</v>
      </c>
      <c r="F74" s="111" t="s">
        <v>3192</v>
      </c>
      <c r="G74" s="122" t="s">
        <v>1129</v>
      </c>
      <c r="H74" s="122"/>
      <c r="I74" s="111" t="s">
        <v>7</v>
      </c>
    </row>
    <row r="75" ht="45" customHeight="1" spans="1:9">
      <c r="A75" s="111" t="s">
        <v>3193</v>
      </c>
      <c r="B75" s="111" t="s">
        <v>3194</v>
      </c>
      <c r="C75" s="122" t="s">
        <v>1134</v>
      </c>
      <c r="D75" s="111" t="s">
        <v>3195</v>
      </c>
      <c r="E75" s="111" t="s">
        <v>3196</v>
      </c>
      <c r="F75" s="111" t="s">
        <v>3197</v>
      </c>
      <c r="G75" s="122" t="s">
        <v>1129</v>
      </c>
      <c r="H75" s="122"/>
      <c r="I75" s="111" t="s">
        <v>3198</v>
      </c>
    </row>
    <row r="76" ht="15.75" spans="1:9">
      <c r="A76" s="127" t="s">
        <v>3199</v>
      </c>
      <c r="B76" s="16"/>
      <c r="C76" s="16"/>
      <c r="D76" s="16"/>
      <c r="E76" s="16"/>
      <c r="F76" s="16"/>
      <c r="G76" s="16"/>
      <c r="H76" s="16"/>
      <c r="I76" s="17"/>
    </row>
    <row r="77" ht="60" customHeight="1" spans="1:9">
      <c r="A77" s="111" t="s">
        <v>3200</v>
      </c>
      <c r="B77" s="111" t="s">
        <v>3201</v>
      </c>
      <c r="C77" s="122" t="s">
        <v>1133</v>
      </c>
      <c r="D77" s="111" t="s">
        <v>3202</v>
      </c>
      <c r="E77" s="111" t="s">
        <v>3203</v>
      </c>
      <c r="F77" s="111" t="s">
        <v>3204</v>
      </c>
      <c r="G77" s="122" t="s">
        <v>1129</v>
      </c>
      <c r="H77" s="122"/>
      <c r="I77" s="111" t="s">
        <v>7</v>
      </c>
    </row>
    <row r="78" ht="120" customHeight="1" spans="1:9">
      <c r="A78" s="111" t="s">
        <v>3205</v>
      </c>
      <c r="B78" s="111" t="s">
        <v>3206</v>
      </c>
      <c r="C78" s="122" t="s">
        <v>1134</v>
      </c>
      <c r="D78" s="111" t="s">
        <v>3202</v>
      </c>
      <c r="E78" s="111" t="s">
        <v>3207</v>
      </c>
      <c r="F78" s="111" t="s">
        <v>3208</v>
      </c>
      <c r="G78" s="122" t="s">
        <v>1130</v>
      </c>
      <c r="H78" s="122">
        <v>1</v>
      </c>
      <c r="I78" s="111" t="s">
        <v>3209</v>
      </c>
    </row>
    <row r="79" ht="60" customHeight="1" spans="1:9">
      <c r="A79" s="111" t="s">
        <v>3210</v>
      </c>
      <c r="B79" s="111" t="s">
        <v>3211</v>
      </c>
      <c r="C79" s="122" t="s">
        <v>1134</v>
      </c>
      <c r="D79" s="111" t="s">
        <v>3212</v>
      </c>
      <c r="E79" s="111" t="s">
        <v>3213</v>
      </c>
      <c r="F79" s="111" t="s">
        <v>3214</v>
      </c>
      <c r="G79" s="122" t="s">
        <v>1129</v>
      </c>
      <c r="H79" s="122"/>
      <c r="I79" s="111" t="s">
        <v>7</v>
      </c>
    </row>
    <row r="80" ht="30" customHeight="1" spans="1:9">
      <c r="A80" s="111" t="s">
        <v>3215</v>
      </c>
      <c r="B80" s="111" t="s">
        <v>3216</v>
      </c>
      <c r="C80" s="122" t="s">
        <v>1135</v>
      </c>
      <c r="D80" s="111" t="s">
        <v>3217</v>
      </c>
      <c r="E80" s="111" t="s">
        <v>3218</v>
      </c>
      <c r="F80" s="111" t="s">
        <v>3219</v>
      </c>
      <c r="G80" s="122" t="s">
        <v>1129</v>
      </c>
      <c r="H80" s="122"/>
      <c r="I80" s="111" t="s">
        <v>7</v>
      </c>
    </row>
    <row r="81" ht="135" customHeight="1" spans="1:9">
      <c r="A81" s="111" t="s">
        <v>3220</v>
      </c>
      <c r="B81" s="111" t="s">
        <v>3221</v>
      </c>
      <c r="C81" s="122" t="s">
        <v>1135</v>
      </c>
      <c r="D81" s="111" t="s">
        <v>3222</v>
      </c>
      <c r="E81" s="111" t="s">
        <v>3223</v>
      </c>
      <c r="F81" s="111" t="s">
        <v>3224</v>
      </c>
      <c r="G81" s="122" t="s">
        <v>1130</v>
      </c>
      <c r="H81" s="122">
        <v>1</v>
      </c>
      <c r="I81" s="111" t="s">
        <v>3225</v>
      </c>
    </row>
    <row r="82" ht="90" customHeight="1" spans="1:9">
      <c r="A82" s="111" t="s">
        <v>3226</v>
      </c>
      <c r="B82" s="111" t="s">
        <v>3227</v>
      </c>
      <c r="C82" s="122" t="s">
        <v>1135</v>
      </c>
      <c r="D82" s="111" t="s">
        <v>3228</v>
      </c>
      <c r="E82" s="111" t="s">
        <v>3229</v>
      </c>
      <c r="F82" s="111" t="s">
        <v>3230</v>
      </c>
      <c r="G82" s="122" t="s">
        <v>1130</v>
      </c>
      <c r="H82" s="122">
        <v>1</v>
      </c>
      <c r="I82" s="111" t="s">
        <v>3231</v>
      </c>
    </row>
    <row r="83" ht="15.75" spans="1:9">
      <c r="A83" s="127" t="s">
        <v>3232</v>
      </c>
      <c r="B83" s="16"/>
      <c r="C83" s="16"/>
      <c r="D83" s="16"/>
      <c r="E83" s="16"/>
      <c r="F83" s="16"/>
      <c r="G83" s="16"/>
      <c r="H83" s="16"/>
      <c r="I83" s="17"/>
    </row>
    <row r="84" ht="75" customHeight="1" spans="1:9">
      <c r="A84" s="111" t="s">
        <v>3233</v>
      </c>
      <c r="B84" s="111" t="s">
        <v>3234</v>
      </c>
      <c r="C84" s="122" t="s">
        <v>1133</v>
      </c>
      <c r="D84" s="111" t="s">
        <v>3235</v>
      </c>
      <c r="E84" s="111" t="s">
        <v>3236</v>
      </c>
      <c r="F84" s="111" t="s">
        <v>3237</v>
      </c>
      <c r="G84" s="122" t="s">
        <v>1129</v>
      </c>
      <c r="H84" s="122"/>
      <c r="I84" s="111" t="s">
        <v>7</v>
      </c>
    </row>
    <row r="85" ht="60" customHeight="1" spans="1:9">
      <c r="A85" s="111" t="s">
        <v>3238</v>
      </c>
      <c r="B85" s="111" t="s">
        <v>3239</v>
      </c>
      <c r="C85" s="122" t="s">
        <v>1134</v>
      </c>
      <c r="D85" s="111" t="s">
        <v>3240</v>
      </c>
      <c r="E85" s="111" t="s">
        <v>3241</v>
      </c>
      <c r="F85" s="111" t="s">
        <v>3242</v>
      </c>
      <c r="G85" s="122" t="s">
        <v>1129</v>
      </c>
      <c r="H85" s="122"/>
      <c r="I85" s="111" t="s">
        <v>3243</v>
      </c>
    </row>
    <row r="86" ht="30" customHeight="1" spans="1:9">
      <c r="A86" s="111" t="s">
        <v>3244</v>
      </c>
      <c r="B86" s="111" t="s">
        <v>3245</v>
      </c>
      <c r="C86" s="122" t="s">
        <v>1134</v>
      </c>
      <c r="D86" s="111" t="s">
        <v>3246</v>
      </c>
      <c r="E86" s="111" t="s">
        <v>3247</v>
      </c>
      <c r="F86" s="111" t="s">
        <v>3248</v>
      </c>
      <c r="G86" s="122" t="s">
        <v>1129</v>
      </c>
      <c r="H86" s="122"/>
      <c r="I86" s="111" t="s">
        <v>7</v>
      </c>
    </row>
    <row r="87" ht="45" customHeight="1" spans="1:9">
      <c r="A87" s="111" t="s">
        <v>3249</v>
      </c>
      <c r="B87" s="111" t="s">
        <v>3250</v>
      </c>
      <c r="C87" s="122" t="s">
        <v>1135</v>
      </c>
      <c r="D87" s="111" t="s">
        <v>3251</v>
      </c>
      <c r="E87" s="111" t="s">
        <v>3252</v>
      </c>
      <c r="F87" s="111" t="s">
        <v>3253</v>
      </c>
      <c r="G87" s="122" t="s">
        <v>1129</v>
      </c>
      <c r="H87" s="122"/>
      <c r="I87" s="111" t="s">
        <v>7</v>
      </c>
    </row>
    <row r="88" ht="30" customHeight="1" spans="1:9">
      <c r="A88" s="111" t="s">
        <v>3254</v>
      </c>
      <c r="B88" s="111" t="s">
        <v>3255</v>
      </c>
      <c r="C88" s="122" t="s">
        <v>1134</v>
      </c>
      <c r="D88" s="111" t="s">
        <v>3256</v>
      </c>
      <c r="E88" s="111" t="s">
        <v>3257</v>
      </c>
      <c r="F88" s="111" t="s">
        <v>3258</v>
      </c>
      <c r="G88" s="122" t="s">
        <v>1129</v>
      </c>
      <c r="H88" s="122"/>
      <c r="I88" s="111" t="s">
        <v>7</v>
      </c>
    </row>
  </sheetData>
  <mergeCells count="16">
    <mergeCell ref="A1:C1"/>
    <mergeCell ref="A3:C3"/>
    <mergeCell ref="A10:N10"/>
    <mergeCell ref="A47:I47"/>
    <mergeCell ref="A48:I48"/>
    <mergeCell ref="A49:I49"/>
    <mergeCell ref="A50:I50"/>
    <mergeCell ref="A51:I51"/>
    <mergeCell ref="A52:I52"/>
    <mergeCell ref="A53:I53"/>
    <mergeCell ref="A54:I54"/>
    <mergeCell ref="A55:I55"/>
    <mergeCell ref="A60:I60"/>
    <mergeCell ref="A68:I68"/>
    <mergeCell ref="A76:I76"/>
    <mergeCell ref="A83:I83"/>
  </mergeCells>
  <conditionalFormatting sqref="G60:G88">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1"/>
  <sheetViews>
    <sheetView workbookViewId="0">
      <selection activeCell="A1" sqref="A1:E1"/>
    </sheetView>
  </sheetViews>
  <sheetFormatPr defaultColWidth="9" defaultRowHeight="15"/>
  <cols>
    <col min="1" max="1" width="18" customWidth="1"/>
    <col min="2" max="2" width="24" customWidth="1"/>
    <col min="3" max="3" width="34" customWidth="1"/>
    <col min="4" max="4" width="18" customWidth="1"/>
    <col min="5" max="5" width="10" customWidth="1"/>
    <col min="6" max="6" width="34" customWidth="1"/>
    <col min="7" max="7" width="26" customWidth="1"/>
    <col min="8" max="8" width="30" customWidth="1"/>
    <col min="9" max="9" width="36" customWidth="1"/>
    <col min="10" max="10" width="10" customWidth="1"/>
    <col min="11" max="11" width="30" customWidth="1"/>
    <col min="12" max="12" width="9.14285714285714" customWidth="1"/>
  </cols>
  <sheetData>
    <row r="1" ht="20.25" spans="1:5">
      <c r="A1" s="74" t="s">
        <v>1295</v>
      </c>
    </row>
    <row r="2" spans="1:5">
      <c r="A2" s="75" t="s">
        <v>3259</v>
      </c>
      <c r="B2" s="16"/>
      <c r="C2" s="16"/>
      <c r="D2" s="16"/>
      <c r="E2" s="17"/>
    </row>
    <row r="3" customHeight="1" spans="1:5">
      <c r="A3" s="76" t="s">
        <v>1297</v>
      </c>
      <c r="B3" s="17"/>
      <c r="C3" s="77" t="s">
        <v>1298</v>
      </c>
      <c r="D3" s="16"/>
      <c r="E3" s="17"/>
    </row>
    <row r="4" customHeight="1" spans="1:5">
      <c r="A4" s="76" t="s">
        <v>1299</v>
      </c>
      <c r="B4" s="17"/>
      <c r="C4" s="78" t="s">
        <v>1300</v>
      </c>
      <c r="D4" s="16"/>
      <c r="E4" s="17"/>
    </row>
    <row r="5" customHeight="1" spans="1:5">
      <c r="A5" s="76" t="s">
        <v>1301</v>
      </c>
      <c r="B5" s="17"/>
      <c r="C5" s="77" t="s">
        <v>3260</v>
      </c>
      <c r="D5" s="16"/>
      <c r="E5" s="17"/>
    </row>
    <row r="6" customHeight="1" spans="1:5">
      <c r="A6" s="76" t="s">
        <v>1303</v>
      </c>
      <c r="B6" s="17"/>
      <c r="C6" s="78" t="s">
        <v>1304</v>
      </c>
      <c r="D6" s="16"/>
      <c r="E6" s="17"/>
    </row>
    <row r="7" customHeight="1" spans="1:5">
      <c r="A7" s="76" t="s">
        <v>1305</v>
      </c>
      <c r="B7" s="17"/>
      <c r="C7" s="77" t="s">
        <v>3261</v>
      </c>
      <c r="D7" s="16"/>
      <c r="E7" s="17"/>
    </row>
    <row r="8" ht="60" customHeight="1" spans="1:5">
      <c r="A8" s="76" t="s">
        <v>1307</v>
      </c>
      <c r="B8" s="17"/>
      <c r="C8" s="77" t="s">
        <v>3262</v>
      </c>
      <c r="D8" s="16"/>
      <c r="E8" s="17"/>
    </row>
    <row r="10" ht="16.5" spans="1:5">
      <c r="A10" s="79" t="s">
        <v>1309</v>
      </c>
    </row>
    <row r="11" spans="1:5">
      <c r="A11" s="80" t="s">
        <v>1310</v>
      </c>
    </row>
    <row r="12" spans="1:5">
      <c r="A12" s="81" t="s">
        <v>211</v>
      </c>
      <c r="B12" s="81" t="s">
        <v>1311</v>
      </c>
      <c r="C12" s="81" t="s">
        <v>1312</v>
      </c>
      <c r="D12" s="82"/>
      <c r="E12" s="81" t="s">
        <v>430</v>
      </c>
    </row>
    <row r="13" ht="60" customHeight="1" spans="1:5">
      <c r="A13" s="83">
        <v>1</v>
      </c>
      <c r="B13" s="84" t="s">
        <v>3263</v>
      </c>
      <c r="C13" s="85" t="s">
        <v>3264</v>
      </c>
      <c r="D13" s="17"/>
      <c r="E13" s="85" t="s">
        <v>3265</v>
      </c>
    </row>
    <row r="14" ht="30" customHeight="1" spans="1:5">
      <c r="A14" s="83">
        <v>2</v>
      </c>
      <c r="B14" s="84" t="s">
        <v>3266</v>
      </c>
      <c r="C14" s="84" t="s">
        <v>3267</v>
      </c>
      <c r="D14" s="17"/>
      <c r="E14" s="85" t="s">
        <v>3268</v>
      </c>
    </row>
    <row r="15" ht="45" customHeight="1" spans="1:5">
      <c r="A15" s="83">
        <v>3</v>
      </c>
      <c r="B15" s="84" t="s">
        <v>3269</v>
      </c>
      <c r="C15" s="84" t="s">
        <v>3270</v>
      </c>
      <c r="D15" s="17"/>
      <c r="E15" s="85" t="s">
        <v>3271</v>
      </c>
    </row>
    <row r="16" ht="60" customHeight="1" spans="1:5">
      <c r="A16" s="83">
        <v>4</v>
      </c>
      <c r="B16" s="84" t="s">
        <v>3272</v>
      </c>
      <c r="C16" s="84" t="s">
        <v>3273</v>
      </c>
      <c r="D16" s="17"/>
      <c r="E16" s="85" t="s">
        <v>3274</v>
      </c>
    </row>
    <row r="17" ht="75" customHeight="1" spans="1:5">
      <c r="A17" s="83">
        <v>5</v>
      </c>
      <c r="B17" s="84" t="s">
        <v>3275</v>
      </c>
      <c r="C17" s="85" t="s">
        <v>3276</v>
      </c>
      <c r="D17" s="17"/>
      <c r="E17" s="85" t="s">
        <v>3277</v>
      </c>
    </row>
    <row r="18" ht="30" customHeight="1" spans="1:5">
      <c r="A18" s="83">
        <v>6</v>
      </c>
      <c r="B18" s="84" t="s">
        <v>1325</v>
      </c>
      <c r="C18" s="85" t="s">
        <v>1326</v>
      </c>
      <c r="D18" s="17"/>
      <c r="E18" s="85" t="s">
        <v>3278</v>
      </c>
    </row>
    <row r="20" spans="1:5">
      <c r="A20" s="86" t="s">
        <v>1328</v>
      </c>
      <c r="B20" s="16"/>
      <c r="C20" s="16"/>
      <c r="D20" s="16"/>
      <c r="E20" s="17"/>
    </row>
    <row r="21" ht="45" customHeight="1" spans="1:5">
      <c r="A21" s="87">
        <v>1</v>
      </c>
      <c r="B21" s="88" t="s">
        <v>3279</v>
      </c>
      <c r="C21" s="89" t="s">
        <v>3280</v>
      </c>
      <c r="D21" s="16"/>
      <c r="E21" s="17"/>
    </row>
    <row r="22" ht="60" customHeight="1" spans="1:5">
      <c r="A22" s="87">
        <v>2</v>
      </c>
      <c r="B22" s="88" t="s">
        <v>3281</v>
      </c>
      <c r="C22" s="89" t="s">
        <v>3282</v>
      </c>
      <c r="D22" s="16"/>
      <c r="E22" s="17"/>
    </row>
    <row r="23" ht="30" customHeight="1" spans="1:5">
      <c r="A23" s="87">
        <v>3</v>
      </c>
      <c r="B23" s="88" t="s">
        <v>3283</v>
      </c>
      <c r="C23" s="89" t="s">
        <v>3284</v>
      </c>
      <c r="D23" s="16"/>
      <c r="E23" s="17"/>
    </row>
    <row r="25" spans="1:5">
      <c r="A25" s="90" t="s">
        <v>1335</v>
      </c>
      <c r="B25" s="16"/>
      <c r="C25" s="16"/>
      <c r="D25" s="16"/>
      <c r="E25" s="17"/>
    </row>
    <row r="26" spans="1:5">
      <c r="A26" s="81" t="s">
        <v>211</v>
      </c>
      <c r="B26" s="81" t="s">
        <v>1311</v>
      </c>
      <c r="C26" s="81" t="s">
        <v>1336</v>
      </c>
      <c r="D26" s="91"/>
      <c r="E26" s="82"/>
    </row>
    <row r="27" ht="60" customHeight="1" spans="1:5">
      <c r="A27" s="87">
        <v>1</v>
      </c>
      <c r="B27" s="88" t="s">
        <v>3285</v>
      </c>
      <c r="C27" s="89" t="s">
        <v>3286</v>
      </c>
      <c r="D27" s="16"/>
      <c r="E27" s="17"/>
    </row>
    <row r="28" ht="105" customHeight="1" spans="1:5">
      <c r="A28" s="87">
        <v>2</v>
      </c>
      <c r="B28" s="88" t="s">
        <v>3287</v>
      </c>
      <c r="C28" s="89" t="s">
        <v>3288</v>
      </c>
      <c r="D28" s="16"/>
      <c r="E28" s="17"/>
    </row>
    <row r="29" ht="30" customHeight="1" spans="1:5">
      <c r="A29" s="87">
        <v>3</v>
      </c>
      <c r="B29" s="88" t="s">
        <v>3289</v>
      </c>
      <c r="C29" s="89" t="s">
        <v>3290</v>
      </c>
      <c r="D29" s="16"/>
      <c r="E29" s="17"/>
    </row>
    <row r="30" ht="75" customHeight="1" spans="1:5">
      <c r="A30" s="87">
        <v>4</v>
      </c>
      <c r="B30" s="88" t="s">
        <v>3291</v>
      </c>
      <c r="C30" s="89" t="s">
        <v>3292</v>
      </c>
      <c r="D30" s="16"/>
      <c r="E30" s="17"/>
    </row>
    <row r="31" ht="30" customHeight="1" spans="1:5">
      <c r="A31" s="87">
        <v>5</v>
      </c>
      <c r="B31" s="88" t="s">
        <v>3293</v>
      </c>
      <c r="C31" s="89" t="s">
        <v>3294</v>
      </c>
      <c r="D31" s="16"/>
      <c r="E31" s="17"/>
    </row>
    <row r="33" spans="1:11">
      <c r="A33" s="86" t="s">
        <v>1349</v>
      </c>
      <c r="B33" s="16"/>
      <c r="C33" s="16"/>
      <c r="D33" s="16"/>
      <c r="E33" s="17"/>
    </row>
    <row r="34" ht="25.5" spans="1:11">
      <c r="A34" s="81" t="s">
        <v>1350</v>
      </c>
      <c r="B34" s="81" t="s">
        <v>1351</v>
      </c>
      <c r="C34" s="81" t="s">
        <v>1352</v>
      </c>
      <c r="D34" s="81" t="s">
        <v>1353</v>
      </c>
      <c r="E34" s="81" t="s">
        <v>1354</v>
      </c>
    </row>
    <row r="35" ht="25.5" spans="1:11">
      <c r="A35" s="85" t="s">
        <v>3295</v>
      </c>
      <c r="B35" s="85" t="s">
        <v>3296</v>
      </c>
      <c r="C35" s="92">
        <v>1</v>
      </c>
      <c r="D35" s="92">
        <v>0.929</v>
      </c>
      <c r="E35" s="93" t="s">
        <v>3297</v>
      </c>
    </row>
    <row r="36" ht="25.5" spans="1:11">
      <c r="A36" s="85" t="s">
        <v>3298</v>
      </c>
      <c r="B36" s="85" t="s">
        <v>3296</v>
      </c>
      <c r="C36" s="92">
        <v>1</v>
      </c>
      <c r="D36" s="92">
        <v>1</v>
      </c>
      <c r="E36" s="93" t="s">
        <v>3299</v>
      </c>
    </row>
    <row r="37" ht="25.5" spans="1:11">
      <c r="A37" s="85" t="s">
        <v>3300</v>
      </c>
      <c r="B37" s="85" t="s">
        <v>3296</v>
      </c>
      <c r="C37" s="92">
        <v>0.895</v>
      </c>
      <c r="D37" s="92">
        <v>1</v>
      </c>
      <c r="E37" s="93" t="s">
        <v>3301</v>
      </c>
    </row>
    <row r="38" ht="25.5" spans="1:11">
      <c r="A38" s="85" t="s">
        <v>3302</v>
      </c>
      <c r="B38" s="85" t="s">
        <v>3303</v>
      </c>
      <c r="C38" s="92">
        <v>0.539</v>
      </c>
      <c r="D38" s="92">
        <v>0.458</v>
      </c>
      <c r="E38" s="93" t="s">
        <v>3304</v>
      </c>
    </row>
    <row r="39" ht="25.5" spans="1:11">
      <c r="A39" s="85" t="s">
        <v>3305</v>
      </c>
      <c r="B39" s="85" t="s">
        <v>3303</v>
      </c>
      <c r="C39" s="92">
        <v>0.397</v>
      </c>
      <c r="D39" s="92">
        <v>0.329</v>
      </c>
      <c r="E39" s="93" t="s">
        <v>3306</v>
      </c>
    </row>
    <row r="40" ht="30" spans="1:11">
      <c r="A40" s="80" t="s">
        <v>1365</v>
      </c>
      <c r="B40" s="80" t="s">
        <v>7</v>
      </c>
      <c r="C40" s="94">
        <v>0.448</v>
      </c>
      <c r="D40" s="94">
        <v>0.4</v>
      </c>
      <c r="E40" s="80" t="s">
        <v>7</v>
      </c>
    </row>
    <row r="41" ht="45" customHeight="1" spans="1:11">
      <c r="A41" s="95" t="s">
        <v>1366</v>
      </c>
      <c r="B41" s="16"/>
      <c r="C41" s="16"/>
      <c r="D41" s="16"/>
      <c r="E41" s="17"/>
    </row>
    <row r="45" spans="1:11">
      <c r="A45" s="96" t="s">
        <v>1367</v>
      </c>
      <c r="B45" s="91"/>
      <c r="C45" s="91"/>
      <c r="D45" s="91"/>
      <c r="E45" s="91"/>
      <c r="F45" s="91"/>
      <c r="G45" s="91"/>
      <c r="H45" s="91"/>
      <c r="I45" s="91"/>
      <c r="J45" s="91"/>
      <c r="K45" s="82"/>
    </row>
    <row r="46" ht="33" spans="1:11">
      <c r="A46" s="97" t="s">
        <v>1368</v>
      </c>
      <c r="B46" s="97" t="s">
        <v>1369</v>
      </c>
      <c r="C46" s="97" t="s">
        <v>1370</v>
      </c>
      <c r="D46" s="97" t="s">
        <v>1371</v>
      </c>
      <c r="E46" s="97" t="s">
        <v>1372</v>
      </c>
      <c r="F46" s="97" t="s">
        <v>1373</v>
      </c>
      <c r="G46" s="97" t="s">
        <v>1374</v>
      </c>
      <c r="H46" s="97" t="s">
        <v>1375</v>
      </c>
      <c r="I46" s="97" t="s">
        <v>1376</v>
      </c>
      <c r="J46" s="97" t="s">
        <v>1377</v>
      </c>
      <c r="K46" s="97" t="s">
        <v>1378</v>
      </c>
    </row>
    <row r="47" spans="1:11">
      <c r="A47" s="98" t="s">
        <v>3263</v>
      </c>
      <c r="B47" s="99"/>
      <c r="C47" s="99"/>
      <c r="D47" s="99"/>
      <c r="E47" s="99"/>
      <c r="F47" s="99"/>
      <c r="G47" s="99"/>
      <c r="H47" s="99"/>
      <c r="I47" s="99"/>
      <c r="J47" s="99"/>
      <c r="K47" s="100"/>
    </row>
    <row r="48" ht="60" customHeight="1" spans="1:11">
      <c r="A48" s="101" t="s">
        <v>3307</v>
      </c>
      <c r="B48" s="101" t="s">
        <v>3263</v>
      </c>
      <c r="C48" s="101" t="s">
        <v>3308</v>
      </c>
      <c r="D48" s="101" t="s">
        <v>3267</v>
      </c>
      <c r="E48" s="102" t="s">
        <v>7</v>
      </c>
      <c r="F48" s="101" t="s">
        <v>3309</v>
      </c>
      <c r="G48" s="101" t="s">
        <v>428</v>
      </c>
      <c r="H48" s="101" t="s">
        <v>3310</v>
      </c>
      <c r="I48" s="101" t="s">
        <v>3311</v>
      </c>
      <c r="J48" s="102" t="s">
        <v>1385</v>
      </c>
      <c r="K48" s="101" t="s">
        <v>1386</v>
      </c>
    </row>
    <row r="49" spans="1:11">
      <c r="A49" s="160" t="s">
        <v>3312</v>
      </c>
      <c r="B49" s="99"/>
      <c r="C49" s="99"/>
      <c r="D49" s="99"/>
      <c r="E49" s="99"/>
      <c r="F49" s="99"/>
      <c r="G49" s="99"/>
      <c r="H49" s="99"/>
      <c r="I49" s="99"/>
      <c r="J49" s="99"/>
      <c r="K49" s="100"/>
    </row>
    <row r="50" ht="75" customHeight="1" spans="1:11">
      <c r="A50" s="101" t="s">
        <v>3313</v>
      </c>
      <c r="B50" s="101" t="s">
        <v>3312</v>
      </c>
      <c r="C50" s="101" t="s">
        <v>3308</v>
      </c>
      <c r="D50" s="101" t="s">
        <v>3314</v>
      </c>
      <c r="E50" s="102" t="s">
        <v>7</v>
      </c>
      <c r="F50" s="101" t="s">
        <v>3315</v>
      </c>
      <c r="G50" s="101" t="s">
        <v>428</v>
      </c>
      <c r="H50" s="101" t="s">
        <v>3316</v>
      </c>
      <c r="I50" s="101" t="s">
        <v>3317</v>
      </c>
      <c r="J50" s="102" t="s">
        <v>1385</v>
      </c>
      <c r="K50" s="101" t="s">
        <v>1386</v>
      </c>
    </row>
    <row r="51" spans="1:11">
      <c r="A51" s="98" t="s">
        <v>3263</v>
      </c>
      <c r="B51" s="99"/>
      <c r="C51" s="99"/>
      <c r="D51" s="99"/>
      <c r="E51" s="99"/>
      <c r="F51" s="99"/>
      <c r="G51" s="99"/>
      <c r="H51" s="99"/>
      <c r="I51" s="99"/>
      <c r="J51" s="99"/>
      <c r="K51" s="100"/>
    </row>
    <row r="52" ht="105" customHeight="1" spans="1:11">
      <c r="A52" s="101" t="s">
        <v>3318</v>
      </c>
      <c r="B52" s="101" t="s">
        <v>3263</v>
      </c>
      <c r="C52" s="101" t="s">
        <v>3308</v>
      </c>
      <c r="D52" s="101" t="s">
        <v>3319</v>
      </c>
      <c r="E52" s="102" t="s">
        <v>7</v>
      </c>
      <c r="F52" s="101" t="s">
        <v>3320</v>
      </c>
      <c r="G52" s="101" t="s">
        <v>428</v>
      </c>
      <c r="H52" s="101" t="s">
        <v>3321</v>
      </c>
      <c r="I52" s="101" t="s">
        <v>3322</v>
      </c>
      <c r="J52" s="102" t="s">
        <v>1385</v>
      </c>
      <c r="K52" s="101" t="s">
        <v>1386</v>
      </c>
    </row>
    <row r="53" spans="1:11">
      <c r="A53" s="98" t="s">
        <v>3269</v>
      </c>
      <c r="B53" s="99"/>
      <c r="C53" s="99"/>
      <c r="D53" s="99"/>
      <c r="E53" s="99"/>
      <c r="F53" s="99"/>
      <c r="G53" s="99"/>
      <c r="H53" s="99"/>
      <c r="I53" s="99"/>
      <c r="J53" s="99"/>
      <c r="K53" s="100"/>
    </row>
    <row r="54" ht="90" customHeight="1" spans="1:11">
      <c r="A54" s="101" t="s">
        <v>3323</v>
      </c>
      <c r="B54" s="101" t="s">
        <v>3269</v>
      </c>
      <c r="C54" s="101" t="s">
        <v>3324</v>
      </c>
      <c r="D54" s="101" t="s">
        <v>3270</v>
      </c>
      <c r="E54" s="102" t="s">
        <v>7</v>
      </c>
      <c r="F54" s="101" t="s">
        <v>3325</v>
      </c>
      <c r="G54" s="101" t="s">
        <v>3326</v>
      </c>
      <c r="H54" s="101" t="s">
        <v>3327</v>
      </c>
      <c r="I54" s="101" t="s">
        <v>3328</v>
      </c>
      <c r="J54" s="102" t="s">
        <v>1385</v>
      </c>
      <c r="K54" s="101" t="s">
        <v>1386</v>
      </c>
    </row>
    <row r="55" spans="1:11">
      <c r="A55" s="98" t="s">
        <v>3272</v>
      </c>
      <c r="B55" s="99"/>
      <c r="C55" s="99"/>
      <c r="D55" s="99"/>
      <c r="E55" s="99"/>
      <c r="F55" s="99"/>
      <c r="G55" s="99"/>
      <c r="H55" s="99"/>
      <c r="I55" s="99"/>
      <c r="J55" s="99"/>
      <c r="K55" s="100"/>
    </row>
    <row r="56" ht="45" customHeight="1" spans="1:11">
      <c r="A56" s="101" t="s">
        <v>3329</v>
      </c>
      <c r="B56" s="101" t="s">
        <v>3272</v>
      </c>
      <c r="C56" s="101" t="s">
        <v>3330</v>
      </c>
      <c r="D56" s="101" t="s">
        <v>3331</v>
      </c>
      <c r="E56" s="102" t="s">
        <v>7</v>
      </c>
      <c r="F56" s="101" t="s">
        <v>3332</v>
      </c>
      <c r="G56" s="101" t="s">
        <v>3333</v>
      </c>
      <c r="H56" s="101" t="s">
        <v>3334</v>
      </c>
      <c r="I56" s="101" t="s">
        <v>3335</v>
      </c>
      <c r="J56" s="102" t="s">
        <v>1385</v>
      </c>
      <c r="K56" s="101" t="s">
        <v>1404</v>
      </c>
    </row>
    <row r="57" ht="45" customHeight="1" spans="1:11">
      <c r="A57" s="101" t="s">
        <v>3336</v>
      </c>
      <c r="B57" s="101" t="s">
        <v>3272</v>
      </c>
      <c r="C57" s="101" t="s">
        <v>3330</v>
      </c>
      <c r="D57" s="101" t="s">
        <v>3331</v>
      </c>
      <c r="E57" s="102" t="s">
        <v>7</v>
      </c>
      <c r="F57" s="101" t="s">
        <v>3337</v>
      </c>
      <c r="G57" s="101" t="s">
        <v>3338</v>
      </c>
      <c r="H57" s="101" t="s">
        <v>3339</v>
      </c>
      <c r="I57" s="101" t="s">
        <v>3340</v>
      </c>
      <c r="J57" s="102" t="s">
        <v>1385</v>
      </c>
      <c r="K57" s="101" t="s">
        <v>1404</v>
      </c>
    </row>
    <row r="58" ht="60" customHeight="1" spans="1:11">
      <c r="A58" s="101" t="s">
        <v>3341</v>
      </c>
      <c r="B58" s="101" t="s">
        <v>3272</v>
      </c>
      <c r="C58" s="101" t="s">
        <v>3330</v>
      </c>
      <c r="D58" s="101" t="s">
        <v>3342</v>
      </c>
      <c r="E58" s="102" t="s">
        <v>7</v>
      </c>
      <c r="F58" s="101" t="s">
        <v>3343</v>
      </c>
      <c r="G58" s="101" t="s">
        <v>3344</v>
      </c>
      <c r="H58" s="101" t="s">
        <v>3345</v>
      </c>
      <c r="I58" s="101" t="s">
        <v>3346</v>
      </c>
      <c r="J58" s="102" t="s">
        <v>1385</v>
      </c>
      <c r="K58" s="101" t="s">
        <v>1404</v>
      </c>
    </row>
    <row r="59" spans="1:11">
      <c r="A59" s="98" t="s">
        <v>3275</v>
      </c>
      <c r="B59" s="99"/>
      <c r="C59" s="99"/>
      <c r="D59" s="99"/>
      <c r="E59" s="99"/>
      <c r="F59" s="99"/>
      <c r="G59" s="99"/>
      <c r="H59" s="99"/>
      <c r="I59" s="99"/>
      <c r="J59" s="99"/>
      <c r="K59" s="100"/>
    </row>
    <row r="60" ht="45" customHeight="1" spans="1:11">
      <c r="A60" s="101" t="s">
        <v>3347</v>
      </c>
      <c r="B60" s="101" t="s">
        <v>3275</v>
      </c>
      <c r="C60" s="101" t="s">
        <v>3348</v>
      </c>
      <c r="D60" s="101" t="s">
        <v>3349</v>
      </c>
      <c r="E60" s="102" t="s">
        <v>7</v>
      </c>
      <c r="F60" s="101" t="s">
        <v>3350</v>
      </c>
      <c r="G60" s="101" t="s">
        <v>3351</v>
      </c>
      <c r="H60" s="101" t="s">
        <v>3352</v>
      </c>
      <c r="I60" s="101" t="s">
        <v>3353</v>
      </c>
      <c r="J60" s="102" t="s">
        <v>1385</v>
      </c>
      <c r="K60" s="101" t="s">
        <v>1404</v>
      </c>
    </row>
    <row r="61" ht="45" customHeight="1" spans="1:11">
      <c r="A61" s="101" t="s">
        <v>3354</v>
      </c>
      <c r="B61" s="101" t="s">
        <v>3275</v>
      </c>
      <c r="C61" s="101" t="s">
        <v>3348</v>
      </c>
      <c r="D61" s="101" t="s">
        <v>3349</v>
      </c>
      <c r="E61" s="102" t="s">
        <v>7</v>
      </c>
      <c r="F61" s="101" t="s">
        <v>3355</v>
      </c>
      <c r="G61" s="101" t="s">
        <v>3356</v>
      </c>
      <c r="H61" s="101" t="s">
        <v>3357</v>
      </c>
      <c r="I61" s="101" t="s">
        <v>3358</v>
      </c>
      <c r="J61" s="102" t="s">
        <v>1385</v>
      </c>
      <c r="K61" s="101" t="s">
        <v>1404</v>
      </c>
    </row>
    <row r="62" ht="45" customHeight="1" spans="1:11">
      <c r="A62" s="101" t="s">
        <v>3359</v>
      </c>
      <c r="B62" s="101" t="s">
        <v>3275</v>
      </c>
      <c r="C62" s="101" t="s">
        <v>3348</v>
      </c>
      <c r="D62" s="101" t="s">
        <v>3349</v>
      </c>
      <c r="E62" s="102" t="s">
        <v>7</v>
      </c>
      <c r="F62" s="101" t="s">
        <v>3360</v>
      </c>
      <c r="G62" s="101" t="s">
        <v>3361</v>
      </c>
      <c r="H62" s="101" t="s">
        <v>3362</v>
      </c>
      <c r="I62" s="101" t="s">
        <v>3363</v>
      </c>
      <c r="J62" s="102" t="s">
        <v>1385</v>
      </c>
      <c r="K62" s="101" t="s">
        <v>1404</v>
      </c>
    </row>
    <row r="63" ht="45" customHeight="1" spans="1:11">
      <c r="A63" s="101" t="s">
        <v>3364</v>
      </c>
      <c r="B63" s="101" t="s">
        <v>3275</v>
      </c>
      <c r="C63" s="101" t="s">
        <v>3348</v>
      </c>
      <c r="D63" s="101" t="s">
        <v>3349</v>
      </c>
      <c r="E63" s="102" t="s">
        <v>7</v>
      </c>
      <c r="F63" s="101" t="s">
        <v>3365</v>
      </c>
      <c r="G63" s="101" t="s">
        <v>3366</v>
      </c>
      <c r="H63" s="101" t="s">
        <v>3367</v>
      </c>
      <c r="I63" s="101" t="s">
        <v>3368</v>
      </c>
      <c r="J63" s="102" t="s">
        <v>1385</v>
      </c>
      <c r="K63" s="101" t="s">
        <v>1404</v>
      </c>
    </row>
    <row r="64" ht="75" customHeight="1" spans="1:11">
      <c r="A64" s="101" t="s">
        <v>3369</v>
      </c>
      <c r="B64" s="101" t="s">
        <v>3275</v>
      </c>
      <c r="C64" s="101" t="s">
        <v>3348</v>
      </c>
      <c r="D64" s="101" t="s">
        <v>3349</v>
      </c>
      <c r="E64" s="102" t="s">
        <v>7</v>
      </c>
      <c r="F64" s="101" t="s">
        <v>3370</v>
      </c>
      <c r="G64" s="101" t="s">
        <v>3371</v>
      </c>
      <c r="H64" s="101" t="s">
        <v>3372</v>
      </c>
      <c r="I64" s="101" t="s">
        <v>3373</v>
      </c>
      <c r="J64" s="102" t="s">
        <v>1385</v>
      </c>
      <c r="K64" s="101" t="s">
        <v>1404</v>
      </c>
    </row>
    <row r="65" ht="60" customHeight="1" spans="1:11">
      <c r="A65" s="101" t="s">
        <v>3374</v>
      </c>
      <c r="B65" s="101" t="s">
        <v>3275</v>
      </c>
      <c r="C65" s="101" t="s">
        <v>3348</v>
      </c>
      <c r="D65" s="101" t="s">
        <v>3375</v>
      </c>
      <c r="E65" s="102" t="s">
        <v>7</v>
      </c>
      <c r="F65" s="101" t="s">
        <v>3376</v>
      </c>
      <c r="G65" s="101" t="s">
        <v>3377</v>
      </c>
      <c r="H65" s="101" t="s">
        <v>3378</v>
      </c>
      <c r="I65" s="101" t="s">
        <v>3379</v>
      </c>
      <c r="J65" s="102" t="s">
        <v>1385</v>
      </c>
      <c r="K65" s="101" t="s">
        <v>1404</v>
      </c>
    </row>
    <row r="66" ht="45" customHeight="1" spans="1:11">
      <c r="A66" s="101" t="s">
        <v>3380</v>
      </c>
      <c r="B66" s="101" t="s">
        <v>3275</v>
      </c>
      <c r="C66" s="101" t="s">
        <v>3348</v>
      </c>
      <c r="D66" s="101" t="s">
        <v>3381</v>
      </c>
      <c r="E66" s="102" t="s">
        <v>7</v>
      </c>
      <c r="F66" s="101" t="s">
        <v>3382</v>
      </c>
      <c r="G66" s="101" t="s">
        <v>3383</v>
      </c>
      <c r="H66" s="101" t="s">
        <v>3384</v>
      </c>
      <c r="I66" s="101" t="s">
        <v>3385</v>
      </c>
      <c r="J66" s="102" t="s">
        <v>1385</v>
      </c>
      <c r="K66" s="101" t="s">
        <v>1404</v>
      </c>
    </row>
    <row r="67" ht="60" customHeight="1" spans="1:11">
      <c r="A67" s="101" t="s">
        <v>3386</v>
      </c>
      <c r="B67" s="101" t="s">
        <v>3275</v>
      </c>
      <c r="C67" s="101" t="s">
        <v>3348</v>
      </c>
      <c r="D67" s="101" t="s">
        <v>3381</v>
      </c>
      <c r="E67" s="102" t="s">
        <v>7</v>
      </c>
      <c r="F67" s="101" t="s">
        <v>3387</v>
      </c>
      <c r="G67" s="101" t="s">
        <v>3388</v>
      </c>
      <c r="H67" s="101" t="s">
        <v>3389</v>
      </c>
      <c r="I67" s="101" t="s">
        <v>3390</v>
      </c>
      <c r="J67" s="102" t="s">
        <v>1385</v>
      </c>
      <c r="K67" s="101" t="s">
        <v>1404</v>
      </c>
    </row>
    <row r="68" ht="45" customHeight="1" spans="1:11">
      <c r="A68" s="101" t="s">
        <v>3391</v>
      </c>
      <c r="B68" s="101" t="s">
        <v>3275</v>
      </c>
      <c r="C68" s="101" t="s">
        <v>3348</v>
      </c>
      <c r="D68" s="101" t="s">
        <v>3392</v>
      </c>
      <c r="E68" s="102" t="s">
        <v>7</v>
      </c>
      <c r="F68" s="101" t="s">
        <v>3393</v>
      </c>
      <c r="G68" s="101" t="s">
        <v>3394</v>
      </c>
      <c r="H68" s="101" t="s">
        <v>3395</v>
      </c>
      <c r="I68" s="101" t="s">
        <v>3396</v>
      </c>
      <c r="J68" s="102" t="s">
        <v>1385</v>
      </c>
      <c r="K68" s="101" t="s">
        <v>1404</v>
      </c>
    </row>
    <row r="69" ht="60" customHeight="1" spans="1:11">
      <c r="A69" s="101" t="s">
        <v>3397</v>
      </c>
      <c r="B69" s="101" t="s">
        <v>3275</v>
      </c>
      <c r="C69" s="101" t="s">
        <v>3348</v>
      </c>
      <c r="D69" s="101" t="s">
        <v>3392</v>
      </c>
      <c r="E69" s="102" t="s">
        <v>7</v>
      </c>
      <c r="F69" s="101" t="s">
        <v>3398</v>
      </c>
      <c r="G69" s="101" t="s">
        <v>3399</v>
      </c>
      <c r="H69" s="101" t="s">
        <v>3400</v>
      </c>
      <c r="I69" s="101" t="s">
        <v>3401</v>
      </c>
      <c r="J69" s="102" t="s">
        <v>1385</v>
      </c>
      <c r="K69" s="101" t="s">
        <v>1404</v>
      </c>
    </row>
    <row r="70" ht="60" customHeight="1" spans="1:11">
      <c r="A70" s="101" t="s">
        <v>3402</v>
      </c>
      <c r="B70" s="101" t="s">
        <v>3275</v>
      </c>
      <c r="C70" s="101" t="s">
        <v>3348</v>
      </c>
      <c r="D70" s="101" t="s">
        <v>3392</v>
      </c>
      <c r="E70" s="102" t="s">
        <v>7</v>
      </c>
      <c r="F70" s="101" t="s">
        <v>3403</v>
      </c>
      <c r="G70" s="101" t="s">
        <v>3404</v>
      </c>
      <c r="H70" s="101" t="s">
        <v>3405</v>
      </c>
      <c r="I70" s="101" t="s">
        <v>3406</v>
      </c>
      <c r="J70" s="102" t="s">
        <v>1385</v>
      </c>
      <c r="K70" s="101" t="s">
        <v>1404</v>
      </c>
    </row>
    <row r="71" ht="60" customHeight="1" spans="1:11">
      <c r="A71" s="101" t="s">
        <v>3407</v>
      </c>
      <c r="B71" s="101" t="s">
        <v>3275</v>
      </c>
      <c r="C71" s="101" t="s">
        <v>3348</v>
      </c>
      <c r="D71" s="101" t="s">
        <v>3408</v>
      </c>
      <c r="E71" s="102" t="s">
        <v>7</v>
      </c>
      <c r="F71" s="101" t="s">
        <v>3409</v>
      </c>
      <c r="G71" s="101" t="s">
        <v>3410</v>
      </c>
      <c r="H71" s="101" t="s">
        <v>3411</v>
      </c>
      <c r="I71" s="101" t="s">
        <v>3412</v>
      </c>
      <c r="J71" s="102" t="s">
        <v>1385</v>
      </c>
      <c r="K71" s="101" t="s">
        <v>1404</v>
      </c>
    </row>
    <row r="72" ht="45" customHeight="1" spans="1:11">
      <c r="A72" s="101" t="s">
        <v>3413</v>
      </c>
      <c r="B72" s="101" t="s">
        <v>3275</v>
      </c>
      <c r="C72" s="101" t="s">
        <v>3348</v>
      </c>
      <c r="D72" s="101" t="s">
        <v>3414</v>
      </c>
      <c r="E72" s="102" t="s">
        <v>7</v>
      </c>
      <c r="F72" s="101" t="s">
        <v>3415</v>
      </c>
      <c r="G72" s="101" t="s">
        <v>3416</v>
      </c>
      <c r="H72" s="101" t="s">
        <v>3417</v>
      </c>
      <c r="I72" s="101" t="s">
        <v>3418</v>
      </c>
      <c r="J72" s="102" t="s">
        <v>1385</v>
      </c>
      <c r="K72" s="101" t="s">
        <v>1404</v>
      </c>
    </row>
    <row r="73" ht="60" customHeight="1" spans="1:11">
      <c r="A73" s="101" t="s">
        <v>3419</v>
      </c>
      <c r="B73" s="101" t="s">
        <v>3275</v>
      </c>
      <c r="C73" s="101" t="s">
        <v>3348</v>
      </c>
      <c r="D73" s="101" t="s">
        <v>3414</v>
      </c>
      <c r="E73" s="102" t="s">
        <v>7</v>
      </c>
      <c r="F73" s="101" t="s">
        <v>3420</v>
      </c>
      <c r="G73" s="101" t="s">
        <v>3421</v>
      </c>
      <c r="H73" s="101" t="s">
        <v>3422</v>
      </c>
      <c r="I73" s="101" t="s">
        <v>3423</v>
      </c>
      <c r="J73" s="102" t="s">
        <v>1385</v>
      </c>
      <c r="K73" s="101" t="s">
        <v>1404</v>
      </c>
    </row>
    <row r="74" ht="45" customHeight="1" spans="1:11">
      <c r="A74" s="101" t="s">
        <v>3424</v>
      </c>
      <c r="B74" s="101" t="s">
        <v>3275</v>
      </c>
      <c r="C74" s="101" t="s">
        <v>3348</v>
      </c>
      <c r="D74" s="101" t="s">
        <v>3425</v>
      </c>
      <c r="E74" s="102" t="s">
        <v>7</v>
      </c>
      <c r="F74" s="101" t="s">
        <v>3426</v>
      </c>
      <c r="G74" s="101" t="s">
        <v>3427</v>
      </c>
      <c r="H74" s="101" t="s">
        <v>3428</v>
      </c>
      <c r="I74" s="101" t="s">
        <v>3429</v>
      </c>
      <c r="J74" s="102" t="s">
        <v>1385</v>
      </c>
      <c r="K74" s="101" t="s">
        <v>1404</v>
      </c>
    </row>
    <row r="75" spans="1:11">
      <c r="A75" s="98" t="s">
        <v>3263</v>
      </c>
      <c r="B75" s="99"/>
      <c r="C75" s="99"/>
      <c r="D75" s="99"/>
      <c r="E75" s="99"/>
      <c r="F75" s="99"/>
      <c r="G75" s="99"/>
      <c r="H75" s="99"/>
      <c r="I75" s="99"/>
      <c r="J75" s="99"/>
      <c r="K75" s="100"/>
    </row>
    <row r="76" ht="45" customHeight="1" spans="1:11">
      <c r="A76" s="101" t="s">
        <v>3430</v>
      </c>
      <c r="B76" s="101" t="s">
        <v>3263</v>
      </c>
      <c r="C76" s="101" t="s">
        <v>3431</v>
      </c>
      <c r="D76" s="101" t="s">
        <v>3267</v>
      </c>
      <c r="E76" s="102" t="s">
        <v>7</v>
      </c>
      <c r="F76" s="101" t="s">
        <v>3432</v>
      </c>
      <c r="G76" s="101" t="s">
        <v>428</v>
      </c>
      <c r="H76" s="101" t="s">
        <v>3433</v>
      </c>
      <c r="I76" s="101" t="s">
        <v>3434</v>
      </c>
      <c r="J76" s="102" t="s">
        <v>1508</v>
      </c>
      <c r="K76" s="101" t="s">
        <v>1386</v>
      </c>
    </row>
    <row r="77" spans="1:11">
      <c r="A77" s="98" t="s">
        <v>3275</v>
      </c>
      <c r="B77" s="99"/>
      <c r="C77" s="99"/>
      <c r="D77" s="99"/>
      <c r="E77" s="99"/>
      <c r="F77" s="99"/>
      <c r="G77" s="99"/>
      <c r="H77" s="99"/>
      <c r="I77" s="99"/>
      <c r="J77" s="99"/>
      <c r="K77" s="100"/>
    </row>
    <row r="78" ht="45" customHeight="1" spans="1:11">
      <c r="A78" s="101" t="s">
        <v>3435</v>
      </c>
      <c r="B78" s="101" t="s">
        <v>3275</v>
      </c>
      <c r="C78" s="101" t="s">
        <v>3436</v>
      </c>
      <c r="D78" s="101" t="s">
        <v>3414</v>
      </c>
      <c r="E78" s="102" t="s">
        <v>7</v>
      </c>
      <c r="F78" s="101" t="s">
        <v>3437</v>
      </c>
      <c r="G78" s="101" t="s">
        <v>3438</v>
      </c>
      <c r="H78" s="101" t="s">
        <v>3439</v>
      </c>
      <c r="I78" s="101" t="s">
        <v>3440</v>
      </c>
      <c r="J78" s="102" t="s">
        <v>1508</v>
      </c>
      <c r="K78" s="101" t="s">
        <v>1404</v>
      </c>
    </row>
    <row r="79" spans="1:11">
      <c r="A79" s="98" t="s">
        <v>1325</v>
      </c>
      <c r="B79" s="99"/>
      <c r="C79" s="99"/>
      <c r="D79" s="99"/>
      <c r="E79" s="99"/>
      <c r="F79" s="99"/>
      <c r="G79" s="99"/>
      <c r="H79" s="99"/>
      <c r="I79" s="99"/>
      <c r="J79" s="99"/>
      <c r="K79" s="100"/>
    </row>
    <row r="80" ht="45" customHeight="1" spans="1:11">
      <c r="A80" s="101" t="s">
        <v>3441</v>
      </c>
      <c r="B80" s="101" t="s">
        <v>1325</v>
      </c>
      <c r="C80" s="101" t="s">
        <v>3442</v>
      </c>
      <c r="D80" s="101" t="s">
        <v>1521</v>
      </c>
      <c r="E80" s="102" t="s">
        <v>7</v>
      </c>
      <c r="F80" s="101" t="s">
        <v>3443</v>
      </c>
      <c r="G80" s="101" t="s">
        <v>1523</v>
      </c>
      <c r="H80" s="101" t="s">
        <v>3444</v>
      </c>
      <c r="I80" s="101" t="s">
        <v>1525</v>
      </c>
      <c r="J80" s="102" t="s">
        <v>1508</v>
      </c>
      <c r="K80" s="101" t="s">
        <v>1386</v>
      </c>
    </row>
    <row r="82" spans="1:11">
      <c r="A82" s="80" t="s">
        <v>1526</v>
      </c>
      <c r="B82" s="103">
        <f>COUNTIF(J47:J80,"PASS")+COUNTIF(J47:J80,"FAIL")</f>
        <v>25</v>
      </c>
    </row>
    <row r="83" spans="1:11">
      <c r="A83" s="80" t="s">
        <v>1385</v>
      </c>
      <c r="B83" s="103">
        <f>COUNTIF(J47:J80,"PASS")</f>
        <v>22</v>
      </c>
    </row>
    <row r="84" spans="1:11">
      <c r="A84" s="80" t="s">
        <v>1508</v>
      </c>
      <c r="B84" s="103">
        <f>COUNTIF(J47:J80,"FAIL")</f>
        <v>3</v>
      </c>
    </row>
    <row r="85" spans="1:11">
      <c r="A85" s="80" t="s">
        <v>1527</v>
      </c>
      <c r="B85" s="104">
        <f>IFERROR(B83/B82,0)</f>
        <v>0.88</v>
      </c>
    </row>
    <row r="87" spans="1:11">
      <c r="A87" s="105" t="s">
        <v>1528</v>
      </c>
      <c r="B87" s="16"/>
      <c r="C87" s="16"/>
      <c r="D87" s="16"/>
      <c r="E87" s="16"/>
      <c r="F87" s="16"/>
      <c r="G87" s="16"/>
      <c r="H87" s="16"/>
      <c r="I87" s="16"/>
      <c r="J87" s="16"/>
      <c r="K87" s="17"/>
    </row>
    <row r="88" ht="16.5" spans="1:11">
      <c r="A88" s="106" t="s">
        <v>1368</v>
      </c>
      <c r="B88" s="106" t="s">
        <v>1529</v>
      </c>
      <c r="C88" s="16"/>
      <c r="D88" s="16"/>
      <c r="E88" s="16"/>
      <c r="F88" s="16"/>
      <c r="G88" s="16"/>
      <c r="H88" s="17"/>
      <c r="I88" s="106" t="s">
        <v>1530</v>
      </c>
      <c r="J88" s="16"/>
      <c r="K88" s="17"/>
    </row>
    <row r="89" ht="45" customHeight="1" spans="1:11">
      <c r="A89" s="101" t="s">
        <v>3430</v>
      </c>
      <c r="B89" s="101" t="s">
        <v>3445</v>
      </c>
      <c r="C89" s="99"/>
      <c r="D89" s="99"/>
      <c r="E89" s="99"/>
      <c r="F89" s="99"/>
      <c r="G89" s="99"/>
      <c r="H89" s="100"/>
      <c r="I89" s="101" t="s">
        <v>3446</v>
      </c>
      <c r="J89" s="99"/>
      <c r="K89" s="100"/>
    </row>
    <row r="90" ht="30" customHeight="1" spans="1:11">
      <c r="A90" s="101" t="s">
        <v>3435</v>
      </c>
      <c r="B90" s="101" t="s">
        <v>3447</v>
      </c>
      <c r="C90" s="99"/>
      <c r="D90" s="99"/>
      <c r="E90" s="99"/>
      <c r="F90" s="99"/>
      <c r="G90" s="99"/>
      <c r="H90" s="100"/>
      <c r="I90" s="101" t="s">
        <v>3448</v>
      </c>
      <c r="J90" s="99"/>
      <c r="K90" s="100"/>
    </row>
    <row r="91" ht="30" customHeight="1" spans="1:11">
      <c r="A91" s="101" t="s">
        <v>3441</v>
      </c>
      <c r="B91" s="101" t="s">
        <v>3449</v>
      </c>
      <c r="C91" s="99"/>
      <c r="D91" s="99"/>
      <c r="E91" s="99"/>
      <c r="F91" s="99"/>
      <c r="G91" s="99"/>
      <c r="H91" s="100"/>
      <c r="I91" s="101" t="s">
        <v>3450</v>
      </c>
      <c r="J91" s="99"/>
      <c r="K91" s="100"/>
    </row>
  </sheetData>
  <mergeCells count="55">
    <mergeCell ref="A1:E1"/>
    <mergeCell ref="A2:E2"/>
    <mergeCell ref="A3:B3"/>
    <mergeCell ref="C3:E3"/>
    <mergeCell ref="A4:B4"/>
    <mergeCell ref="C4:E4"/>
    <mergeCell ref="A5:B5"/>
    <mergeCell ref="C5:E5"/>
    <mergeCell ref="A6:B6"/>
    <mergeCell ref="C6:E6"/>
    <mergeCell ref="A7:B7"/>
    <mergeCell ref="C7:E7"/>
    <mergeCell ref="A8:B8"/>
    <mergeCell ref="C8:E8"/>
    <mergeCell ref="A10:E10"/>
    <mergeCell ref="A11:E11"/>
    <mergeCell ref="C12:D12"/>
    <mergeCell ref="C13:D13"/>
    <mergeCell ref="C14:D14"/>
    <mergeCell ref="C15:D15"/>
    <mergeCell ref="C16:D16"/>
    <mergeCell ref="C17:D17"/>
    <mergeCell ref="C18:D18"/>
    <mergeCell ref="A20:E20"/>
    <mergeCell ref="C21:E21"/>
    <mergeCell ref="C22:E22"/>
    <mergeCell ref="C23:E23"/>
    <mergeCell ref="A25:E25"/>
    <mergeCell ref="C26:E26"/>
    <mergeCell ref="C27:E27"/>
    <mergeCell ref="C28:E28"/>
    <mergeCell ref="C29:E29"/>
    <mergeCell ref="C30:E30"/>
    <mergeCell ref="C31:E31"/>
    <mergeCell ref="A33:E33"/>
    <mergeCell ref="A41:E41"/>
    <mergeCell ref="A45:K45"/>
    <mergeCell ref="A47:K47"/>
    <mergeCell ref="A49:K49"/>
    <mergeCell ref="A51:K51"/>
    <mergeCell ref="A53:K53"/>
    <mergeCell ref="A55:K55"/>
    <mergeCell ref="A59:K59"/>
    <mergeCell ref="A75:K75"/>
    <mergeCell ref="A77:K77"/>
    <mergeCell ref="A79:K79"/>
    <mergeCell ref="A87:K87"/>
    <mergeCell ref="B88:H88"/>
    <mergeCell ref="I88:K88"/>
    <mergeCell ref="B89:H89"/>
    <mergeCell ref="I89:K89"/>
    <mergeCell ref="B90:H90"/>
    <mergeCell ref="I90:K90"/>
    <mergeCell ref="B91:H91"/>
    <mergeCell ref="I91:K91"/>
  </mergeCells>
  <conditionalFormatting sqref="J47:J80">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5"/>
  <sheetViews>
    <sheetView workbookViewId="0">
      <pane xSplit="1" ySplit="12" topLeftCell="B13" activePane="bottomRight" state="frozen"/>
      <selection/>
      <selection pane="topRight"/>
      <selection pane="bottomLeft"/>
      <selection pane="bottomRight" activeCell="A1" sqref="A1:J1"/>
    </sheetView>
  </sheetViews>
  <sheetFormatPr defaultColWidth="9" defaultRowHeight="15"/>
  <cols>
    <col min="1" max="1" width="15" customWidth="1"/>
    <col min="2" max="2" width="34" customWidth="1"/>
    <col min="3" max="3" width="9" customWidth="1"/>
    <col min="4" max="4" width="34" customWidth="1"/>
    <col min="5" max="5" width="24" customWidth="1"/>
    <col min="6" max="6" width="34" customWidth="1"/>
    <col min="7" max="7" width="30" customWidth="1"/>
    <col min="8" max="8" width="38" customWidth="1"/>
    <col min="9" max="9" width="11" customWidth="1"/>
    <col min="10" max="10" width="34" customWidth="1"/>
  </cols>
  <sheetData>
    <row r="1" ht="20.25" spans="1:10">
      <c r="A1" s="61" t="s">
        <v>1539</v>
      </c>
    </row>
    <row r="3" spans="1:10">
      <c r="A3" s="62" t="s">
        <v>1008</v>
      </c>
      <c r="B3" s="63" t="s">
        <v>227</v>
      </c>
      <c r="D3" s="62" t="s">
        <v>1540</v>
      </c>
      <c r="E3" s="63" t="s">
        <v>7</v>
      </c>
    </row>
    <row r="4" ht="30" spans="1:10">
      <c r="A4" s="62" t="s">
        <v>1541</v>
      </c>
      <c r="B4" s="64" t="s">
        <v>1542</v>
      </c>
      <c r="D4" s="62" t="s">
        <v>1543</v>
      </c>
      <c r="E4" s="63" t="s">
        <v>233</v>
      </c>
    </row>
    <row r="5" ht="30" spans="1:10">
      <c r="A5" s="62" t="s">
        <v>1544</v>
      </c>
      <c r="B5" s="63" t="s">
        <v>1545</v>
      </c>
      <c r="D5" s="62" t="s">
        <v>1546</v>
      </c>
      <c r="E5" s="63" t="s">
        <v>47</v>
      </c>
    </row>
    <row r="6" ht="45" spans="1:10">
      <c r="A6" s="62" t="s">
        <v>1547</v>
      </c>
      <c r="B6" s="63" t="s">
        <v>1548</v>
      </c>
      <c r="D6" s="62" t="s">
        <v>1549</v>
      </c>
      <c r="E6" s="64" t="s">
        <v>1550</v>
      </c>
    </row>
    <row r="8" ht="15.75" spans="1:10">
      <c r="A8" s="65" t="s">
        <v>1551</v>
      </c>
      <c r="B8" s="66"/>
      <c r="C8" s="66"/>
      <c r="D8" s="66"/>
      <c r="E8" s="66"/>
    </row>
    <row r="9" ht="28.5" spans="1:10">
      <c r="A9" s="67" t="s">
        <v>1552</v>
      </c>
      <c r="B9" s="67" t="s">
        <v>1553</v>
      </c>
      <c r="C9" s="67" t="s">
        <v>1554</v>
      </c>
      <c r="D9" s="67" t="s">
        <v>1555</v>
      </c>
      <c r="E9" s="67" t="s">
        <v>1556</v>
      </c>
    </row>
    <row r="10" spans="1:10">
      <c r="A10" s="68">
        <f>COUNTIF(I13:I65,"Pass")+COUNTIF(I13:I65,"Fail")</f>
        <v>35</v>
      </c>
      <c r="B10" s="68">
        <f>COUNTIF(I13:I65,"Pass")</f>
        <v>29</v>
      </c>
      <c r="C10" s="68">
        <f>COUNTIF(I13:I65,"Fail")</f>
        <v>6</v>
      </c>
      <c r="D10" s="69">
        <f>IFERROR(B10/A10,0)</f>
        <v>0.828571428571429</v>
      </c>
      <c r="E10" s="69">
        <f>IFERROR(C10/A10,0)</f>
        <v>0.171428571428571</v>
      </c>
    </row>
    <row r="12" ht="28.5" spans="1:10">
      <c r="A12" s="70" t="s">
        <v>1368</v>
      </c>
      <c r="B12" s="70" t="s">
        <v>1557</v>
      </c>
      <c r="C12" s="70" t="s">
        <v>1558</v>
      </c>
      <c r="D12" s="70" t="s">
        <v>1559</v>
      </c>
      <c r="E12" s="70" t="s">
        <v>1560</v>
      </c>
      <c r="F12" s="70" t="s">
        <v>1561</v>
      </c>
      <c r="G12" s="70" t="s">
        <v>1562</v>
      </c>
      <c r="H12" s="70" t="s">
        <v>1563</v>
      </c>
      <c r="I12" s="70" t="s">
        <v>1564</v>
      </c>
      <c r="J12" s="70" t="s">
        <v>1565</v>
      </c>
    </row>
    <row r="13" ht="15.75" spans="1:10">
      <c r="A13" s="71" t="s">
        <v>3451</v>
      </c>
      <c r="B13" s="48"/>
      <c r="C13" s="48"/>
      <c r="D13" s="48"/>
      <c r="E13" s="48"/>
      <c r="F13" s="48"/>
      <c r="G13" s="48"/>
      <c r="H13" s="48"/>
      <c r="I13" s="48"/>
      <c r="J13" s="32"/>
    </row>
    <row r="14" ht="45" customHeight="1" spans="1:10">
      <c r="A14" s="72" t="s">
        <v>3452</v>
      </c>
      <c r="B14" s="72" t="s">
        <v>3453</v>
      </c>
      <c r="C14" s="73" t="s">
        <v>1569</v>
      </c>
      <c r="D14" s="72" t="s">
        <v>3454</v>
      </c>
      <c r="E14" s="72" t="s">
        <v>1595</v>
      </c>
      <c r="F14" s="72" t="s">
        <v>3455</v>
      </c>
      <c r="G14" s="72" t="s">
        <v>3456</v>
      </c>
      <c r="H14" s="72" t="s">
        <v>3457</v>
      </c>
      <c r="I14" s="73" t="s">
        <v>1129</v>
      </c>
      <c r="J14" s="72" t="s">
        <v>7</v>
      </c>
    </row>
    <row r="15" ht="45" customHeight="1" spans="1:10">
      <c r="A15" s="72" t="s">
        <v>3458</v>
      </c>
      <c r="B15" s="72" t="s">
        <v>3453</v>
      </c>
      <c r="C15" s="73" t="s">
        <v>1569</v>
      </c>
      <c r="D15" s="72" t="s">
        <v>3459</v>
      </c>
      <c r="E15" s="72" t="s">
        <v>1595</v>
      </c>
      <c r="F15" s="72" t="s">
        <v>3460</v>
      </c>
      <c r="G15" s="72" t="s">
        <v>3461</v>
      </c>
      <c r="H15" s="72" t="s">
        <v>3462</v>
      </c>
      <c r="I15" s="73" t="s">
        <v>1129</v>
      </c>
      <c r="J15" s="72" t="s">
        <v>7</v>
      </c>
    </row>
    <row r="16" ht="45" customHeight="1" spans="1:10">
      <c r="A16" s="72" t="s">
        <v>3463</v>
      </c>
      <c r="B16" s="72" t="s">
        <v>3453</v>
      </c>
      <c r="C16" s="73" t="s">
        <v>1569</v>
      </c>
      <c r="D16" s="72" t="s">
        <v>3464</v>
      </c>
      <c r="E16" s="72" t="s">
        <v>1595</v>
      </c>
      <c r="F16" s="72" t="s">
        <v>3465</v>
      </c>
      <c r="G16" s="72" t="s">
        <v>3461</v>
      </c>
      <c r="H16" s="72" t="s">
        <v>3466</v>
      </c>
      <c r="I16" s="73" t="s">
        <v>1129</v>
      </c>
      <c r="J16" s="72" t="s">
        <v>7</v>
      </c>
    </row>
    <row r="17" ht="60" customHeight="1" spans="1:10">
      <c r="A17" s="72" t="s">
        <v>3467</v>
      </c>
      <c r="B17" s="72" t="s">
        <v>3453</v>
      </c>
      <c r="C17" s="73" t="s">
        <v>1569</v>
      </c>
      <c r="D17" s="72" t="s">
        <v>3468</v>
      </c>
      <c r="E17" s="72" t="s">
        <v>1595</v>
      </c>
      <c r="F17" s="72" t="s">
        <v>3469</v>
      </c>
      <c r="G17" s="72" t="s">
        <v>3470</v>
      </c>
      <c r="H17" s="72" t="s">
        <v>3471</v>
      </c>
      <c r="I17" s="73" t="s">
        <v>1129</v>
      </c>
      <c r="J17" s="72" t="s">
        <v>7</v>
      </c>
    </row>
    <row r="18" ht="45" customHeight="1" spans="1:10">
      <c r="A18" s="72" t="s">
        <v>3472</v>
      </c>
      <c r="B18" s="72" t="s">
        <v>3473</v>
      </c>
      <c r="C18" s="73" t="s">
        <v>1603</v>
      </c>
      <c r="D18" s="72" t="s">
        <v>3474</v>
      </c>
      <c r="E18" s="72" t="s">
        <v>1595</v>
      </c>
      <c r="F18" s="72" t="s">
        <v>1588</v>
      </c>
      <c r="G18" s="72" t="s">
        <v>3475</v>
      </c>
      <c r="H18" s="72" t="s">
        <v>3476</v>
      </c>
      <c r="I18" s="73" t="s">
        <v>1129</v>
      </c>
      <c r="J18" s="72" t="s">
        <v>7</v>
      </c>
    </row>
    <row r="19" ht="75" customHeight="1" spans="1:10">
      <c r="A19" s="72" t="s">
        <v>3477</v>
      </c>
      <c r="B19" s="72" t="s">
        <v>3478</v>
      </c>
      <c r="C19" s="73" t="s">
        <v>1603</v>
      </c>
      <c r="D19" s="72" t="s">
        <v>3479</v>
      </c>
      <c r="E19" s="72" t="s">
        <v>1595</v>
      </c>
      <c r="F19" s="72" t="s">
        <v>1588</v>
      </c>
      <c r="G19" s="72" t="s">
        <v>3480</v>
      </c>
      <c r="H19" s="72" t="s">
        <v>3481</v>
      </c>
      <c r="I19" s="73" t="s">
        <v>1130</v>
      </c>
      <c r="J19" s="72" t="s">
        <v>2655</v>
      </c>
    </row>
    <row r="20" ht="45" customHeight="1" spans="1:10">
      <c r="A20" s="72" t="s">
        <v>3482</v>
      </c>
      <c r="B20" s="72" t="s">
        <v>3483</v>
      </c>
      <c r="C20" s="73" t="s">
        <v>1650</v>
      </c>
      <c r="D20" s="72" t="s">
        <v>3484</v>
      </c>
      <c r="E20" s="72" t="s">
        <v>1595</v>
      </c>
      <c r="F20" s="72" t="s">
        <v>1588</v>
      </c>
      <c r="G20" s="72" t="s">
        <v>3485</v>
      </c>
      <c r="H20" s="72" t="s">
        <v>3486</v>
      </c>
      <c r="I20" s="73" t="s">
        <v>1129</v>
      </c>
      <c r="J20" s="72" t="s">
        <v>7</v>
      </c>
    </row>
    <row r="21" ht="15.75" spans="1:10">
      <c r="A21" s="71" t="s">
        <v>3487</v>
      </c>
      <c r="B21" s="48"/>
      <c r="C21" s="48"/>
      <c r="D21" s="48"/>
      <c r="E21" s="48"/>
      <c r="F21" s="48"/>
      <c r="G21" s="48"/>
      <c r="H21" s="48"/>
      <c r="I21" s="48"/>
      <c r="J21" s="32"/>
    </row>
    <row r="22" ht="45" customHeight="1" spans="1:10">
      <c r="A22" s="72" t="s">
        <v>3488</v>
      </c>
      <c r="B22" s="72" t="s">
        <v>3489</v>
      </c>
      <c r="C22" s="73" t="s">
        <v>1569</v>
      </c>
      <c r="D22" s="72" t="s">
        <v>3490</v>
      </c>
      <c r="E22" s="72" t="s">
        <v>1595</v>
      </c>
      <c r="F22" s="72" t="s">
        <v>3491</v>
      </c>
      <c r="G22" s="72" t="s">
        <v>3492</v>
      </c>
      <c r="H22" s="72" t="s">
        <v>3493</v>
      </c>
      <c r="I22" s="73" t="s">
        <v>1129</v>
      </c>
      <c r="J22" s="72" t="s">
        <v>7</v>
      </c>
    </row>
    <row r="23" ht="75" customHeight="1" spans="1:10">
      <c r="A23" s="72" t="s">
        <v>3494</v>
      </c>
      <c r="B23" s="72" t="s">
        <v>3489</v>
      </c>
      <c r="C23" s="73" t="s">
        <v>1569</v>
      </c>
      <c r="D23" s="72" t="s">
        <v>3495</v>
      </c>
      <c r="E23" s="72" t="s">
        <v>1595</v>
      </c>
      <c r="F23" s="72" t="s">
        <v>3491</v>
      </c>
      <c r="G23" s="72" t="s">
        <v>3496</v>
      </c>
      <c r="H23" s="72" t="s">
        <v>3497</v>
      </c>
      <c r="I23" s="73" t="s">
        <v>1129</v>
      </c>
      <c r="J23" s="72" t="s">
        <v>7</v>
      </c>
    </row>
    <row r="24" ht="45" customHeight="1" spans="1:10">
      <c r="A24" s="72" t="s">
        <v>3498</v>
      </c>
      <c r="B24" s="72" t="s">
        <v>3499</v>
      </c>
      <c r="C24" s="73" t="s">
        <v>1569</v>
      </c>
      <c r="D24" s="72" t="s">
        <v>3500</v>
      </c>
      <c r="E24" s="72" t="s">
        <v>1595</v>
      </c>
      <c r="F24" s="72" t="s">
        <v>3501</v>
      </c>
      <c r="G24" s="72" t="s">
        <v>3502</v>
      </c>
      <c r="H24" s="72" t="s">
        <v>3462</v>
      </c>
      <c r="I24" s="73" t="s">
        <v>1129</v>
      </c>
      <c r="J24" s="72" t="s">
        <v>7</v>
      </c>
    </row>
    <row r="25" ht="105" customHeight="1" spans="1:10">
      <c r="A25" s="72" t="s">
        <v>3503</v>
      </c>
      <c r="B25" s="72" t="s">
        <v>3499</v>
      </c>
      <c r="C25" s="73" t="s">
        <v>1569</v>
      </c>
      <c r="D25" s="72" t="s">
        <v>3504</v>
      </c>
      <c r="E25" s="72" t="s">
        <v>3505</v>
      </c>
      <c r="F25" s="72" t="s">
        <v>3506</v>
      </c>
      <c r="G25" s="72" t="s">
        <v>3507</v>
      </c>
      <c r="H25" s="72" t="s">
        <v>3508</v>
      </c>
      <c r="I25" s="73" t="s">
        <v>1129</v>
      </c>
      <c r="J25" s="72" t="s">
        <v>7</v>
      </c>
    </row>
    <row r="26" ht="105" customHeight="1" spans="1:10">
      <c r="A26" s="72" t="s">
        <v>3509</v>
      </c>
      <c r="B26" s="72" t="s">
        <v>3499</v>
      </c>
      <c r="C26" s="73" t="s">
        <v>1569</v>
      </c>
      <c r="D26" s="72" t="s">
        <v>3510</v>
      </c>
      <c r="E26" s="72" t="s">
        <v>3505</v>
      </c>
      <c r="F26" s="72" t="s">
        <v>3506</v>
      </c>
      <c r="G26" s="72" t="s">
        <v>3511</v>
      </c>
      <c r="H26" s="72" t="s">
        <v>3512</v>
      </c>
      <c r="I26" s="73" t="s">
        <v>1129</v>
      </c>
      <c r="J26" s="72" t="s">
        <v>7</v>
      </c>
    </row>
    <row r="27" ht="15.75" spans="1:10">
      <c r="A27" s="71" t="s">
        <v>3513</v>
      </c>
      <c r="B27" s="48"/>
      <c r="C27" s="48"/>
      <c r="D27" s="48"/>
      <c r="E27" s="48"/>
      <c r="F27" s="48"/>
      <c r="G27" s="48"/>
      <c r="H27" s="48"/>
      <c r="I27" s="48"/>
      <c r="J27" s="32"/>
    </row>
    <row r="28" ht="105" customHeight="1" spans="1:10">
      <c r="A28" s="72" t="s">
        <v>3514</v>
      </c>
      <c r="B28" s="72" t="s">
        <v>3515</v>
      </c>
      <c r="C28" s="73" t="s">
        <v>1585</v>
      </c>
      <c r="D28" s="72" t="s">
        <v>3516</v>
      </c>
      <c r="E28" s="72" t="s">
        <v>1595</v>
      </c>
      <c r="F28" s="72" t="s">
        <v>1588</v>
      </c>
      <c r="G28" s="72" t="s">
        <v>3517</v>
      </c>
      <c r="H28" s="72" t="s">
        <v>3518</v>
      </c>
      <c r="I28" s="73" t="s">
        <v>1129</v>
      </c>
      <c r="J28" s="72" t="s">
        <v>7</v>
      </c>
    </row>
    <row r="29" ht="15.75" spans="1:10">
      <c r="A29" s="71" t="s">
        <v>1729</v>
      </c>
      <c r="B29" s="48"/>
      <c r="C29" s="48"/>
      <c r="D29" s="48"/>
      <c r="E29" s="48"/>
      <c r="F29" s="48"/>
      <c r="G29" s="48"/>
      <c r="H29" s="48"/>
      <c r="I29" s="48"/>
      <c r="J29" s="32"/>
    </row>
    <row r="30" ht="75" customHeight="1" spans="1:10">
      <c r="A30" s="72" t="s">
        <v>3519</v>
      </c>
      <c r="B30" s="72" t="s">
        <v>3515</v>
      </c>
      <c r="C30" s="73" t="s">
        <v>1585</v>
      </c>
      <c r="D30" s="72" t="s">
        <v>3520</v>
      </c>
      <c r="E30" s="72" t="s">
        <v>1652</v>
      </c>
      <c r="F30" s="72" t="s">
        <v>1588</v>
      </c>
      <c r="G30" s="72" t="s">
        <v>1691</v>
      </c>
      <c r="H30" s="72" t="s">
        <v>3521</v>
      </c>
      <c r="I30" s="73" t="s">
        <v>1130</v>
      </c>
      <c r="J30" s="72" t="s">
        <v>3522</v>
      </c>
    </row>
    <row r="31" ht="15.75" spans="1:10">
      <c r="A31" s="71" t="s">
        <v>3523</v>
      </c>
      <c r="B31" s="48"/>
      <c r="C31" s="48"/>
      <c r="D31" s="48"/>
      <c r="E31" s="48"/>
      <c r="F31" s="48"/>
      <c r="G31" s="48"/>
      <c r="H31" s="48"/>
      <c r="I31" s="48"/>
      <c r="J31" s="32"/>
    </row>
    <row r="32" ht="105" customHeight="1" spans="1:10">
      <c r="A32" s="72" t="s">
        <v>3524</v>
      </c>
      <c r="B32" s="72" t="s">
        <v>3525</v>
      </c>
      <c r="C32" s="73" t="s">
        <v>1585</v>
      </c>
      <c r="D32" s="72" t="s">
        <v>3526</v>
      </c>
      <c r="E32" s="72" t="s">
        <v>1595</v>
      </c>
      <c r="F32" s="72" t="s">
        <v>1588</v>
      </c>
      <c r="G32" s="72" t="s">
        <v>3527</v>
      </c>
      <c r="H32" s="72" t="s">
        <v>3528</v>
      </c>
      <c r="I32" s="73" t="s">
        <v>1129</v>
      </c>
      <c r="J32" s="72" t="s">
        <v>7</v>
      </c>
    </row>
    <row r="33" ht="15.75" spans="1:10">
      <c r="A33" s="71" t="s">
        <v>1729</v>
      </c>
      <c r="B33" s="48"/>
      <c r="C33" s="48"/>
      <c r="D33" s="48"/>
      <c r="E33" s="48"/>
      <c r="F33" s="48"/>
      <c r="G33" s="48"/>
      <c r="H33" s="48"/>
      <c r="I33" s="48"/>
      <c r="J33" s="32"/>
    </row>
    <row r="34" ht="75" customHeight="1" spans="1:10">
      <c r="A34" s="72" t="s">
        <v>3529</v>
      </c>
      <c r="B34" s="72" t="s">
        <v>3530</v>
      </c>
      <c r="C34" s="73" t="s">
        <v>1569</v>
      </c>
      <c r="D34" s="72" t="s">
        <v>3531</v>
      </c>
      <c r="E34" s="72" t="s">
        <v>1652</v>
      </c>
      <c r="F34" s="72" t="s">
        <v>1588</v>
      </c>
      <c r="G34" s="72" t="s">
        <v>3532</v>
      </c>
      <c r="H34" s="72" t="s">
        <v>3533</v>
      </c>
      <c r="I34" s="73" t="s">
        <v>1130</v>
      </c>
      <c r="J34" s="72" t="s">
        <v>3522</v>
      </c>
    </row>
    <row r="35" ht="15.75" spans="1:10">
      <c r="A35" s="71" t="s">
        <v>1671</v>
      </c>
      <c r="B35" s="48"/>
      <c r="C35" s="48"/>
      <c r="D35" s="48"/>
      <c r="E35" s="48"/>
      <c r="F35" s="48"/>
      <c r="G35" s="48"/>
      <c r="H35" s="48"/>
      <c r="I35" s="48"/>
      <c r="J35" s="32"/>
    </row>
    <row r="36" ht="75" customHeight="1" spans="1:10">
      <c r="A36" s="72" t="s">
        <v>3534</v>
      </c>
      <c r="B36" s="72" t="s">
        <v>3535</v>
      </c>
      <c r="C36" s="73" t="s">
        <v>1603</v>
      </c>
      <c r="D36" s="72" t="s">
        <v>3536</v>
      </c>
      <c r="E36" s="72" t="s">
        <v>1595</v>
      </c>
      <c r="F36" s="72" t="s">
        <v>1588</v>
      </c>
      <c r="G36" s="72" t="s">
        <v>1691</v>
      </c>
      <c r="H36" s="72" t="s">
        <v>3537</v>
      </c>
      <c r="I36" s="73" t="s">
        <v>1130</v>
      </c>
      <c r="J36" s="72" t="s">
        <v>1693</v>
      </c>
    </row>
    <row r="37" ht="15.75" spans="1:10">
      <c r="A37" s="71" t="s">
        <v>3523</v>
      </c>
      <c r="B37" s="48"/>
      <c r="C37" s="48"/>
      <c r="D37" s="48"/>
      <c r="E37" s="48"/>
      <c r="F37" s="48"/>
      <c r="G37" s="48"/>
      <c r="H37" s="48"/>
      <c r="I37" s="48"/>
      <c r="J37" s="32"/>
    </row>
    <row r="38" ht="45" customHeight="1" spans="1:10">
      <c r="A38" s="72" t="s">
        <v>3538</v>
      </c>
      <c r="B38" s="72" t="s">
        <v>3539</v>
      </c>
      <c r="C38" s="73" t="s">
        <v>1585</v>
      </c>
      <c r="D38" s="72" t="s">
        <v>3540</v>
      </c>
      <c r="E38" s="72" t="s">
        <v>1595</v>
      </c>
      <c r="F38" s="72" t="s">
        <v>1588</v>
      </c>
      <c r="G38" s="72" t="s">
        <v>2638</v>
      </c>
      <c r="H38" s="72" t="s">
        <v>3541</v>
      </c>
      <c r="I38" s="73" t="s">
        <v>1129</v>
      </c>
      <c r="J38" s="72" t="s">
        <v>7</v>
      </c>
    </row>
    <row r="39" ht="15.75" spans="1:10">
      <c r="A39" s="71" t="s">
        <v>1729</v>
      </c>
      <c r="B39" s="48"/>
      <c r="C39" s="48"/>
      <c r="D39" s="48"/>
      <c r="E39" s="48"/>
      <c r="F39" s="48"/>
      <c r="G39" s="48"/>
      <c r="H39" s="48"/>
      <c r="I39" s="48"/>
      <c r="J39" s="32"/>
    </row>
    <row r="40" ht="105" customHeight="1" spans="1:10">
      <c r="A40" s="72" t="s">
        <v>3542</v>
      </c>
      <c r="B40" s="72" t="s">
        <v>3499</v>
      </c>
      <c r="C40" s="73" t="s">
        <v>1569</v>
      </c>
      <c r="D40" s="72" t="s">
        <v>3543</v>
      </c>
      <c r="E40" s="72" t="s">
        <v>3544</v>
      </c>
      <c r="F40" s="72" t="s">
        <v>3545</v>
      </c>
      <c r="G40" s="72" t="s">
        <v>3546</v>
      </c>
      <c r="H40" s="72" t="s">
        <v>3547</v>
      </c>
      <c r="I40" s="73" t="s">
        <v>1129</v>
      </c>
      <c r="J40" s="72" t="s">
        <v>7</v>
      </c>
    </row>
    <row r="41" ht="15.75" spans="1:10">
      <c r="A41" s="71" t="s">
        <v>3548</v>
      </c>
      <c r="B41" s="48"/>
      <c r="C41" s="48"/>
      <c r="D41" s="48"/>
      <c r="E41" s="48"/>
      <c r="F41" s="48"/>
      <c r="G41" s="48"/>
      <c r="H41" s="48"/>
      <c r="I41" s="48"/>
      <c r="J41" s="32"/>
    </row>
    <row r="42" ht="45" customHeight="1" spans="1:10">
      <c r="A42" s="72" t="s">
        <v>3549</v>
      </c>
      <c r="B42" s="72" t="s">
        <v>3550</v>
      </c>
      <c r="C42" s="73" t="s">
        <v>1569</v>
      </c>
      <c r="D42" s="72" t="s">
        <v>3551</v>
      </c>
      <c r="E42" s="72" t="s">
        <v>1652</v>
      </c>
      <c r="F42" s="72" t="s">
        <v>1588</v>
      </c>
      <c r="G42" s="72" t="s">
        <v>1669</v>
      </c>
      <c r="H42" s="72" t="s">
        <v>3552</v>
      </c>
      <c r="I42" s="73" t="s">
        <v>1129</v>
      </c>
      <c r="J42" s="72" t="s">
        <v>7</v>
      </c>
    </row>
    <row r="43" ht="105" customHeight="1" spans="1:10">
      <c r="A43" s="72" t="s">
        <v>3553</v>
      </c>
      <c r="B43" s="72" t="s">
        <v>3554</v>
      </c>
      <c r="C43" s="73" t="s">
        <v>1585</v>
      </c>
      <c r="D43" s="72" t="s">
        <v>3555</v>
      </c>
      <c r="E43" s="72" t="s">
        <v>1652</v>
      </c>
      <c r="F43" s="72" t="s">
        <v>1588</v>
      </c>
      <c r="G43" s="72" t="s">
        <v>3556</v>
      </c>
      <c r="H43" s="72" t="s">
        <v>3557</v>
      </c>
      <c r="I43" s="73" t="s">
        <v>1129</v>
      </c>
      <c r="J43" s="72" t="s">
        <v>7</v>
      </c>
    </row>
    <row r="44" ht="60" customHeight="1" spans="1:10">
      <c r="A44" s="72" t="s">
        <v>3558</v>
      </c>
      <c r="B44" s="72" t="s">
        <v>3550</v>
      </c>
      <c r="C44" s="73" t="s">
        <v>1569</v>
      </c>
      <c r="D44" s="72" t="s">
        <v>3559</v>
      </c>
      <c r="E44" s="72" t="s">
        <v>1652</v>
      </c>
      <c r="F44" s="72" t="s">
        <v>1588</v>
      </c>
      <c r="G44" s="72" t="s">
        <v>3560</v>
      </c>
      <c r="H44" s="72" t="s">
        <v>3561</v>
      </c>
      <c r="I44" s="73" t="s">
        <v>1129</v>
      </c>
      <c r="J44" s="72" t="s">
        <v>7</v>
      </c>
    </row>
    <row r="45" ht="15.75" spans="1:10">
      <c r="A45" s="71" t="s">
        <v>3562</v>
      </c>
      <c r="B45" s="48"/>
      <c r="C45" s="48"/>
      <c r="D45" s="48"/>
      <c r="E45" s="48"/>
      <c r="F45" s="48"/>
      <c r="G45" s="48"/>
      <c r="H45" s="48"/>
      <c r="I45" s="48"/>
      <c r="J45" s="32"/>
    </row>
    <row r="46" ht="75" customHeight="1" spans="1:10">
      <c r="A46" s="72" t="s">
        <v>3563</v>
      </c>
      <c r="B46" s="72" t="s">
        <v>3564</v>
      </c>
      <c r="C46" s="73" t="s">
        <v>1569</v>
      </c>
      <c r="D46" s="72" t="s">
        <v>3565</v>
      </c>
      <c r="E46" s="72" t="s">
        <v>3566</v>
      </c>
      <c r="F46" s="72" t="s">
        <v>3567</v>
      </c>
      <c r="G46" s="72" t="s">
        <v>3568</v>
      </c>
      <c r="H46" s="72" t="s">
        <v>3569</v>
      </c>
      <c r="I46" s="73" t="s">
        <v>1130</v>
      </c>
      <c r="J46" s="72" t="s">
        <v>3570</v>
      </c>
    </row>
    <row r="47" ht="75" customHeight="1" spans="1:10">
      <c r="A47" s="72" t="s">
        <v>3571</v>
      </c>
      <c r="B47" s="72" t="s">
        <v>3572</v>
      </c>
      <c r="C47" s="73" t="s">
        <v>1603</v>
      </c>
      <c r="D47" s="72" t="s">
        <v>3573</v>
      </c>
      <c r="E47" s="72" t="s">
        <v>1663</v>
      </c>
      <c r="F47" s="72" t="s">
        <v>1588</v>
      </c>
      <c r="G47" s="72" t="s">
        <v>3574</v>
      </c>
      <c r="H47" s="72" t="s">
        <v>3575</v>
      </c>
      <c r="I47" s="73" t="s">
        <v>1130</v>
      </c>
      <c r="J47" s="72" t="s">
        <v>2655</v>
      </c>
    </row>
    <row r="48" ht="15.75" spans="1:10">
      <c r="A48" s="71" t="s">
        <v>3576</v>
      </c>
      <c r="B48" s="48"/>
      <c r="C48" s="48"/>
      <c r="D48" s="48"/>
      <c r="E48" s="48"/>
      <c r="F48" s="48"/>
      <c r="G48" s="48"/>
      <c r="H48" s="48"/>
      <c r="I48" s="48"/>
      <c r="J48" s="32"/>
    </row>
    <row r="49" ht="105" customHeight="1" spans="1:10">
      <c r="A49" s="72" t="s">
        <v>3577</v>
      </c>
      <c r="B49" s="72" t="s">
        <v>3578</v>
      </c>
      <c r="C49" s="73" t="s">
        <v>1585</v>
      </c>
      <c r="D49" s="72" t="s">
        <v>3579</v>
      </c>
      <c r="E49" s="72" t="s">
        <v>1595</v>
      </c>
      <c r="F49" s="72" t="s">
        <v>1588</v>
      </c>
      <c r="G49" s="72" t="s">
        <v>3580</v>
      </c>
      <c r="H49" s="72" t="s">
        <v>3581</v>
      </c>
      <c r="I49" s="73" t="s">
        <v>1129</v>
      </c>
      <c r="J49" s="72" t="s">
        <v>7</v>
      </c>
    </row>
    <row r="50" ht="15.75" spans="1:10">
      <c r="A50" s="71" t="s">
        <v>3562</v>
      </c>
      <c r="B50" s="48"/>
      <c r="C50" s="48"/>
      <c r="D50" s="48"/>
      <c r="E50" s="48"/>
      <c r="F50" s="48"/>
      <c r="G50" s="48"/>
      <c r="H50" s="48"/>
      <c r="I50" s="48"/>
      <c r="J50" s="32"/>
    </row>
    <row r="51" ht="105" customHeight="1" spans="1:10">
      <c r="A51" s="72" t="s">
        <v>3582</v>
      </c>
      <c r="B51" s="72" t="s">
        <v>3583</v>
      </c>
      <c r="C51" s="73" t="s">
        <v>1603</v>
      </c>
      <c r="D51" s="72" t="s">
        <v>3584</v>
      </c>
      <c r="E51" s="72" t="s">
        <v>1663</v>
      </c>
      <c r="F51" s="72" t="s">
        <v>1588</v>
      </c>
      <c r="G51" s="72" t="s">
        <v>3585</v>
      </c>
      <c r="H51" s="72" t="s">
        <v>3586</v>
      </c>
      <c r="I51" s="73" t="s">
        <v>1129</v>
      </c>
      <c r="J51" s="72" t="s">
        <v>7</v>
      </c>
    </row>
    <row r="52" ht="15.75" spans="1:10">
      <c r="A52" s="71" t="s">
        <v>3548</v>
      </c>
      <c r="B52" s="48"/>
      <c r="C52" s="48"/>
      <c r="D52" s="48"/>
      <c r="E52" s="48"/>
      <c r="F52" s="48"/>
      <c r="G52" s="48"/>
      <c r="H52" s="48"/>
      <c r="I52" s="48"/>
      <c r="J52" s="32"/>
    </row>
    <row r="53" ht="45" customHeight="1" spans="1:10">
      <c r="A53" s="72" t="s">
        <v>3587</v>
      </c>
      <c r="B53" s="72" t="s">
        <v>3588</v>
      </c>
      <c r="C53" s="73" t="s">
        <v>1569</v>
      </c>
      <c r="D53" s="72" t="s">
        <v>3589</v>
      </c>
      <c r="E53" s="72" t="s">
        <v>1595</v>
      </c>
      <c r="F53" s="72" t="s">
        <v>1588</v>
      </c>
      <c r="G53" s="72" t="s">
        <v>3560</v>
      </c>
      <c r="H53" s="72" t="s">
        <v>3590</v>
      </c>
      <c r="I53" s="73" t="s">
        <v>1129</v>
      </c>
      <c r="J53" s="72" t="s">
        <v>7</v>
      </c>
    </row>
    <row r="54" ht="15.75" spans="1:10">
      <c r="A54" s="71" t="s">
        <v>3562</v>
      </c>
      <c r="B54" s="48"/>
      <c r="C54" s="48"/>
      <c r="D54" s="48"/>
      <c r="E54" s="48"/>
      <c r="F54" s="48"/>
      <c r="G54" s="48"/>
      <c r="H54" s="48"/>
      <c r="I54" s="48"/>
      <c r="J54" s="32"/>
    </row>
    <row r="55" ht="45" customHeight="1" spans="1:10">
      <c r="A55" s="72" t="s">
        <v>3591</v>
      </c>
      <c r="B55" s="72" t="s">
        <v>3564</v>
      </c>
      <c r="C55" s="73" t="s">
        <v>1569</v>
      </c>
      <c r="D55" s="72" t="s">
        <v>3592</v>
      </c>
      <c r="E55" s="72" t="s">
        <v>3593</v>
      </c>
      <c r="F55" s="72" t="s">
        <v>3594</v>
      </c>
      <c r="G55" s="72" t="s">
        <v>3595</v>
      </c>
      <c r="H55" s="72" t="s">
        <v>3596</v>
      </c>
      <c r="I55" s="73" t="s">
        <v>1129</v>
      </c>
      <c r="J55" s="72" t="s">
        <v>7</v>
      </c>
    </row>
    <row r="56" ht="105" customHeight="1" spans="1:10">
      <c r="A56" s="72" t="s">
        <v>3597</v>
      </c>
      <c r="B56" s="72" t="s">
        <v>3598</v>
      </c>
      <c r="C56" s="73" t="s">
        <v>1585</v>
      </c>
      <c r="D56" s="72" t="s">
        <v>3599</v>
      </c>
      <c r="E56" s="72" t="s">
        <v>1595</v>
      </c>
      <c r="F56" s="72" t="s">
        <v>1588</v>
      </c>
      <c r="G56" s="72" t="s">
        <v>3600</v>
      </c>
      <c r="H56" s="72" t="s">
        <v>3601</v>
      </c>
      <c r="I56" s="73" t="s">
        <v>1129</v>
      </c>
      <c r="J56" s="72" t="s">
        <v>7</v>
      </c>
    </row>
    <row r="57" ht="60" customHeight="1" spans="1:10">
      <c r="A57" s="72" t="s">
        <v>3602</v>
      </c>
      <c r="B57" s="72" t="s">
        <v>3603</v>
      </c>
      <c r="C57" s="73" t="s">
        <v>1603</v>
      </c>
      <c r="D57" s="72" t="s">
        <v>3604</v>
      </c>
      <c r="E57" s="72" t="s">
        <v>1663</v>
      </c>
      <c r="F57" s="72" t="s">
        <v>1588</v>
      </c>
      <c r="G57" s="72" t="s">
        <v>3560</v>
      </c>
      <c r="H57" s="72" t="s">
        <v>3605</v>
      </c>
      <c r="I57" s="73" t="s">
        <v>1129</v>
      </c>
      <c r="J57" s="72" t="s">
        <v>7</v>
      </c>
    </row>
    <row r="58" ht="15.75" spans="1:10">
      <c r="A58" s="71" t="s">
        <v>3606</v>
      </c>
      <c r="B58" s="48"/>
      <c r="C58" s="48"/>
      <c r="D58" s="48"/>
      <c r="E58" s="48"/>
      <c r="F58" s="48"/>
      <c r="G58" s="48"/>
      <c r="H58" s="48"/>
      <c r="I58" s="48"/>
      <c r="J58" s="32"/>
    </row>
    <row r="59" ht="60" customHeight="1" spans="1:10">
      <c r="A59" s="72" t="s">
        <v>3607</v>
      </c>
      <c r="B59" s="72" t="s">
        <v>3608</v>
      </c>
      <c r="C59" s="73" t="s">
        <v>1585</v>
      </c>
      <c r="D59" s="72" t="s">
        <v>3609</v>
      </c>
      <c r="E59" s="72" t="s">
        <v>1595</v>
      </c>
      <c r="F59" s="72" t="s">
        <v>1588</v>
      </c>
      <c r="G59" s="72" t="s">
        <v>3610</v>
      </c>
      <c r="H59" s="72" t="s">
        <v>3611</v>
      </c>
      <c r="I59" s="73" t="s">
        <v>1129</v>
      </c>
      <c r="J59" s="72" t="s">
        <v>7</v>
      </c>
    </row>
    <row r="60" ht="15.75" spans="1:10">
      <c r="A60" s="71" t="s">
        <v>3576</v>
      </c>
      <c r="B60" s="48"/>
      <c r="C60" s="48"/>
      <c r="D60" s="48"/>
      <c r="E60" s="48"/>
      <c r="F60" s="48"/>
      <c r="G60" s="48"/>
      <c r="H60" s="48"/>
      <c r="I60" s="48"/>
      <c r="J60" s="32"/>
    </row>
    <row r="61" ht="105" customHeight="1" spans="1:10">
      <c r="A61" s="72" t="s">
        <v>3612</v>
      </c>
      <c r="B61" s="72" t="s">
        <v>3578</v>
      </c>
      <c r="C61" s="73" t="s">
        <v>1585</v>
      </c>
      <c r="D61" s="72" t="s">
        <v>3613</v>
      </c>
      <c r="E61" s="72" t="s">
        <v>1595</v>
      </c>
      <c r="F61" s="72" t="s">
        <v>1588</v>
      </c>
      <c r="G61" s="72" t="s">
        <v>3614</v>
      </c>
      <c r="H61" s="72" t="s">
        <v>3615</v>
      </c>
      <c r="I61" s="73" t="s">
        <v>1129</v>
      </c>
      <c r="J61" s="72" t="s">
        <v>7</v>
      </c>
    </row>
    <row r="62" ht="15.75" spans="1:10">
      <c r="A62" s="71" t="s">
        <v>2704</v>
      </c>
      <c r="B62" s="48"/>
      <c r="C62" s="48"/>
      <c r="D62" s="48"/>
      <c r="E62" s="48"/>
      <c r="F62" s="48"/>
      <c r="G62" s="48"/>
      <c r="H62" s="48"/>
      <c r="I62" s="48"/>
      <c r="J62" s="32"/>
    </row>
    <row r="63" ht="45" customHeight="1" spans="1:10">
      <c r="A63" s="72" t="s">
        <v>3616</v>
      </c>
      <c r="B63" s="72" t="s">
        <v>2711</v>
      </c>
      <c r="C63" s="73" t="s">
        <v>1569</v>
      </c>
      <c r="D63" s="72" t="s">
        <v>3617</v>
      </c>
      <c r="E63" s="72" t="s">
        <v>1595</v>
      </c>
      <c r="F63" s="72" t="s">
        <v>3618</v>
      </c>
      <c r="G63" s="72" t="s">
        <v>3619</v>
      </c>
      <c r="H63" s="72" t="s">
        <v>3620</v>
      </c>
      <c r="I63" s="73" t="s">
        <v>1129</v>
      </c>
      <c r="J63" s="72" t="s">
        <v>7</v>
      </c>
    </row>
    <row r="64" ht="60" customHeight="1" spans="1:10">
      <c r="A64" s="72" t="s">
        <v>3621</v>
      </c>
      <c r="B64" s="72" t="s">
        <v>2711</v>
      </c>
      <c r="C64" s="73" t="s">
        <v>1569</v>
      </c>
      <c r="D64" s="72" t="s">
        <v>3622</v>
      </c>
      <c r="E64" s="72" t="s">
        <v>1595</v>
      </c>
      <c r="F64" s="72" t="s">
        <v>3623</v>
      </c>
      <c r="G64" s="72" t="s">
        <v>3624</v>
      </c>
      <c r="H64" s="72" t="s">
        <v>3625</v>
      </c>
      <c r="I64" s="73" t="s">
        <v>1129</v>
      </c>
      <c r="J64" s="72" t="s">
        <v>7</v>
      </c>
    </row>
    <row r="65" ht="75" customHeight="1" spans="1:10">
      <c r="A65" s="72" t="s">
        <v>3626</v>
      </c>
      <c r="B65" s="72" t="s">
        <v>2711</v>
      </c>
      <c r="C65" s="73" t="s">
        <v>1569</v>
      </c>
      <c r="D65" s="72" t="s">
        <v>3627</v>
      </c>
      <c r="E65" s="72" t="s">
        <v>1595</v>
      </c>
      <c r="F65" s="72" t="s">
        <v>3628</v>
      </c>
      <c r="G65" s="72" t="s">
        <v>3629</v>
      </c>
      <c r="H65" s="72" t="s">
        <v>3630</v>
      </c>
      <c r="I65" s="73" t="s">
        <v>1129</v>
      </c>
      <c r="J65" s="72" t="s">
        <v>7</v>
      </c>
    </row>
  </sheetData>
  <mergeCells count="20">
    <mergeCell ref="A1:J1"/>
    <mergeCell ref="A8:E8"/>
    <mergeCell ref="A13:J13"/>
    <mergeCell ref="A21:J21"/>
    <mergeCell ref="A27:J27"/>
    <mergeCell ref="A29:J29"/>
    <mergeCell ref="A31:J31"/>
    <mergeCell ref="A33:J33"/>
    <mergeCell ref="A35:J35"/>
    <mergeCell ref="A37:J37"/>
    <mergeCell ref="A39:J39"/>
    <mergeCell ref="A41:J41"/>
    <mergeCell ref="A45:J45"/>
    <mergeCell ref="A48:J48"/>
    <mergeCell ref="A50:J50"/>
    <mergeCell ref="A52:J52"/>
    <mergeCell ref="A54:J54"/>
    <mergeCell ref="A58:J58"/>
    <mergeCell ref="A60:J60"/>
    <mergeCell ref="A62:J62"/>
  </mergeCells>
  <conditionalFormatting sqref="I13:I65">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2"/>
  <sheetViews>
    <sheetView workbookViewId="0">
      <selection activeCell="A1" sqref="A1:K1"/>
    </sheetView>
  </sheetViews>
  <sheetFormatPr defaultColWidth="9" defaultRowHeight="15"/>
  <cols>
    <col min="1" max="1" width="7" customWidth="1"/>
    <col min="2" max="2" width="12" customWidth="1"/>
    <col min="3" max="3" width="30" customWidth="1"/>
    <col min="4" max="4" width="20" customWidth="1"/>
    <col min="5" max="5" width="36" customWidth="1"/>
    <col min="6" max="9" width="18" customWidth="1"/>
    <col min="10" max="10" width="10" customWidth="1"/>
    <col min="11" max="11" width="26" customWidth="1"/>
  </cols>
  <sheetData>
    <row r="1" ht="20.25" spans="1:11">
      <c r="A1" s="20" t="s">
        <v>1749</v>
      </c>
    </row>
    <row r="3" ht="28.5" spans="1:11">
      <c r="A3" s="49" t="s">
        <v>1008</v>
      </c>
      <c r="B3" s="49" t="s">
        <v>227</v>
      </c>
      <c r="D3" s="49" t="s">
        <v>1540</v>
      </c>
      <c r="E3" s="49" t="s">
        <v>7</v>
      </c>
    </row>
    <row r="4" ht="42.75" spans="1:11">
      <c r="A4" s="49" t="s">
        <v>1750</v>
      </c>
      <c r="B4" s="50" t="s">
        <v>1751</v>
      </c>
      <c r="D4" s="49" t="s">
        <v>1752</v>
      </c>
      <c r="E4" s="49" t="s">
        <v>1753</v>
      </c>
    </row>
    <row r="5" ht="42.75" spans="1:11">
      <c r="A5" s="49" t="s">
        <v>1754</v>
      </c>
      <c r="B5" s="49" t="s">
        <v>1755</v>
      </c>
      <c r="D5" s="49" t="s">
        <v>1543</v>
      </c>
      <c r="E5" s="49" t="s">
        <v>233</v>
      </c>
    </row>
    <row r="7" ht="15.75" spans="1:11">
      <c r="A7" s="51" t="s">
        <v>1756</v>
      </c>
    </row>
    <row r="8" spans="1:11">
      <c r="A8" s="52" t="s">
        <v>1757</v>
      </c>
      <c r="B8" s="32"/>
      <c r="C8" s="52" t="s">
        <v>1758</v>
      </c>
      <c r="D8" s="52" t="s">
        <v>1553</v>
      </c>
      <c r="E8" s="52" t="s">
        <v>1554</v>
      </c>
      <c r="F8" s="52" t="s">
        <v>1759</v>
      </c>
      <c r="G8" s="52" t="s">
        <v>1760</v>
      </c>
      <c r="H8" s="48"/>
      <c r="I8" s="48"/>
      <c r="J8" s="48"/>
      <c r="K8" s="32"/>
    </row>
    <row r="9" ht="32" customHeight="1" spans="1:11">
      <c r="A9" s="53" t="s">
        <v>1761</v>
      </c>
      <c r="B9" s="54"/>
      <c r="C9" s="55">
        <f>COUNTIF($B$15:$B$102,"Unit Test")-COUNTIFS($B$15:$B$102,"Unit Test",$J$15:$J$102,"Pending")</f>
        <v>25</v>
      </c>
      <c r="D9" s="55">
        <f>COUNTIFS($B$15:$B$102,"Unit Test",$J$15:$J$102,"Pass")</f>
        <v>22</v>
      </c>
      <c r="E9" s="55">
        <f>COUNTIFS($B$15:$B$102,"Unit Test",$J$15:$J$102,"Fail")</f>
        <v>3</v>
      </c>
      <c r="F9" s="56">
        <f>IFERROR(D9/C9,0)</f>
        <v>0.88</v>
      </c>
      <c r="G9" s="57" t="s">
        <v>3262</v>
      </c>
      <c r="H9" s="48"/>
      <c r="I9" s="48"/>
      <c r="J9" s="48"/>
      <c r="K9" s="32"/>
    </row>
    <row r="10" ht="32" customHeight="1" spans="1:11">
      <c r="A10" s="53" t="s">
        <v>1762</v>
      </c>
      <c r="B10" s="54"/>
      <c r="C10" s="55">
        <f>COUNTIF($B$15:$B$102,"API Test")-COUNTIFS($B$15:$B$102,"API Test",$J$15:$J$102,"Pending")</f>
        <v>35</v>
      </c>
      <c r="D10" s="55">
        <f>COUNTIFS($B$15:$B$102,"API Test",$J$15:$J$102,"Pass")</f>
        <v>29</v>
      </c>
      <c r="E10" s="55">
        <f>COUNTIFS($B$15:$B$102,"API Test",$J$15:$J$102,"Fail")</f>
        <v>6</v>
      </c>
      <c r="F10" s="56">
        <f>IFERROR(D10/C10,0)</f>
        <v>0.828571428571429</v>
      </c>
      <c r="G10" s="57" t="s">
        <v>1763</v>
      </c>
      <c r="H10" s="48"/>
      <c r="I10" s="48"/>
      <c r="J10" s="48"/>
      <c r="K10" s="32"/>
    </row>
    <row r="11" ht="32" customHeight="1" spans="1:11">
      <c r="A11" s="53" t="s">
        <v>1764</v>
      </c>
      <c r="B11" s="54"/>
      <c r="C11" s="55">
        <f>COUNTIF($B$15:$B$102,"UI Test")-COUNTIFS($B$15:$B$102,"UI Test",$J$15:$J$102,"Pending")</f>
        <v>25</v>
      </c>
      <c r="D11" s="55">
        <f>COUNTIFS($B$15:$B$102,"UI Test",$J$15:$J$102,"Pass")</f>
        <v>21</v>
      </c>
      <c r="E11" s="55">
        <f>COUNTIFS($B$15:$B$102,"UI Test",$J$15:$J$102,"Fail")</f>
        <v>4</v>
      </c>
      <c r="F11" s="56">
        <f>IFERROR(D11/C11,0)</f>
        <v>0.84</v>
      </c>
      <c r="G11" s="57" t="s">
        <v>3631</v>
      </c>
      <c r="H11" s="48"/>
      <c r="I11" s="48"/>
      <c r="J11" s="48"/>
      <c r="K11" s="32"/>
    </row>
    <row r="13" ht="28.5" spans="1:11">
      <c r="A13" s="25" t="s">
        <v>211</v>
      </c>
      <c r="B13" s="25" t="s">
        <v>1757</v>
      </c>
      <c r="C13" s="25" t="s">
        <v>1766</v>
      </c>
      <c r="D13" s="25" t="s">
        <v>1767</v>
      </c>
      <c r="E13" s="25" t="s">
        <v>1559</v>
      </c>
      <c r="F13" s="25" t="s">
        <v>1768</v>
      </c>
      <c r="G13" s="48"/>
      <c r="H13" s="48"/>
      <c r="I13" s="32"/>
      <c r="J13" s="25" t="s">
        <v>1564</v>
      </c>
      <c r="K13" s="25" t="s">
        <v>1565</v>
      </c>
    </row>
    <row r="15" ht="15.75" spans="1:11">
      <c r="A15" s="58" t="s">
        <v>1769</v>
      </c>
      <c r="B15" s="48"/>
      <c r="C15" s="48"/>
      <c r="D15" s="48"/>
      <c r="E15" s="48"/>
      <c r="F15" s="48"/>
      <c r="G15" s="48"/>
      <c r="H15" s="48"/>
      <c r="I15" s="48"/>
      <c r="J15" s="48"/>
      <c r="K15" s="48"/>
    </row>
    <row r="16" ht="75" customHeight="1" spans="1:11">
      <c r="A16" s="55">
        <v>1</v>
      </c>
      <c r="B16" s="55" t="s">
        <v>1770</v>
      </c>
      <c r="C16" s="59" t="s">
        <v>3632</v>
      </c>
      <c r="D16" s="59" t="s">
        <v>3307</v>
      </c>
      <c r="E16" s="59" t="s">
        <v>3309</v>
      </c>
      <c r="F16" s="60" t="s">
        <v>3633</v>
      </c>
      <c r="G16" s="48"/>
      <c r="H16" s="48"/>
      <c r="I16" s="32"/>
      <c r="J16" s="55" t="s">
        <v>1129</v>
      </c>
      <c r="K16" s="59" t="s">
        <v>7</v>
      </c>
    </row>
    <row r="17" ht="90" customHeight="1" spans="1:11">
      <c r="A17" s="55">
        <v>2</v>
      </c>
      <c r="B17" s="55" t="s">
        <v>1770</v>
      </c>
      <c r="C17" s="59" t="s">
        <v>3632</v>
      </c>
      <c r="D17" s="59" t="s">
        <v>3313</v>
      </c>
      <c r="E17" s="59" t="s">
        <v>3315</v>
      </c>
      <c r="F17" s="60" t="s">
        <v>3634</v>
      </c>
      <c r="G17" s="48"/>
      <c r="H17" s="48"/>
      <c r="I17" s="32"/>
      <c r="J17" s="55" t="s">
        <v>1129</v>
      </c>
      <c r="K17" s="59" t="s">
        <v>7</v>
      </c>
    </row>
    <row r="18" ht="120" customHeight="1" spans="1:11">
      <c r="A18" s="55">
        <v>3</v>
      </c>
      <c r="B18" s="55" t="s">
        <v>1770</v>
      </c>
      <c r="C18" s="59" t="s">
        <v>3632</v>
      </c>
      <c r="D18" s="59" t="s">
        <v>3318</v>
      </c>
      <c r="E18" s="59" t="s">
        <v>3320</v>
      </c>
      <c r="F18" s="60" t="s">
        <v>3635</v>
      </c>
      <c r="G18" s="48"/>
      <c r="H18" s="48"/>
      <c r="I18" s="32"/>
      <c r="J18" s="55" t="s">
        <v>1129</v>
      </c>
      <c r="K18" s="59" t="s">
        <v>7</v>
      </c>
    </row>
    <row r="19" ht="120" customHeight="1" spans="1:11">
      <c r="A19" s="55">
        <v>4</v>
      </c>
      <c r="B19" s="55" t="s">
        <v>1770</v>
      </c>
      <c r="C19" s="59" t="s">
        <v>3636</v>
      </c>
      <c r="D19" s="59" t="s">
        <v>3323</v>
      </c>
      <c r="E19" s="59" t="s">
        <v>3325</v>
      </c>
      <c r="F19" s="60" t="s">
        <v>3637</v>
      </c>
      <c r="G19" s="48"/>
      <c r="H19" s="48"/>
      <c r="I19" s="32"/>
      <c r="J19" s="55" t="s">
        <v>1129</v>
      </c>
      <c r="K19" s="59" t="s">
        <v>7</v>
      </c>
    </row>
    <row r="20" ht="75" customHeight="1" spans="1:11">
      <c r="A20" s="55">
        <v>5</v>
      </c>
      <c r="B20" s="55" t="s">
        <v>1770</v>
      </c>
      <c r="C20" s="59" t="s">
        <v>3638</v>
      </c>
      <c r="D20" s="59" t="s">
        <v>3329</v>
      </c>
      <c r="E20" s="59" t="s">
        <v>3332</v>
      </c>
      <c r="F20" s="60" t="s">
        <v>3639</v>
      </c>
      <c r="G20" s="48"/>
      <c r="H20" s="48"/>
      <c r="I20" s="32"/>
      <c r="J20" s="55" t="s">
        <v>1129</v>
      </c>
      <c r="K20" s="59" t="s">
        <v>7</v>
      </c>
    </row>
    <row r="21" ht="60" customHeight="1" spans="1:11">
      <c r="A21" s="55">
        <v>6</v>
      </c>
      <c r="B21" s="55" t="s">
        <v>1770</v>
      </c>
      <c r="C21" s="59" t="s">
        <v>3638</v>
      </c>
      <c r="D21" s="59" t="s">
        <v>3336</v>
      </c>
      <c r="E21" s="59" t="s">
        <v>3337</v>
      </c>
      <c r="F21" s="60" t="s">
        <v>3640</v>
      </c>
      <c r="G21" s="48"/>
      <c r="H21" s="48"/>
      <c r="I21" s="32"/>
      <c r="J21" s="55" t="s">
        <v>1129</v>
      </c>
      <c r="K21" s="59" t="s">
        <v>7</v>
      </c>
    </row>
    <row r="22" ht="90" customHeight="1" spans="1:11">
      <c r="A22" s="55">
        <v>7</v>
      </c>
      <c r="B22" s="55" t="s">
        <v>1770</v>
      </c>
      <c r="C22" s="59" t="s">
        <v>3638</v>
      </c>
      <c r="D22" s="59" t="s">
        <v>3341</v>
      </c>
      <c r="E22" s="59" t="s">
        <v>3343</v>
      </c>
      <c r="F22" s="60" t="s">
        <v>3641</v>
      </c>
      <c r="G22" s="48"/>
      <c r="H22" s="48"/>
      <c r="I22" s="32"/>
      <c r="J22" s="55" t="s">
        <v>1129</v>
      </c>
      <c r="K22" s="59" t="s">
        <v>7</v>
      </c>
    </row>
    <row r="23" ht="30" customHeight="1" spans="1:11">
      <c r="A23" s="55">
        <v>8</v>
      </c>
      <c r="B23" s="55" t="s">
        <v>1770</v>
      </c>
      <c r="C23" s="59" t="s">
        <v>3642</v>
      </c>
      <c r="D23" s="59" t="s">
        <v>3347</v>
      </c>
      <c r="E23" s="59" t="s">
        <v>3350</v>
      </c>
      <c r="F23" s="60" t="s">
        <v>3643</v>
      </c>
      <c r="G23" s="48"/>
      <c r="H23" s="48"/>
      <c r="I23" s="32"/>
      <c r="J23" s="55" t="s">
        <v>1129</v>
      </c>
      <c r="K23" s="59" t="s">
        <v>7</v>
      </c>
    </row>
    <row r="24" ht="30" customHeight="1" spans="1:11">
      <c r="A24" s="55">
        <v>9</v>
      </c>
      <c r="B24" s="55" t="s">
        <v>1770</v>
      </c>
      <c r="C24" s="59" t="s">
        <v>3642</v>
      </c>
      <c r="D24" s="59" t="s">
        <v>3354</v>
      </c>
      <c r="E24" s="59" t="s">
        <v>3355</v>
      </c>
      <c r="F24" s="60" t="s">
        <v>3644</v>
      </c>
      <c r="G24" s="48"/>
      <c r="H24" s="48"/>
      <c r="I24" s="32"/>
      <c r="J24" s="55" t="s">
        <v>1129</v>
      </c>
      <c r="K24" s="59" t="s">
        <v>7</v>
      </c>
    </row>
    <row r="25" ht="75" customHeight="1" spans="1:11">
      <c r="A25" s="55">
        <v>10</v>
      </c>
      <c r="B25" s="55" t="s">
        <v>1770</v>
      </c>
      <c r="C25" s="59" t="s">
        <v>3642</v>
      </c>
      <c r="D25" s="59" t="s">
        <v>3359</v>
      </c>
      <c r="E25" s="59" t="s">
        <v>3360</v>
      </c>
      <c r="F25" s="60" t="s">
        <v>3645</v>
      </c>
      <c r="G25" s="48"/>
      <c r="H25" s="48"/>
      <c r="I25" s="32"/>
      <c r="J25" s="55" t="s">
        <v>1129</v>
      </c>
      <c r="K25" s="59" t="s">
        <v>7</v>
      </c>
    </row>
    <row r="26" ht="105" customHeight="1" spans="1:11">
      <c r="A26" s="55">
        <v>11</v>
      </c>
      <c r="B26" s="55" t="s">
        <v>1770</v>
      </c>
      <c r="C26" s="59" t="s">
        <v>3642</v>
      </c>
      <c r="D26" s="59" t="s">
        <v>3364</v>
      </c>
      <c r="E26" s="59" t="s">
        <v>3365</v>
      </c>
      <c r="F26" s="60" t="s">
        <v>3646</v>
      </c>
      <c r="G26" s="48"/>
      <c r="H26" s="48"/>
      <c r="I26" s="32"/>
      <c r="J26" s="55" t="s">
        <v>1129</v>
      </c>
      <c r="K26" s="59" t="s">
        <v>7</v>
      </c>
    </row>
    <row r="27" ht="75" customHeight="1" spans="1:11">
      <c r="A27" s="55">
        <v>12</v>
      </c>
      <c r="B27" s="55" t="s">
        <v>1770</v>
      </c>
      <c r="C27" s="59" t="s">
        <v>3642</v>
      </c>
      <c r="D27" s="59" t="s">
        <v>3369</v>
      </c>
      <c r="E27" s="59" t="s">
        <v>3370</v>
      </c>
      <c r="F27" s="60" t="s">
        <v>3647</v>
      </c>
      <c r="G27" s="48"/>
      <c r="H27" s="48"/>
      <c r="I27" s="32"/>
      <c r="J27" s="55" t="s">
        <v>1129</v>
      </c>
      <c r="K27" s="59" t="s">
        <v>7</v>
      </c>
    </row>
    <row r="28" ht="90" customHeight="1" spans="1:11">
      <c r="A28" s="55">
        <v>13</v>
      </c>
      <c r="B28" s="55" t="s">
        <v>1770</v>
      </c>
      <c r="C28" s="59" t="s">
        <v>3642</v>
      </c>
      <c r="D28" s="59" t="s">
        <v>3374</v>
      </c>
      <c r="E28" s="59" t="s">
        <v>3376</v>
      </c>
      <c r="F28" s="60" t="s">
        <v>3648</v>
      </c>
      <c r="G28" s="48"/>
      <c r="H28" s="48"/>
      <c r="I28" s="32"/>
      <c r="J28" s="55" t="s">
        <v>1129</v>
      </c>
      <c r="K28" s="59" t="s">
        <v>7</v>
      </c>
    </row>
    <row r="29" ht="45" customHeight="1" spans="1:11">
      <c r="A29" s="55">
        <v>14</v>
      </c>
      <c r="B29" s="55" t="s">
        <v>1770</v>
      </c>
      <c r="C29" s="59" t="s">
        <v>3642</v>
      </c>
      <c r="D29" s="59" t="s">
        <v>3380</v>
      </c>
      <c r="E29" s="59" t="s">
        <v>3382</v>
      </c>
      <c r="F29" s="60" t="s">
        <v>3649</v>
      </c>
      <c r="G29" s="48"/>
      <c r="H29" s="48"/>
      <c r="I29" s="32"/>
      <c r="J29" s="55" t="s">
        <v>1129</v>
      </c>
      <c r="K29" s="59" t="s">
        <v>7</v>
      </c>
    </row>
    <row r="30" ht="75" customHeight="1" spans="1:11">
      <c r="A30" s="55">
        <v>15</v>
      </c>
      <c r="B30" s="55" t="s">
        <v>1770</v>
      </c>
      <c r="C30" s="59" t="s">
        <v>3642</v>
      </c>
      <c r="D30" s="59" t="s">
        <v>3386</v>
      </c>
      <c r="E30" s="59" t="s">
        <v>3387</v>
      </c>
      <c r="F30" s="60" t="s">
        <v>3650</v>
      </c>
      <c r="G30" s="48"/>
      <c r="H30" s="48"/>
      <c r="I30" s="32"/>
      <c r="J30" s="55" t="s">
        <v>1129</v>
      </c>
      <c r="K30" s="59" t="s">
        <v>7</v>
      </c>
    </row>
    <row r="31" ht="90" customHeight="1" spans="1:11">
      <c r="A31" s="55">
        <v>16</v>
      </c>
      <c r="B31" s="55" t="s">
        <v>1770</v>
      </c>
      <c r="C31" s="59" t="s">
        <v>3642</v>
      </c>
      <c r="D31" s="59" t="s">
        <v>3391</v>
      </c>
      <c r="E31" s="59" t="s">
        <v>3393</v>
      </c>
      <c r="F31" s="60" t="s">
        <v>3651</v>
      </c>
      <c r="G31" s="48"/>
      <c r="H31" s="48"/>
      <c r="I31" s="32"/>
      <c r="J31" s="55" t="s">
        <v>1129</v>
      </c>
      <c r="K31" s="59" t="s">
        <v>7</v>
      </c>
    </row>
    <row r="32" ht="105" customHeight="1" spans="1:11">
      <c r="A32" s="55">
        <v>17</v>
      </c>
      <c r="B32" s="55" t="s">
        <v>1770</v>
      </c>
      <c r="C32" s="59" t="s">
        <v>3642</v>
      </c>
      <c r="D32" s="59" t="s">
        <v>3397</v>
      </c>
      <c r="E32" s="59" t="s">
        <v>3398</v>
      </c>
      <c r="F32" s="60" t="s">
        <v>3652</v>
      </c>
      <c r="G32" s="48"/>
      <c r="H32" s="48"/>
      <c r="I32" s="32"/>
      <c r="J32" s="55" t="s">
        <v>1129</v>
      </c>
      <c r="K32" s="59" t="s">
        <v>7</v>
      </c>
    </row>
    <row r="33" ht="75" customHeight="1" spans="1:11">
      <c r="A33" s="55">
        <v>18</v>
      </c>
      <c r="B33" s="55" t="s">
        <v>1770</v>
      </c>
      <c r="C33" s="59" t="s">
        <v>3642</v>
      </c>
      <c r="D33" s="59" t="s">
        <v>3402</v>
      </c>
      <c r="E33" s="59" t="s">
        <v>3403</v>
      </c>
      <c r="F33" s="60" t="s">
        <v>3653</v>
      </c>
      <c r="G33" s="48"/>
      <c r="H33" s="48"/>
      <c r="I33" s="32"/>
      <c r="J33" s="55" t="s">
        <v>1129</v>
      </c>
      <c r="K33" s="59" t="s">
        <v>7</v>
      </c>
    </row>
    <row r="34" ht="105" customHeight="1" spans="1:11">
      <c r="A34" s="55">
        <v>19</v>
      </c>
      <c r="B34" s="55" t="s">
        <v>1770</v>
      </c>
      <c r="C34" s="59" t="s">
        <v>3642</v>
      </c>
      <c r="D34" s="59" t="s">
        <v>3407</v>
      </c>
      <c r="E34" s="59" t="s">
        <v>3409</v>
      </c>
      <c r="F34" s="60" t="s">
        <v>3654</v>
      </c>
      <c r="G34" s="48"/>
      <c r="H34" s="48"/>
      <c r="I34" s="32"/>
      <c r="J34" s="55" t="s">
        <v>1129</v>
      </c>
      <c r="K34" s="59" t="s">
        <v>7</v>
      </c>
    </row>
    <row r="35" ht="60" customHeight="1" spans="1:11">
      <c r="A35" s="55">
        <v>20</v>
      </c>
      <c r="B35" s="55" t="s">
        <v>1770</v>
      </c>
      <c r="C35" s="59" t="s">
        <v>3642</v>
      </c>
      <c r="D35" s="59" t="s">
        <v>3413</v>
      </c>
      <c r="E35" s="59" t="s">
        <v>3415</v>
      </c>
      <c r="F35" s="60" t="s">
        <v>3655</v>
      </c>
      <c r="G35" s="48"/>
      <c r="H35" s="48"/>
      <c r="I35" s="32"/>
      <c r="J35" s="55" t="s">
        <v>1129</v>
      </c>
      <c r="K35" s="59" t="s">
        <v>7</v>
      </c>
    </row>
    <row r="36" ht="135" customHeight="1" spans="1:11">
      <c r="A36" s="55">
        <v>21</v>
      </c>
      <c r="B36" s="55" t="s">
        <v>1770</v>
      </c>
      <c r="C36" s="59" t="s">
        <v>3642</v>
      </c>
      <c r="D36" s="59" t="s">
        <v>3419</v>
      </c>
      <c r="E36" s="59" t="s">
        <v>3420</v>
      </c>
      <c r="F36" s="60" t="s">
        <v>3656</v>
      </c>
      <c r="G36" s="48"/>
      <c r="H36" s="48"/>
      <c r="I36" s="32"/>
      <c r="J36" s="55" t="s">
        <v>1129</v>
      </c>
      <c r="K36" s="59" t="s">
        <v>7</v>
      </c>
    </row>
    <row r="37" ht="90" customHeight="1" spans="1:11">
      <c r="A37" s="55">
        <v>22</v>
      </c>
      <c r="B37" s="55" t="s">
        <v>1770</v>
      </c>
      <c r="C37" s="59" t="s">
        <v>3642</v>
      </c>
      <c r="D37" s="59" t="s">
        <v>3424</v>
      </c>
      <c r="E37" s="59" t="s">
        <v>3426</v>
      </c>
      <c r="F37" s="60" t="s">
        <v>3657</v>
      </c>
      <c r="G37" s="48"/>
      <c r="H37" s="48"/>
      <c r="I37" s="32"/>
      <c r="J37" s="55" t="s">
        <v>1129</v>
      </c>
      <c r="K37" s="59" t="s">
        <v>7</v>
      </c>
    </row>
    <row r="38" ht="105" customHeight="1" spans="1:11">
      <c r="A38" s="55">
        <v>23</v>
      </c>
      <c r="B38" s="55" t="s">
        <v>1770</v>
      </c>
      <c r="C38" s="59" t="s">
        <v>3658</v>
      </c>
      <c r="D38" s="59" t="s">
        <v>3430</v>
      </c>
      <c r="E38" s="59" t="s">
        <v>3432</v>
      </c>
      <c r="F38" s="60" t="s">
        <v>3659</v>
      </c>
      <c r="G38" s="48"/>
      <c r="H38" s="48"/>
      <c r="I38" s="32"/>
      <c r="J38" s="55" t="s">
        <v>1130</v>
      </c>
      <c r="K38" s="59" t="s">
        <v>7</v>
      </c>
    </row>
    <row r="39" ht="45" customHeight="1" spans="1:11">
      <c r="A39" s="55">
        <v>24</v>
      </c>
      <c r="B39" s="55" t="s">
        <v>1770</v>
      </c>
      <c r="C39" s="59" t="s">
        <v>3660</v>
      </c>
      <c r="D39" s="59" t="s">
        <v>3435</v>
      </c>
      <c r="E39" s="59" t="s">
        <v>3437</v>
      </c>
      <c r="F39" s="60" t="s">
        <v>3661</v>
      </c>
      <c r="G39" s="48"/>
      <c r="H39" s="48"/>
      <c r="I39" s="32"/>
      <c r="J39" s="55" t="s">
        <v>1130</v>
      </c>
      <c r="K39" s="59" t="s">
        <v>7</v>
      </c>
    </row>
    <row r="40" ht="30" customHeight="1" spans="1:11">
      <c r="A40" s="55">
        <v>25</v>
      </c>
      <c r="B40" s="55" t="s">
        <v>1770</v>
      </c>
      <c r="C40" s="59" t="s">
        <v>1801</v>
      </c>
      <c r="D40" s="59" t="s">
        <v>3441</v>
      </c>
      <c r="E40" s="59" t="s">
        <v>3443</v>
      </c>
      <c r="F40" s="60" t="s">
        <v>1802</v>
      </c>
      <c r="G40" s="48"/>
      <c r="H40" s="48"/>
      <c r="I40" s="32"/>
      <c r="J40" s="55" t="s">
        <v>1130</v>
      </c>
      <c r="K40" s="59" t="s">
        <v>7</v>
      </c>
    </row>
    <row r="41" ht="15.75" spans="1:11">
      <c r="A41" s="58" t="s">
        <v>1803</v>
      </c>
      <c r="B41" s="48"/>
      <c r="C41" s="48"/>
      <c r="D41" s="48"/>
      <c r="E41" s="48"/>
      <c r="F41" s="48"/>
      <c r="G41" s="48"/>
      <c r="H41" s="48"/>
      <c r="I41" s="48"/>
      <c r="J41" s="48"/>
      <c r="K41" s="48"/>
    </row>
    <row r="42" ht="45" customHeight="1" spans="1:11">
      <c r="A42" s="55">
        <v>26</v>
      </c>
      <c r="B42" s="55" t="s">
        <v>1804</v>
      </c>
      <c r="C42" s="59" t="s">
        <v>1548</v>
      </c>
      <c r="D42" s="59" t="s">
        <v>3452</v>
      </c>
      <c r="E42" s="59" t="s">
        <v>3454</v>
      </c>
      <c r="F42" s="60" t="s">
        <v>3662</v>
      </c>
      <c r="G42" s="48"/>
      <c r="H42" s="48"/>
      <c r="I42" s="32"/>
      <c r="J42" s="55" t="s">
        <v>1129</v>
      </c>
      <c r="K42" s="59" t="s">
        <v>7</v>
      </c>
    </row>
    <row r="43" ht="30" customHeight="1" spans="1:11">
      <c r="A43" s="55">
        <v>27</v>
      </c>
      <c r="B43" s="55" t="s">
        <v>1804</v>
      </c>
      <c r="C43" s="59" t="s">
        <v>1548</v>
      </c>
      <c r="D43" s="59" t="s">
        <v>3458</v>
      </c>
      <c r="E43" s="59" t="s">
        <v>3459</v>
      </c>
      <c r="F43" s="60" t="s">
        <v>1807</v>
      </c>
      <c r="G43" s="48"/>
      <c r="H43" s="48"/>
      <c r="I43" s="32"/>
      <c r="J43" s="55" t="s">
        <v>1129</v>
      </c>
      <c r="K43" s="59" t="s">
        <v>7</v>
      </c>
    </row>
    <row r="44" ht="30" customHeight="1" spans="1:11">
      <c r="A44" s="55">
        <v>28</v>
      </c>
      <c r="B44" s="55" t="s">
        <v>1804</v>
      </c>
      <c r="C44" s="59" t="s">
        <v>1548</v>
      </c>
      <c r="D44" s="59" t="s">
        <v>3463</v>
      </c>
      <c r="E44" s="59" t="s">
        <v>3464</v>
      </c>
      <c r="F44" s="60" t="s">
        <v>1807</v>
      </c>
      <c r="G44" s="48"/>
      <c r="H44" s="48"/>
      <c r="I44" s="32"/>
      <c r="J44" s="55" t="s">
        <v>1129</v>
      </c>
      <c r="K44" s="59" t="s">
        <v>7</v>
      </c>
    </row>
    <row r="45" ht="60" customHeight="1" spans="1:11">
      <c r="A45" s="55">
        <v>29</v>
      </c>
      <c r="B45" s="55" t="s">
        <v>1804</v>
      </c>
      <c r="C45" s="59" t="s">
        <v>1548</v>
      </c>
      <c r="D45" s="59" t="s">
        <v>3467</v>
      </c>
      <c r="E45" s="59" t="s">
        <v>3468</v>
      </c>
      <c r="F45" s="60" t="s">
        <v>3663</v>
      </c>
      <c r="G45" s="48"/>
      <c r="H45" s="48"/>
      <c r="I45" s="32"/>
      <c r="J45" s="55" t="s">
        <v>1129</v>
      </c>
      <c r="K45" s="59" t="s">
        <v>7</v>
      </c>
    </row>
    <row r="46" ht="75" customHeight="1" spans="1:11">
      <c r="A46" s="55">
        <v>30</v>
      </c>
      <c r="B46" s="55" t="s">
        <v>1804</v>
      </c>
      <c r="C46" s="59" t="s">
        <v>1548</v>
      </c>
      <c r="D46" s="59" t="s">
        <v>3472</v>
      </c>
      <c r="E46" s="59" t="s">
        <v>3474</v>
      </c>
      <c r="F46" s="60" t="s">
        <v>3664</v>
      </c>
      <c r="G46" s="48"/>
      <c r="H46" s="48"/>
      <c r="I46" s="32"/>
      <c r="J46" s="55" t="s">
        <v>1129</v>
      </c>
      <c r="K46" s="59" t="s">
        <v>7</v>
      </c>
    </row>
    <row r="47" ht="30" customHeight="1" spans="1:11">
      <c r="A47" s="55">
        <v>31</v>
      </c>
      <c r="B47" s="55" t="s">
        <v>1804</v>
      </c>
      <c r="C47" s="59" t="s">
        <v>1548</v>
      </c>
      <c r="D47" s="59" t="s">
        <v>3477</v>
      </c>
      <c r="E47" s="59" t="s">
        <v>3479</v>
      </c>
      <c r="F47" s="60" t="s">
        <v>1807</v>
      </c>
      <c r="G47" s="48"/>
      <c r="H47" s="48"/>
      <c r="I47" s="32"/>
      <c r="J47" s="55" t="s">
        <v>1130</v>
      </c>
      <c r="K47" s="59" t="s">
        <v>7</v>
      </c>
    </row>
    <row r="48" ht="45" customHeight="1" spans="1:11">
      <c r="A48" s="55">
        <v>32</v>
      </c>
      <c r="B48" s="55" t="s">
        <v>1804</v>
      </c>
      <c r="C48" s="59" t="s">
        <v>1548</v>
      </c>
      <c r="D48" s="59" t="s">
        <v>3482</v>
      </c>
      <c r="E48" s="59" t="s">
        <v>3484</v>
      </c>
      <c r="F48" s="60" t="s">
        <v>3665</v>
      </c>
      <c r="G48" s="48"/>
      <c r="H48" s="48"/>
      <c r="I48" s="32"/>
      <c r="J48" s="55" t="s">
        <v>1129</v>
      </c>
      <c r="K48" s="59" t="s">
        <v>7</v>
      </c>
    </row>
    <row r="49" ht="30" customHeight="1" spans="1:11">
      <c r="A49" s="55">
        <v>33</v>
      </c>
      <c r="B49" s="55" t="s">
        <v>1804</v>
      </c>
      <c r="C49" s="59" t="s">
        <v>1548</v>
      </c>
      <c r="D49" s="59" t="s">
        <v>3488</v>
      </c>
      <c r="E49" s="59" t="s">
        <v>3490</v>
      </c>
      <c r="F49" s="60" t="s">
        <v>1807</v>
      </c>
      <c r="G49" s="48"/>
      <c r="H49" s="48"/>
      <c r="I49" s="32"/>
      <c r="J49" s="55" t="s">
        <v>1129</v>
      </c>
      <c r="K49" s="59" t="s">
        <v>7</v>
      </c>
    </row>
    <row r="50" ht="120" customHeight="1" spans="1:11">
      <c r="A50" s="55">
        <v>34</v>
      </c>
      <c r="B50" s="55" t="s">
        <v>1804</v>
      </c>
      <c r="C50" s="59" t="s">
        <v>1548</v>
      </c>
      <c r="D50" s="59" t="s">
        <v>3494</v>
      </c>
      <c r="E50" s="59" t="s">
        <v>3495</v>
      </c>
      <c r="F50" s="60" t="s">
        <v>3666</v>
      </c>
      <c r="G50" s="48"/>
      <c r="H50" s="48"/>
      <c r="I50" s="32"/>
      <c r="J50" s="55" t="s">
        <v>1129</v>
      </c>
      <c r="K50" s="59" t="s">
        <v>7</v>
      </c>
    </row>
    <row r="51" ht="30" customHeight="1" spans="1:11">
      <c r="A51" s="55">
        <v>35</v>
      </c>
      <c r="B51" s="55" t="s">
        <v>1804</v>
      </c>
      <c r="C51" s="59" t="s">
        <v>1548</v>
      </c>
      <c r="D51" s="59" t="s">
        <v>3498</v>
      </c>
      <c r="E51" s="59" t="s">
        <v>3500</v>
      </c>
      <c r="F51" s="60" t="s">
        <v>1807</v>
      </c>
      <c r="G51" s="48"/>
      <c r="H51" s="48"/>
      <c r="I51" s="32"/>
      <c r="J51" s="55" t="s">
        <v>1129</v>
      </c>
      <c r="K51" s="59" t="s">
        <v>7</v>
      </c>
    </row>
    <row r="52" ht="60" customHeight="1" spans="1:11">
      <c r="A52" s="55">
        <v>36</v>
      </c>
      <c r="B52" s="55" t="s">
        <v>1804</v>
      </c>
      <c r="C52" s="59" t="s">
        <v>1548</v>
      </c>
      <c r="D52" s="59" t="s">
        <v>3503</v>
      </c>
      <c r="E52" s="59" t="s">
        <v>3504</v>
      </c>
      <c r="F52" s="60" t="s">
        <v>3667</v>
      </c>
      <c r="G52" s="48"/>
      <c r="H52" s="48"/>
      <c r="I52" s="32"/>
      <c r="J52" s="55" t="s">
        <v>1129</v>
      </c>
      <c r="K52" s="59" t="s">
        <v>7</v>
      </c>
    </row>
    <row r="53" ht="60" customHeight="1" spans="1:11">
      <c r="A53" s="55">
        <v>37</v>
      </c>
      <c r="B53" s="55" t="s">
        <v>1804</v>
      </c>
      <c r="C53" s="59" t="s">
        <v>1548</v>
      </c>
      <c r="D53" s="59" t="s">
        <v>3509</v>
      </c>
      <c r="E53" s="59" t="s">
        <v>3510</v>
      </c>
      <c r="F53" s="60" t="s">
        <v>3668</v>
      </c>
      <c r="G53" s="48"/>
      <c r="H53" s="48"/>
      <c r="I53" s="32"/>
      <c r="J53" s="55" t="s">
        <v>1129</v>
      </c>
      <c r="K53" s="59" t="s">
        <v>7</v>
      </c>
    </row>
    <row r="54" ht="60" customHeight="1" spans="1:11">
      <c r="A54" s="55">
        <v>38</v>
      </c>
      <c r="B54" s="55" t="s">
        <v>1804</v>
      </c>
      <c r="C54" s="59" t="s">
        <v>1548</v>
      </c>
      <c r="D54" s="59" t="s">
        <v>3514</v>
      </c>
      <c r="E54" s="59" t="s">
        <v>3516</v>
      </c>
      <c r="F54" s="60" t="s">
        <v>3669</v>
      </c>
      <c r="G54" s="48"/>
      <c r="H54" s="48"/>
      <c r="I54" s="32"/>
      <c r="J54" s="55" t="s">
        <v>1129</v>
      </c>
      <c r="K54" s="59" t="s">
        <v>7</v>
      </c>
    </row>
    <row r="55" ht="30" customHeight="1" spans="1:11">
      <c r="A55" s="55">
        <v>39</v>
      </c>
      <c r="B55" s="55" t="s">
        <v>1804</v>
      </c>
      <c r="C55" s="59" t="s">
        <v>1548</v>
      </c>
      <c r="D55" s="59" t="s">
        <v>3519</v>
      </c>
      <c r="E55" s="59" t="s">
        <v>3520</v>
      </c>
      <c r="F55" s="60" t="s">
        <v>1807</v>
      </c>
      <c r="G55" s="48"/>
      <c r="H55" s="48"/>
      <c r="I55" s="32"/>
      <c r="J55" s="55" t="s">
        <v>1130</v>
      </c>
      <c r="K55" s="59" t="s">
        <v>7</v>
      </c>
    </row>
    <row r="56" ht="90" customHeight="1" spans="1:11">
      <c r="A56" s="55">
        <v>40</v>
      </c>
      <c r="B56" s="55" t="s">
        <v>1804</v>
      </c>
      <c r="C56" s="59" t="s">
        <v>1548</v>
      </c>
      <c r="D56" s="59" t="s">
        <v>3524</v>
      </c>
      <c r="E56" s="59" t="s">
        <v>3526</v>
      </c>
      <c r="F56" s="60" t="s">
        <v>3670</v>
      </c>
      <c r="G56" s="48"/>
      <c r="H56" s="48"/>
      <c r="I56" s="32"/>
      <c r="J56" s="55" t="s">
        <v>1129</v>
      </c>
      <c r="K56" s="59" t="s">
        <v>7</v>
      </c>
    </row>
    <row r="57" ht="30" customHeight="1" spans="1:11">
      <c r="A57" s="55">
        <v>41</v>
      </c>
      <c r="B57" s="55" t="s">
        <v>1804</v>
      </c>
      <c r="C57" s="59" t="s">
        <v>1548</v>
      </c>
      <c r="D57" s="59" t="s">
        <v>3529</v>
      </c>
      <c r="E57" s="59" t="s">
        <v>3531</v>
      </c>
      <c r="F57" s="60" t="s">
        <v>1807</v>
      </c>
      <c r="G57" s="48"/>
      <c r="H57" s="48"/>
      <c r="I57" s="32"/>
      <c r="J57" s="55" t="s">
        <v>1130</v>
      </c>
      <c r="K57" s="59" t="s">
        <v>7</v>
      </c>
    </row>
    <row r="58" ht="30" customHeight="1" spans="1:11">
      <c r="A58" s="55">
        <v>42</v>
      </c>
      <c r="B58" s="55" t="s">
        <v>1804</v>
      </c>
      <c r="C58" s="59" t="s">
        <v>1548</v>
      </c>
      <c r="D58" s="59" t="s">
        <v>3534</v>
      </c>
      <c r="E58" s="59" t="s">
        <v>3536</v>
      </c>
      <c r="F58" s="60" t="s">
        <v>1807</v>
      </c>
      <c r="G58" s="48"/>
      <c r="H58" s="48"/>
      <c r="I58" s="32"/>
      <c r="J58" s="55" t="s">
        <v>1130</v>
      </c>
      <c r="K58" s="59" t="s">
        <v>7</v>
      </c>
    </row>
    <row r="59" ht="30" customHeight="1" spans="1:11">
      <c r="A59" s="55">
        <v>43</v>
      </c>
      <c r="B59" s="55" t="s">
        <v>1804</v>
      </c>
      <c r="C59" s="59" t="s">
        <v>1548</v>
      </c>
      <c r="D59" s="59" t="s">
        <v>3538</v>
      </c>
      <c r="E59" s="59" t="s">
        <v>3540</v>
      </c>
      <c r="F59" s="60" t="s">
        <v>1807</v>
      </c>
      <c r="G59" s="48"/>
      <c r="H59" s="48"/>
      <c r="I59" s="32"/>
      <c r="J59" s="55" t="s">
        <v>1129</v>
      </c>
      <c r="K59" s="59" t="s">
        <v>7</v>
      </c>
    </row>
    <row r="60" ht="60" customHeight="1" spans="1:11">
      <c r="A60" s="55">
        <v>44</v>
      </c>
      <c r="B60" s="55" t="s">
        <v>1804</v>
      </c>
      <c r="C60" s="59" t="s">
        <v>1548</v>
      </c>
      <c r="D60" s="59" t="s">
        <v>3542</v>
      </c>
      <c r="E60" s="59" t="s">
        <v>3543</v>
      </c>
      <c r="F60" s="60" t="s">
        <v>3671</v>
      </c>
      <c r="G60" s="48"/>
      <c r="H60" s="48"/>
      <c r="I60" s="32"/>
      <c r="J60" s="55" t="s">
        <v>1129</v>
      </c>
      <c r="K60" s="59" t="s">
        <v>7</v>
      </c>
    </row>
    <row r="61" ht="30" customHeight="1" spans="1:11">
      <c r="A61" s="55">
        <v>45</v>
      </c>
      <c r="B61" s="55" t="s">
        <v>1804</v>
      </c>
      <c r="C61" s="59" t="s">
        <v>1548</v>
      </c>
      <c r="D61" s="59" t="s">
        <v>3549</v>
      </c>
      <c r="E61" s="59" t="s">
        <v>3551</v>
      </c>
      <c r="F61" s="60" t="s">
        <v>1807</v>
      </c>
      <c r="G61" s="48"/>
      <c r="H61" s="48"/>
      <c r="I61" s="32"/>
      <c r="J61" s="55" t="s">
        <v>1129</v>
      </c>
      <c r="K61" s="59" t="s">
        <v>7</v>
      </c>
    </row>
    <row r="62" ht="60" customHeight="1" spans="1:11">
      <c r="A62" s="55">
        <v>46</v>
      </c>
      <c r="B62" s="55" t="s">
        <v>1804</v>
      </c>
      <c r="C62" s="59" t="s">
        <v>1548</v>
      </c>
      <c r="D62" s="59" t="s">
        <v>3553</v>
      </c>
      <c r="E62" s="59" t="s">
        <v>3555</v>
      </c>
      <c r="F62" s="60" t="s">
        <v>3672</v>
      </c>
      <c r="G62" s="48"/>
      <c r="H62" s="48"/>
      <c r="I62" s="32"/>
      <c r="J62" s="55" t="s">
        <v>1129</v>
      </c>
      <c r="K62" s="59" t="s">
        <v>7</v>
      </c>
    </row>
    <row r="63" ht="60" customHeight="1" spans="1:11">
      <c r="A63" s="55">
        <v>47</v>
      </c>
      <c r="B63" s="55" t="s">
        <v>1804</v>
      </c>
      <c r="C63" s="59" t="s">
        <v>1548</v>
      </c>
      <c r="D63" s="59" t="s">
        <v>3558</v>
      </c>
      <c r="E63" s="59" t="s">
        <v>3559</v>
      </c>
      <c r="F63" s="60" t="s">
        <v>3673</v>
      </c>
      <c r="G63" s="48"/>
      <c r="H63" s="48"/>
      <c r="I63" s="32"/>
      <c r="J63" s="55" t="s">
        <v>1129</v>
      </c>
      <c r="K63" s="59" t="s">
        <v>7</v>
      </c>
    </row>
    <row r="64" ht="30" customHeight="1" spans="1:11">
      <c r="A64" s="55">
        <v>48</v>
      </c>
      <c r="B64" s="55" t="s">
        <v>1804</v>
      </c>
      <c r="C64" s="59" t="s">
        <v>1548</v>
      </c>
      <c r="D64" s="59" t="s">
        <v>3563</v>
      </c>
      <c r="E64" s="59" t="s">
        <v>3565</v>
      </c>
      <c r="F64" s="60" t="s">
        <v>1807</v>
      </c>
      <c r="G64" s="48"/>
      <c r="H64" s="48"/>
      <c r="I64" s="32"/>
      <c r="J64" s="55" t="s">
        <v>1130</v>
      </c>
      <c r="K64" s="59" t="s">
        <v>7</v>
      </c>
    </row>
    <row r="65" ht="30" customHeight="1" spans="1:11">
      <c r="A65" s="55">
        <v>49</v>
      </c>
      <c r="B65" s="55" t="s">
        <v>1804</v>
      </c>
      <c r="C65" s="59" t="s">
        <v>1548</v>
      </c>
      <c r="D65" s="59" t="s">
        <v>3571</v>
      </c>
      <c r="E65" s="59" t="s">
        <v>3573</v>
      </c>
      <c r="F65" s="60" t="s">
        <v>1807</v>
      </c>
      <c r="G65" s="48"/>
      <c r="H65" s="48"/>
      <c r="I65" s="32"/>
      <c r="J65" s="55" t="s">
        <v>1130</v>
      </c>
      <c r="K65" s="59" t="s">
        <v>7</v>
      </c>
    </row>
    <row r="66" ht="30" customHeight="1" spans="1:11">
      <c r="A66" s="55">
        <v>50</v>
      </c>
      <c r="B66" s="55" t="s">
        <v>1804</v>
      </c>
      <c r="C66" s="59" t="s">
        <v>1548</v>
      </c>
      <c r="D66" s="59" t="s">
        <v>3577</v>
      </c>
      <c r="E66" s="59" t="s">
        <v>3579</v>
      </c>
      <c r="F66" s="60" t="s">
        <v>1807</v>
      </c>
      <c r="G66" s="48"/>
      <c r="H66" s="48"/>
      <c r="I66" s="32"/>
      <c r="J66" s="55" t="s">
        <v>1129</v>
      </c>
      <c r="K66" s="59" t="s">
        <v>7</v>
      </c>
    </row>
    <row r="67" ht="60" customHeight="1" spans="1:11">
      <c r="A67" s="55">
        <v>51</v>
      </c>
      <c r="B67" s="55" t="s">
        <v>1804</v>
      </c>
      <c r="C67" s="59" t="s">
        <v>1548</v>
      </c>
      <c r="D67" s="59" t="s">
        <v>3582</v>
      </c>
      <c r="E67" s="59" t="s">
        <v>3584</v>
      </c>
      <c r="F67" s="60" t="s">
        <v>3674</v>
      </c>
      <c r="G67" s="48"/>
      <c r="H67" s="48"/>
      <c r="I67" s="32"/>
      <c r="J67" s="55" t="s">
        <v>1129</v>
      </c>
      <c r="K67" s="59" t="s">
        <v>7</v>
      </c>
    </row>
    <row r="68" ht="30" customHeight="1" spans="1:11">
      <c r="A68" s="55">
        <v>52</v>
      </c>
      <c r="B68" s="55" t="s">
        <v>1804</v>
      </c>
      <c r="C68" s="59" t="s">
        <v>1548</v>
      </c>
      <c r="D68" s="59" t="s">
        <v>3587</v>
      </c>
      <c r="E68" s="59" t="s">
        <v>3589</v>
      </c>
      <c r="F68" s="60" t="s">
        <v>1807</v>
      </c>
      <c r="G68" s="48"/>
      <c r="H68" s="48"/>
      <c r="I68" s="32"/>
      <c r="J68" s="55" t="s">
        <v>1129</v>
      </c>
      <c r="K68" s="59" t="s">
        <v>7</v>
      </c>
    </row>
    <row r="69" ht="30" customHeight="1" spans="1:11">
      <c r="A69" s="55">
        <v>53</v>
      </c>
      <c r="B69" s="55" t="s">
        <v>1804</v>
      </c>
      <c r="C69" s="59" t="s">
        <v>1548</v>
      </c>
      <c r="D69" s="59" t="s">
        <v>3591</v>
      </c>
      <c r="E69" s="59" t="s">
        <v>3592</v>
      </c>
      <c r="F69" s="60" t="s">
        <v>1807</v>
      </c>
      <c r="G69" s="48"/>
      <c r="H69" s="48"/>
      <c r="I69" s="32"/>
      <c r="J69" s="55" t="s">
        <v>1129</v>
      </c>
      <c r="K69" s="59" t="s">
        <v>7</v>
      </c>
    </row>
    <row r="70" ht="60" customHeight="1" spans="1:11">
      <c r="A70" s="55">
        <v>54</v>
      </c>
      <c r="B70" s="55" t="s">
        <v>1804</v>
      </c>
      <c r="C70" s="59" t="s">
        <v>1548</v>
      </c>
      <c r="D70" s="59" t="s">
        <v>3597</v>
      </c>
      <c r="E70" s="59" t="s">
        <v>3599</v>
      </c>
      <c r="F70" s="60" t="s">
        <v>3675</v>
      </c>
      <c r="G70" s="48"/>
      <c r="H70" s="48"/>
      <c r="I70" s="32"/>
      <c r="J70" s="55" t="s">
        <v>1129</v>
      </c>
      <c r="K70" s="59" t="s">
        <v>7</v>
      </c>
    </row>
    <row r="71" ht="30" customHeight="1" spans="1:11">
      <c r="A71" s="55">
        <v>55</v>
      </c>
      <c r="B71" s="55" t="s">
        <v>1804</v>
      </c>
      <c r="C71" s="59" t="s">
        <v>1548</v>
      </c>
      <c r="D71" s="59" t="s">
        <v>3602</v>
      </c>
      <c r="E71" s="59" t="s">
        <v>3604</v>
      </c>
      <c r="F71" s="60" t="s">
        <v>1807</v>
      </c>
      <c r="G71" s="48"/>
      <c r="H71" s="48"/>
      <c r="I71" s="32"/>
      <c r="J71" s="55" t="s">
        <v>1129</v>
      </c>
      <c r="K71" s="59" t="s">
        <v>7</v>
      </c>
    </row>
    <row r="72" ht="60" customHeight="1" spans="1:11">
      <c r="A72" s="55">
        <v>56</v>
      </c>
      <c r="B72" s="55" t="s">
        <v>1804</v>
      </c>
      <c r="C72" s="59" t="s">
        <v>1548</v>
      </c>
      <c r="D72" s="59" t="s">
        <v>3607</v>
      </c>
      <c r="E72" s="59" t="s">
        <v>3609</v>
      </c>
      <c r="F72" s="60" t="s">
        <v>3676</v>
      </c>
      <c r="G72" s="48"/>
      <c r="H72" s="48"/>
      <c r="I72" s="32"/>
      <c r="J72" s="55" t="s">
        <v>1129</v>
      </c>
      <c r="K72" s="59" t="s">
        <v>7</v>
      </c>
    </row>
    <row r="73" ht="60" customHeight="1" spans="1:11">
      <c r="A73" s="55">
        <v>57</v>
      </c>
      <c r="B73" s="55" t="s">
        <v>1804</v>
      </c>
      <c r="C73" s="59" t="s">
        <v>1548</v>
      </c>
      <c r="D73" s="59" t="s">
        <v>3612</v>
      </c>
      <c r="E73" s="59" t="s">
        <v>3613</v>
      </c>
      <c r="F73" s="60" t="s">
        <v>3677</v>
      </c>
      <c r="G73" s="48"/>
      <c r="H73" s="48"/>
      <c r="I73" s="32"/>
      <c r="J73" s="55" t="s">
        <v>1129</v>
      </c>
      <c r="K73" s="59" t="s">
        <v>7</v>
      </c>
    </row>
    <row r="74" ht="30" customHeight="1" spans="1:11">
      <c r="A74" s="55">
        <v>58</v>
      </c>
      <c r="B74" s="55" t="s">
        <v>1804</v>
      </c>
      <c r="C74" s="59" t="s">
        <v>1548</v>
      </c>
      <c r="D74" s="59" t="s">
        <v>3616</v>
      </c>
      <c r="E74" s="59" t="s">
        <v>3617</v>
      </c>
      <c r="F74" s="60" t="s">
        <v>1807</v>
      </c>
      <c r="G74" s="48"/>
      <c r="H74" s="48"/>
      <c r="I74" s="32"/>
      <c r="J74" s="55" t="s">
        <v>1129</v>
      </c>
      <c r="K74" s="59" t="s">
        <v>7</v>
      </c>
    </row>
    <row r="75" ht="30" customHeight="1" spans="1:11">
      <c r="A75" s="55">
        <v>59</v>
      </c>
      <c r="B75" s="55" t="s">
        <v>1804</v>
      </c>
      <c r="C75" s="59" t="s">
        <v>1548</v>
      </c>
      <c r="D75" s="59" t="s">
        <v>3621</v>
      </c>
      <c r="E75" s="59" t="s">
        <v>3622</v>
      </c>
      <c r="F75" s="60" t="s">
        <v>1807</v>
      </c>
      <c r="G75" s="48"/>
      <c r="H75" s="48"/>
      <c r="I75" s="32"/>
      <c r="J75" s="55" t="s">
        <v>1129</v>
      </c>
      <c r="K75" s="59" t="s">
        <v>7</v>
      </c>
    </row>
    <row r="76" ht="30" customHeight="1" spans="1:11">
      <c r="A76" s="55">
        <v>60</v>
      </c>
      <c r="B76" s="55" t="s">
        <v>1804</v>
      </c>
      <c r="C76" s="59" t="s">
        <v>1548</v>
      </c>
      <c r="D76" s="59" t="s">
        <v>3626</v>
      </c>
      <c r="E76" s="59" t="s">
        <v>3627</v>
      </c>
      <c r="F76" s="60" t="s">
        <v>1807</v>
      </c>
      <c r="G76" s="48"/>
      <c r="H76" s="48"/>
      <c r="I76" s="32"/>
      <c r="J76" s="55" t="s">
        <v>1129</v>
      </c>
      <c r="K76" s="59" t="s">
        <v>7</v>
      </c>
    </row>
    <row r="77" ht="15.75" spans="1:11">
      <c r="A77" s="58" t="s">
        <v>1818</v>
      </c>
      <c r="B77" s="48"/>
      <c r="C77" s="48"/>
      <c r="D77" s="48"/>
      <c r="E77" s="48"/>
      <c r="F77" s="48"/>
      <c r="G77" s="48"/>
      <c r="H77" s="48"/>
      <c r="I77" s="48"/>
      <c r="J77" s="48"/>
      <c r="K77" s="48"/>
    </row>
    <row r="78" ht="30" customHeight="1" spans="1:11">
      <c r="A78" s="55">
        <v>61</v>
      </c>
      <c r="B78" s="55" t="s">
        <v>1819</v>
      </c>
      <c r="C78" s="59" t="s">
        <v>3678</v>
      </c>
      <c r="D78" s="59" t="s">
        <v>3126</v>
      </c>
      <c r="E78" s="59" t="s">
        <v>3127</v>
      </c>
      <c r="F78" s="60" t="s">
        <v>3129</v>
      </c>
      <c r="G78" s="48"/>
      <c r="H78" s="48"/>
      <c r="I78" s="32"/>
      <c r="J78" s="55" t="s">
        <v>1129</v>
      </c>
      <c r="K78" s="59" t="s">
        <v>7</v>
      </c>
    </row>
    <row r="79" ht="45" customHeight="1" spans="1:11">
      <c r="A79" s="55">
        <v>62</v>
      </c>
      <c r="B79" s="55" t="s">
        <v>1819</v>
      </c>
      <c r="C79" s="59" t="s">
        <v>3678</v>
      </c>
      <c r="D79" s="59" t="s">
        <v>3131</v>
      </c>
      <c r="E79" s="59" t="s">
        <v>3132</v>
      </c>
      <c r="F79" s="60" t="s">
        <v>3134</v>
      </c>
      <c r="G79" s="48"/>
      <c r="H79" s="48"/>
      <c r="I79" s="32"/>
      <c r="J79" s="55" t="s">
        <v>1129</v>
      </c>
      <c r="K79" s="59" t="s">
        <v>7</v>
      </c>
    </row>
    <row r="80" ht="30" customHeight="1" spans="1:11">
      <c r="A80" s="55">
        <v>63</v>
      </c>
      <c r="B80" s="55" t="s">
        <v>1819</v>
      </c>
      <c r="C80" s="59" t="s">
        <v>3678</v>
      </c>
      <c r="D80" s="59" t="s">
        <v>3136</v>
      </c>
      <c r="E80" s="59" t="s">
        <v>3137</v>
      </c>
      <c r="F80" s="60" t="s">
        <v>3139</v>
      </c>
      <c r="G80" s="48"/>
      <c r="H80" s="48"/>
      <c r="I80" s="32"/>
      <c r="J80" s="55" t="s">
        <v>1129</v>
      </c>
      <c r="K80" s="59" t="s">
        <v>7</v>
      </c>
    </row>
    <row r="81" ht="30" customHeight="1" spans="1:11">
      <c r="A81" s="55">
        <v>64</v>
      </c>
      <c r="B81" s="55" t="s">
        <v>1819</v>
      </c>
      <c r="C81" s="59" t="s">
        <v>3678</v>
      </c>
      <c r="D81" s="59" t="s">
        <v>3141</v>
      </c>
      <c r="E81" s="59" t="s">
        <v>3142</v>
      </c>
      <c r="F81" s="60" t="s">
        <v>3143</v>
      </c>
      <c r="G81" s="48"/>
      <c r="H81" s="48"/>
      <c r="I81" s="32"/>
      <c r="J81" s="55" t="s">
        <v>1129</v>
      </c>
      <c r="K81" s="59" t="s">
        <v>7</v>
      </c>
    </row>
    <row r="82" ht="30" customHeight="1" spans="1:11">
      <c r="A82" s="55">
        <v>65</v>
      </c>
      <c r="B82" s="55" t="s">
        <v>1819</v>
      </c>
      <c r="C82" s="59" t="s">
        <v>3678</v>
      </c>
      <c r="D82" s="59" t="s">
        <v>3145</v>
      </c>
      <c r="E82" s="59" t="s">
        <v>3146</v>
      </c>
      <c r="F82" s="60" t="s">
        <v>3148</v>
      </c>
      <c r="G82" s="48"/>
      <c r="H82" s="48"/>
      <c r="I82" s="32"/>
      <c r="J82" s="55" t="s">
        <v>1129</v>
      </c>
      <c r="K82" s="59" t="s">
        <v>7</v>
      </c>
    </row>
    <row r="83" ht="45" customHeight="1" spans="1:11">
      <c r="A83" s="55">
        <v>66</v>
      </c>
      <c r="B83" s="55" t="s">
        <v>1819</v>
      </c>
      <c r="C83" s="59" t="s">
        <v>3678</v>
      </c>
      <c r="D83" s="59" t="s">
        <v>3150</v>
      </c>
      <c r="E83" s="59" t="s">
        <v>3151</v>
      </c>
      <c r="F83" s="60" t="s">
        <v>3153</v>
      </c>
      <c r="G83" s="48"/>
      <c r="H83" s="48"/>
      <c r="I83" s="32"/>
      <c r="J83" s="55" t="s">
        <v>1129</v>
      </c>
      <c r="K83" s="59" t="s">
        <v>7</v>
      </c>
    </row>
    <row r="84" customHeight="1" spans="1:11">
      <c r="A84" s="55">
        <v>67</v>
      </c>
      <c r="B84" s="55" t="s">
        <v>1819</v>
      </c>
      <c r="C84" s="59" t="s">
        <v>3678</v>
      </c>
      <c r="D84" s="59" t="s">
        <v>3156</v>
      </c>
      <c r="E84" s="59" t="s">
        <v>3157</v>
      </c>
      <c r="F84" s="60" t="s">
        <v>3159</v>
      </c>
      <c r="G84" s="48"/>
      <c r="H84" s="48"/>
      <c r="I84" s="32"/>
      <c r="J84" s="55" t="s">
        <v>1129</v>
      </c>
      <c r="K84" s="59" t="s">
        <v>7</v>
      </c>
    </row>
    <row r="85" ht="30" customHeight="1" spans="1:11">
      <c r="A85" s="55">
        <v>68</v>
      </c>
      <c r="B85" s="55" t="s">
        <v>1819</v>
      </c>
      <c r="C85" s="59" t="s">
        <v>3678</v>
      </c>
      <c r="D85" s="59" t="s">
        <v>3161</v>
      </c>
      <c r="E85" s="59" t="s">
        <v>3162</v>
      </c>
      <c r="F85" s="60" t="s">
        <v>3164</v>
      </c>
      <c r="G85" s="48"/>
      <c r="H85" s="48"/>
      <c r="I85" s="32"/>
      <c r="J85" s="55" t="s">
        <v>1129</v>
      </c>
      <c r="K85" s="59" t="s">
        <v>7</v>
      </c>
    </row>
    <row r="86" ht="45" customHeight="1" spans="1:11">
      <c r="A86" s="55">
        <v>69</v>
      </c>
      <c r="B86" s="55" t="s">
        <v>1819</v>
      </c>
      <c r="C86" s="59" t="s">
        <v>3678</v>
      </c>
      <c r="D86" s="59" t="s">
        <v>3166</v>
      </c>
      <c r="E86" s="59" t="s">
        <v>3167</v>
      </c>
      <c r="F86" s="60" t="s">
        <v>3169</v>
      </c>
      <c r="G86" s="48"/>
      <c r="H86" s="48"/>
      <c r="I86" s="32"/>
      <c r="J86" s="55" t="s">
        <v>1129</v>
      </c>
      <c r="K86" s="59" t="s">
        <v>7</v>
      </c>
    </row>
    <row r="87" ht="30" customHeight="1" spans="1:11">
      <c r="A87" s="55">
        <v>70</v>
      </c>
      <c r="B87" s="55" t="s">
        <v>1819</v>
      </c>
      <c r="C87" s="59" t="s">
        <v>3678</v>
      </c>
      <c r="D87" s="59" t="s">
        <v>3171</v>
      </c>
      <c r="E87" s="59" t="s">
        <v>3172</v>
      </c>
      <c r="F87" s="60" t="s">
        <v>3174</v>
      </c>
      <c r="G87" s="48"/>
      <c r="H87" s="48"/>
      <c r="I87" s="32"/>
      <c r="J87" s="55" t="s">
        <v>1129</v>
      </c>
      <c r="K87" s="59" t="s">
        <v>7</v>
      </c>
    </row>
    <row r="88" ht="30" customHeight="1" spans="1:11">
      <c r="A88" s="55">
        <v>71</v>
      </c>
      <c r="B88" s="55" t="s">
        <v>1819</v>
      </c>
      <c r="C88" s="59" t="s">
        <v>3678</v>
      </c>
      <c r="D88" s="59" t="s">
        <v>3176</v>
      </c>
      <c r="E88" s="59" t="s">
        <v>3177</v>
      </c>
      <c r="F88" s="60" t="s">
        <v>3179</v>
      </c>
      <c r="G88" s="48"/>
      <c r="H88" s="48"/>
      <c r="I88" s="32"/>
      <c r="J88" s="55" t="s">
        <v>1129</v>
      </c>
      <c r="K88" s="59" t="s">
        <v>7</v>
      </c>
    </row>
    <row r="89" ht="30" customHeight="1" spans="1:11">
      <c r="A89" s="55">
        <v>72</v>
      </c>
      <c r="B89" s="55" t="s">
        <v>1819</v>
      </c>
      <c r="C89" s="59" t="s">
        <v>3678</v>
      </c>
      <c r="D89" s="59" t="s">
        <v>3182</v>
      </c>
      <c r="E89" s="59" t="s">
        <v>3183</v>
      </c>
      <c r="F89" s="60" t="s">
        <v>3185</v>
      </c>
      <c r="G89" s="48"/>
      <c r="H89" s="48"/>
      <c r="I89" s="32"/>
      <c r="J89" s="55" t="s">
        <v>1130</v>
      </c>
      <c r="K89" s="59" t="s">
        <v>7</v>
      </c>
    </row>
    <row r="90" ht="30" customHeight="1" spans="1:11">
      <c r="A90" s="55">
        <v>73</v>
      </c>
      <c r="B90" s="55" t="s">
        <v>1819</v>
      </c>
      <c r="C90" s="59" t="s">
        <v>3678</v>
      </c>
      <c r="D90" s="59" t="s">
        <v>3188</v>
      </c>
      <c r="E90" s="59" t="s">
        <v>3189</v>
      </c>
      <c r="F90" s="60" t="s">
        <v>3191</v>
      </c>
      <c r="G90" s="48"/>
      <c r="H90" s="48"/>
      <c r="I90" s="32"/>
      <c r="J90" s="55" t="s">
        <v>1129</v>
      </c>
      <c r="K90" s="59" t="s">
        <v>7</v>
      </c>
    </row>
    <row r="91" ht="30" customHeight="1" spans="1:11">
      <c r="A91" s="55">
        <v>74</v>
      </c>
      <c r="B91" s="55" t="s">
        <v>1819</v>
      </c>
      <c r="C91" s="59" t="s">
        <v>3678</v>
      </c>
      <c r="D91" s="59" t="s">
        <v>3193</v>
      </c>
      <c r="E91" s="59" t="s">
        <v>3194</v>
      </c>
      <c r="F91" s="60" t="s">
        <v>3196</v>
      </c>
      <c r="G91" s="48"/>
      <c r="H91" s="48"/>
      <c r="I91" s="32"/>
      <c r="J91" s="55" t="s">
        <v>1129</v>
      </c>
      <c r="K91" s="59" t="s">
        <v>7</v>
      </c>
    </row>
    <row r="92" ht="30" customHeight="1" spans="1:11">
      <c r="A92" s="55">
        <v>75</v>
      </c>
      <c r="B92" s="55" t="s">
        <v>1819</v>
      </c>
      <c r="C92" s="59" t="s">
        <v>3678</v>
      </c>
      <c r="D92" s="59" t="s">
        <v>3200</v>
      </c>
      <c r="E92" s="59" t="s">
        <v>3201</v>
      </c>
      <c r="F92" s="60" t="s">
        <v>3203</v>
      </c>
      <c r="G92" s="48"/>
      <c r="H92" s="48"/>
      <c r="I92" s="32"/>
      <c r="J92" s="55" t="s">
        <v>1129</v>
      </c>
      <c r="K92" s="59" t="s">
        <v>7</v>
      </c>
    </row>
    <row r="93" ht="30" customHeight="1" spans="1:11">
      <c r="A93" s="55">
        <v>76</v>
      </c>
      <c r="B93" s="55" t="s">
        <v>1819</v>
      </c>
      <c r="C93" s="59" t="s">
        <v>3678</v>
      </c>
      <c r="D93" s="59" t="s">
        <v>3205</v>
      </c>
      <c r="E93" s="59" t="s">
        <v>3206</v>
      </c>
      <c r="F93" s="60" t="s">
        <v>3207</v>
      </c>
      <c r="G93" s="48"/>
      <c r="H93" s="48"/>
      <c r="I93" s="32"/>
      <c r="J93" s="55" t="s">
        <v>1130</v>
      </c>
      <c r="K93" s="59" t="s">
        <v>7</v>
      </c>
    </row>
    <row r="94" ht="30" customHeight="1" spans="1:11">
      <c r="A94" s="55">
        <v>77</v>
      </c>
      <c r="B94" s="55" t="s">
        <v>1819</v>
      </c>
      <c r="C94" s="59" t="s">
        <v>3678</v>
      </c>
      <c r="D94" s="59" t="s">
        <v>3210</v>
      </c>
      <c r="E94" s="59" t="s">
        <v>3211</v>
      </c>
      <c r="F94" s="60" t="s">
        <v>3213</v>
      </c>
      <c r="G94" s="48"/>
      <c r="H94" s="48"/>
      <c r="I94" s="32"/>
      <c r="J94" s="55" t="s">
        <v>1129</v>
      </c>
      <c r="K94" s="59" t="s">
        <v>7</v>
      </c>
    </row>
    <row r="95" customHeight="1" spans="1:11">
      <c r="A95" s="55">
        <v>78</v>
      </c>
      <c r="B95" s="55" t="s">
        <v>1819</v>
      </c>
      <c r="C95" s="59" t="s">
        <v>3678</v>
      </c>
      <c r="D95" s="59" t="s">
        <v>3215</v>
      </c>
      <c r="E95" s="59" t="s">
        <v>3216</v>
      </c>
      <c r="F95" s="60" t="s">
        <v>3218</v>
      </c>
      <c r="G95" s="48"/>
      <c r="H95" s="48"/>
      <c r="I95" s="32"/>
      <c r="J95" s="55" t="s">
        <v>1129</v>
      </c>
      <c r="K95" s="59" t="s">
        <v>7</v>
      </c>
    </row>
    <row r="96" ht="30" customHeight="1" spans="1:11">
      <c r="A96" s="55">
        <v>79</v>
      </c>
      <c r="B96" s="55" t="s">
        <v>1819</v>
      </c>
      <c r="C96" s="59" t="s">
        <v>3678</v>
      </c>
      <c r="D96" s="59" t="s">
        <v>3220</v>
      </c>
      <c r="E96" s="59" t="s">
        <v>3221</v>
      </c>
      <c r="F96" s="60" t="s">
        <v>3223</v>
      </c>
      <c r="G96" s="48"/>
      <c r="H96" s="48"/>
      <c r="I96" s="32"/>
      <c r="J96" s="55" t="s">
        <v>1130</v>
      </c>
      <c r="K96" s="59" t="s">
        <v>7</v>
      </c>
    </row>
    <row r="97" customHeight="1" spans="1:11">
      <c r="A97" s="55">
        <v>80</v>
      </c>
      <c r="B97" s="55" t="s">
        <v>1819</v>
      </c>
      <c r="C97" s="59" t="s">
        <v>3678</v>
      </c>
      <c r="D97" s="59" t="s">
        <v>3226</v>
      </c>
      <c r="E97" s="59" t="s">
        <v>3227</v>
      </c>
      <c r="F97" s="60" t="s">
        <v>3229</v>
      </c>
      <c r="G97" s="48"/>
      <c r="H97" s="48"/>
      <c r="I97" s="32"/>
      <c r="J97" s="55" t="s">
        <v>1130</v>
      </c>
      <c r="K97" s="59" t="s">
        <v>7</v>
      </c>
    </row>
    <row r="98" ht="30" customHeight="1" spans="1:11">
      <c r="A98" s="55">
        <v>81</v>
      </c>
      <c r="B98" s="55" t="s">
        <v>1819</v>
      </c>
      <c r="C98" s="59" t="s">
        <v>3678</v>
      </c>
      <c r="D98" s="59" t="s">
        <v>3233</v>
      </c>
      <c r="E98" s="59" t="s">
        <v>3234</v>
      </c>
      <c r="F98" s="60" t="s">
        <v>3236</v>
      </c>
      <c r="G98" s="48"/>
      <c r="H98" s="48"/>
      <c r="I98" s="32"/>
      <c r="J98" s="55" t="s">
        <v>1129</v>
      </c>
      <c r="K98" s="59" t="s">
        <v>7</v>
      </c>
    </row>
    <row r="99" ht="45" customHeight="1" spans="1:11">
      <c r="A99" s="55">
        <v>82</v>
      </c>
      <c r="B99" s="55" t="s">
        <v>1819</v>
      </c>
      <c r="C99" s="59" t="s">
        <v>3678</v>
      </c>
      <c r="D99" s="59" t="s">
        <v>3238</v>
      </c>
      <c r="E99" s="59" t="s">
        <v>3239</v>
      </c>
      <c r="F99" s="60" t="s">
        <v>3241</v>
      </c>
      <c r="G99" s="48"/>
      <c r="H99" s="48"/>
      <c r="I99" s="32"/>
      <c r="J99" s="55" t="s">
        <v>1129</v>
      </c>
      <c r="K99" s="59" t="s">
        <v>7</v>
      </c>
    </row>
    <row r="100" ht="30" customHeight="1" spans="1:11">
      <c r="A100" s="55">
        <v>83</v>
      </c>
      <c r="B100" s="55" t="s">
        <v>1819</v>
      </c>
      <c r="C100" s="59" t="s">
        <v>3678</v>
      </c>
      <c r="D100" s="59" t="s">
        <v>3244</v>
      </c>
      <c r="E100" s="59" t="s">
        <v>3245</v>
      </c>
      <c r="F100" s="60" t="s">
        <v>3247</v>
      </c>
      <c r="G100" s="48"/>
      <c r="H100" s="48"/>
      <c r="I100" s="32"/>
      <c r="J100" s="55" t="s">
        <v>1129</v>
      </c>
      <c r="K100" s="59" t="s">
        <v>7</v>
      </c>
    </row>
    <row r="101" ht="30" customHeight="1" spans="1:11">
      <c r="A101" s="55">
        <v>84</v>
      </c>
      <c r="B101" s="55" t="s">
        <v>1819</v>
      </c>
      <c r="C101" s="59" t="s">
        <v>3678</v>
      </c>
      <c r="D101" s="59" t="s">
        <v>3249</v>
      </c>
      <c r="E101" s="59" t="s">
        <v>3250</v>
      </c>
      <c r="F101" s="60" t="s">
        <v>3252</v>
      </c>
      <c r="G101" s="48"/>
      <c r="H101" s="48"/>
      <c r="I101" s="32"/>
      <c r="J101" s="55" t="s">
        <v>1129</v>
      </c>
      <c r="K101" s="59" t="s">
        <v>7</v>
      </c>
    </row>
    <row r="102" ht="30" customHeight="1" spans="1:11">
      <c r="A102" s="55">
        <v>85</v>
      </c>
      <c r="B102" s="55" t="s">
        <v>1819</v>
      </c>
      <c r="C102" s="59" t="s">
        <v>3678</v>
      </c>
      <c r="D102" s="59" t="s">
        <v>3254</v>
      </c>
      <c r="E102" s="59" t="s">
        <v>3255</v>
      </c>
      <c r="F102" s="60" t="s">
        <v>3257</v>
      </c>
      <c r="G102" s="48"/>
      <c r="H102" s="48"/>
      <c r="I102" s="32"/>
      <c r="J102" s="55" t="s">
        <v>1129</v>
      </c>
      <c r="K102" s="59" t="s">
        <v>7</v>
      </c>
    </row>
  </sheetData>
  <mergeCells count="102">
    <mergeCell ref="A1:K1"/>
    <mergeCell ref="B3:C3"/>
    <mergeCell ref="B4:C4"/>
    <mergeCell ref="B5:C5"/>
    <mergeCell ref="A7:K7"/>
    <mergeCell ref="A8:B8"/>
    <mergeCell ref="G8:K8"/>
    <mergeCell ref="A9:B9"/>
    <mergeCell ref="G9:K9"/>
    <mergeCell ref="A10:B10"/>
    <mergeCell ref="G10:K10"/>
    <mergeCell ref="A11:B11"/>
    <mergeCell ref="G11:K11"/>
    <mergeCell ref="F13:I13"/>
    <mergeCell ref="A15:K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35:I35"/>
    <mergeCell ref="F36:I36"/>
    <mergeCell ref="F37:I37"/>
    <mergeCell ref="F38:I38"/>
    <mergeCell ref="F39:I39"/>
    <mergeCell ref="F40:I40"/>
    <mergeCell ref="A41:K41"/>
    <mergeCell ref="F42:I42"/>
    <mergeCell ref="F43:I43"/>
    <mergeCell ref="F44:I44"/>
    <mergeCell ref="F45:I45"/>
    <mergeCell ref="F46:I46"/>
    <mergeCell ref="F47:I47"/>
    <mergeCell ref="F48:I48"/>
    <mergeCell ref="F49:I49"/>
    <mergeCell ref="F50:I50"/>
    <mergeCell ref="F51:I51"/>
    <mergeCell ref="F52:I52"/>
    <mergeCell ref="F53:I53"/>
    <mergeCell ref="F54:I54"/>
    <mergeCell ref="F55:I55"/>
    <mergeCell ref="F56:I56"/>
    <mergeCell ref="F57:I57"/>
    <mergeCell ref="F58:I58"/>
    <mergeCell ref="F59:I59"/>
    <mergeCell ref="F60:I60"/>
    <mergeCell ref="F61:I61"/>
    <mergeCell ref="F62:I62"/>
    <mergeCell ref="F63:I63"/>
    <mergeCell ref="F64:I64"/>
    <mergeCell ref="F65:I65"/>
    <mergeCell ref="F66:I66"/>
    <mergeCell ref="F67:I67"/>
    <mergeCell ref="F68:I68"/>
    <mergeCell ref="F69:I69"/>
    <mergeCell ref="F70:I70"/>
    <mergeCell ref="F71:I71"/>
    <mergeCell ref="F72:I72"/>
    <mergeCell ref="F73:I73"/>
    <mergeCell ref="F74:I74"/>
    <mergeCell ref="F75:I75"/>
    <mergeCell ref="F76:I76"/>
    <mergeCell ref="A77:K77"/>
    <mergeCell ref="F78:I78"/>
    <mergeCell ref="F79:I79"/>
    <mergeCell ref="F80:I80"/>
    <mergeCell ref="F81:I81"/>
    <mergeCell ref="F82:I82"/>
    <mergeCell ref="F83:I83"/>
    <mergeCell ref="F84:I84"/>
    <mergeCell ref="F85:I85"/>
    <mergeCell ref="F86:I86"/>
    <mergeCell ref="F87:I87"/>
    <mergeCell ref="F88:I88"/>
    <mergeCell ref="F89:I89"/>
    <mergeCell ref="F90:I90"/>
    <mergeCell ref="F91:I91"/>
    <mergeCell ref="F92:I92"/>
    <mergeCell ref="F93:I93"/>
    <mergeCell ref="F94:I94"/>
    <mergeCell ref="F95:I95"/>
    <mergeCell ref="F96:I96"/>
    <mergeCell ref="F97:I97"/>
    <mergeCell ref="F98:I98"/>
    <mergeCell ref="F99:I99"/>
    <mergeCell ref="F100:I100"/>
    <mergeCell ref="F101:I101"/>
    <mergeCell ref="F102:I102"/>
  </mergeCells>
  <conditionalFormatting sqref="J15:J102">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2"/>
  <sheetViews>
    <sheetView workbookViewId="0">
      <selection activeCell="A1" sqref="A1:H1"/>
    </sheetView>
  </sheetViews>
  <sheetFormatPr defaultColWidth="9" defaultRowHeight="15"/>
  <cols>
    <col min="1" max="1" width="9" customWidth="1"/>
    <col min="2" max="2" width="14" customWidth="1"/>
    <col min="3" max="3" width="40" customWidth="1"/>
    <col min="4" max="4" width="30" customWidth="1"/>
    <col min="5" max="5" width="10" customWidth="1"/>
    <col min="6" max="6" width="9" customWidth="1"/>
    <col min="7" max="12" width="10" customWidth="1"/>
    <col min="13" max="13" width="12" customWidth="1"/>
    <col min="14" max="15" width="10" customWidth="1"/>
  </cols>
  <sheetData>
    <row r="1" ht="20.25" spans="1:4">
      <c r="A1" s="20" t="s">
        <v>3679</v>
      </c>
    </row>
    <row r="3" ht="28.5" spans="1:4">
      <c r="A3" s="21" t="s">
        <v>1822</v>
      </c>
      <c r="B3" s="22" t="s">
        <v>1823</v>
      </c>
    </row>
    <row r="4" ht="28.5" spans="1:4">
      <c r="A4" s="21" t="s">
        <v>1544</v>
      </c>
      <c r="B4" s="22" t="s">
        <v>3680</v>
      </c>
    </row>
    <row r="5" ht="42.75" spans="1:4">
      <c r="A5" s="21" t="s">
        <v>1825</v>
      </c>
      <c r="B5" s="23" t="s">
        <v>1826</v>
      </c>
    </row>
    <row r="7" ht="15.75" spans="1:4">
      <c r="A7" s="24" t="s">
        <v>1827</v>
      </c>
    </row>
    <row r="8" ht="28.5" spans="1:4">
      <c r="A8" s="25" t="s">
        <v>211</v>
      </c>
      <c r="B8" s="25" t="s">
        <v>1828</v>
      </c>
      <c r="C8" s="25" t="s">
        <v>1829</v>
      </c>
      <c r="D8" s="25" t="s">
        <v>1830</v>
      </c>
    </row>
    <row r="9" ht="30" customHeight="1" spans="1:4">
      <c r="A9" s="26">
        <v>1</v>
      </c>
      <c r="B9" s="27" t="s">
        <v>1831</v>
      </c>
      <c r="C9" s="28" t="s">
        <v>3681</v>
      </c>
      <c r="D9" s="29" t="s">
        <v>1833</v>
      </c>
    </row>
    <row r="10" ht="30" customHeight="1" spans="1:4">
      <c r="A10" s="26">
        <v>2</v>
      </c>
      <c r="B10" s="27" t="s">
        <v>1834</v>
      </c>
      <c r="C10" s="28" t="s">
        <v>3682</v>
      </c>
      <c r="D10" s="29" t="s">
        <v>1836</v>
      </c>
    </row>
    <row r="12" ht="15.75" spans="1:4">
      <c r="A12" s="30" t="s">
        <v>1837</v>
      </c>
    </row>
    <row r="13" spans="1:4">
      <c r="A13" s="31" t="s">
        <v>1838</v>
      </c>
      <c r="B13" s="32"/>
      <c r="C13" s="31" t="s">
        <v>1839</v>
      </c>
      <c r="D13" s="32"/>
    </row>
    <row r="14" customHeight="1" spans="1:4">
      <c r="A14" s="33" t="s">
        <v>1840</v>
      </c>
      <c r="B14" s="32"/>
      <c r="C14" s="34" t="s">
        <v>1841</v>
      </c>
      <c r="D14" s="32"/>
    </row>
    <row r="15" customHeight="1" spans="1:4">
      <c r="A15" s="33" t="s">
        <v>1842</v>
      </c>
      <c r="B15" s="32"/>
      <c r="C15" s="34" t="s">
        <v>1843</v>
      </c>
      <c r="D15" s="32"/>
    </row>
    <row r="16" customHeight="1" spans="1:4">
      <c r="A16" s="33" t="s">
        <v>1844</v>
      </c>
      <c r="B16" s="32"/>
      <c r="C16" s="34" t="s">
        <v>1845</v>
      </c>
      <c r="D16" s="32"/>
    </row>
    <row r="17" customHeight="1" spans="1:15">
      <c r="A17" s="33" t="s">
        <v>1846</v>
      </c>
      <c r="B17" s="32"/>
      <c r="C17" s="34" t="s">
        <v>1847</v>
      </c>
      <c r="D17" s="32"/>
    </row>
    <row r="18" customHeight="1" spans="1:15">
      <c r="A18" s="33" t="s">
        <v>1848</v>
      </c>
      <c r="B18" s="32"/>
      <c r="C18" s="34" t="s">
        <v>1849</v>
      </c>
      <c r="D18" s="32"/>
    </row>
    <row r="19" ht="30" customHeight="1" spans="1:15">
      <c r="A19" s="33" t="s">
        <v>1850</v>
      </c>
      <c r="B19" s="32"/>
      <c r="C19" s="34" t="s">
        <v>1851</v>
      </c>
      <c r="D19" s="32"/>
    </row>
    <row r="20" ht="30" customHeight="1" spans="1:15">
      <c r="A20" s="33" t="s">
        <v>1852</v>
      </c>
      <c r="B20" s="32"/>
      <c r="C20" s="34" t="s">
        <v>1853</v>
      </c>
      <c r="D20" s="32"/>
    </row>
    <row r="21" customHeight="1" spans="1:15">
      <c r="A21" s="33" t="s">
        <v>1854</v>
      </c>
      <c r="B21" s="32"/>
      <c r="C21" s="34" t="s">
        <v>1855</v>
      </c>
      <c r="D21" s="32"/>
    </row>
    <row r="23" ht="15.75" spans="1:15">
      <c r="A23" s="24" t="s">
        <v>1856</v>
      </c>
    </row>
    <row r="24" ht="28.5" spans="1:15">
      <c r="A24" s="31" t="s">
        <v>211</v>
      </c>
      <c r="B24" s="31" t="s">
        <v>1857</v>
      </c>
      <c r="C24" s="32"/>
      <c r="D24" s="31" t="s">
        <v>1858</v>
      </c>
    </row>
    <row r="25" ht="45" customHeight="1" spans="1:15">
      <c r="A25" s="35">
        <v>1</v>
      </c>
      <c r="B25" s="33" t="s">
        <v>3683</v>
      </c>
      <c r="C25" s="32"/>
      <c r="D25" s="34" t="s">
        <v>3684</v>
      </c>
    </row>
    <row r="26" customHeight="1" spans="1:15">
      <c r="A26" s="35">
        <v>2</v>
      </c>
      <c r="B26" s="33" t="s">
        <v>3685</v>
      </c>
      <c r="C26" s="32"/>
      <c r="D26" s="34" t="s">
        <v>3686</v>
      </c>
    </row>
    <row r="28" spans="1:15">
      <c r="A28" s="36" t="s">
        <v>1863</v>
      </c>
      <c r="B28" s="37"/>
      <c r="C28" s="37"/>
      <c r="D28" s="37"/>
      <c r="E28" s="37"/>
      <c r="F28" s="37"/>
      <c r="G28" s="37"/>
      <c r="H28" s="37"/>
      <c r="I28" s="37"/>
      <c r="J28" s="37"/>
      <c r="K28" s="37"/>
      <c r="L28" s="37"/>
      <c r="M28" s="37"/>
      <c r="N28" s="37"/>
      <c r="O28" s="37"/>
    </row>
    <row r="29" ht="32" customHeight="1" spans="1:15">
      <c r="A29" s="38" t="s">
        <v>211</v>
      </c>
      <c r="B29" s="38" t="s">
        <v>1828</v>
      </c>
      <c r="C29" s="38" t="s">
        <v>1864</v>
      </c>
      <c r="D29" s="38" t="s">
        <v>1865</v>
      </c>
      <c r="E29" s="38" t="s">
        <v>1866</v>
      </c>
      <c r="F29" s="38" t="s">
        <v>1867</v>
      </c>
      <c r="G29" s="38" t="s">
        <v>1868</v>
      </c>
      <c r="H29" s="38" t="s">
        <v>1869</v>
      </c>
      <c r="I29" s="38" t="s">
        <v>1870</v>
      </c>
      <c r="J29" s="38" t="s">
        <v>1871</v>
      </c>
      <c r="K29" s="38" t="s">
        <v>1872</v>
      </c>
      <c r="L29" s="38" t="s">
        <v>1873</v>
      </c>
      <c r="M29" s="38" t="s">
        <v>1874</v>
      </c>
      <c r="N29" s="38" t="s">
        <v>1875</v>
      </c>
      <c r="O29" s="38" t="s">
        <v>1876</v>
      </c>
    </row>
    <row r="30" customHeight="1" spans="1:15">
      <c r="A30" s="39">
        <v>1</v>
      </c>
      <c r="B30" s="39" t="s">
        <v>1831</v>
      </c>
      <c r="C30" s="40" t="s">
        <v>3687</v>
      </c>
      <c r="D30" s="39" t="s">
        <v>1878</v>
      </c>
      <c r="E30" s="39">
        <v>20</v>
      </c>
      <c r="F30" s="39">
        <v>30</v>
      </c>
      <c r="G30" s="39">
        <v>5</v>
      </c>
      <c r="H30" s="39">
        <v>168417</v>
      </c>
      <c r="I30" s="39">
        <v>3</v>
      </c>
      <c r="J30" s="39">
        <v>7</v>
      </c>
      <c r="K30" s="39">
        <v>0</v>
      </c>
      <c r="L30" s="39">
        <v>62</v>
      </c>
      <c r="M30" s="39">
        <v>5613.5</v>
      </c>
      <c r="N30" s="41">
        <v>0</v>
      </c>
      <c r="O30" s="39" t="s">
        <v>1385</v>
      </c>
    </row>
    <row r="31" customHeight="1" spans="1:15">
      <c r="A31" s="39">
        <v>2</v>
      </c>
      <c r="B31" s="39" t="s">
        <v>1831</v>
      </c>
      <c r="C31" s="40" t="s">
        <v>3688</v>
      </c>
      <c r="D31" s="39" t="s">
        <v>1878</v>
      </c>
      <c r="E31" s="39">
        <v>20</v>
      </c>
      <c r="F31" s="39">
        <v>30</v>
      </c>
      <c r="G31" s="39">
        <v>22</v>
      </c>
      <c r="H31" s="39">
        <v>38503</v>
      </c>
      <c r="I31" s="39">
        <v>15</v>
      </c>
      <c r="J31" s="39">
        <v>25</v>
      </c>
      <c r="K31" s="39">
        <v>6</v>
      </c>
      <c r="L31" s="39">
        <v>121</v>
      </c>
      <c r="M31" s="39">
        <v>1282.8</v>
      </c>
      <c r="N31" s="41">
        <v>0</v>
      </c>
      <c r="O31" s="39" t="s">
        <v>1385</v>
      </c>
    </row>
    <row r="32" ht="30" customHeight="1" spans="1:15">
      <c r="A32" s="39">
        <v>3</v>
      </c>
      <c r="B32" s="39" t="s">
        <v>1834</v>
      </c>
      <c r="C32" s="40" t="s">
        <v>3689</v>
      </c>
      <c r="D32" s="39" t="s">
        <v>1881</v>
      </c>
      <c r="E32" s="39">
        <v>50</v>
      </c>
      <c r="F32" s="39">
        <v>30</v>
      </c>
      <c r="G32" s="39">
        <v>391</v>
      </c>
      <c r="H32" s="39">
        <v>5484</v>
      </c>
      <c r="I32" s="39">
        <v>274</v>
      </c>
      <c r="J32" s="39">
        <v>468</v>
      </c>
      <c r="K32" s="39">
        <v>43</v>
      </c>
      <c r="L32" s="39">
        <v>1150</v>
      </c>
      <c r="M32" s="39">
        <v>181.5</v>
      </c>
      <c r="N32" s="41">
        <v>0</v>
      </c>
      <c r="O32" s="39" t="s">
        <v>1385</v>
      </c>
    </row>
    <row r="33" spans="1:15">
      <c r="A33" s="42" t="s">
        <v>1882</v>
      </c>
      <c r="B33" s="42" t="s">
        <v>1883</v>
      </c>
      <c r="C33" s="42" t="s">
        <v>1884</v>
      </c>
      <c r="D33" s="42" t="s">
        <v>1885</v>
      </c>
      <c r="H33" s="43">
        <f>SUM(H30:H32)</f>
        <v>212404</v>
      </c>
      <c r="I33" s="44">
        <f>IFERROR(SUMPRODUCT(H30:H32,I30:I32)/H33,0)</f>
        <v>12.1721436507787</v>
      </c>
      <c r="N33" s="45">
        <f>IFERROR(SUMPRODUCT(H30:H32,N30:N32)/H33,0)</f>
        <v>0</v>
      </c>
      <c r="O33" s="43" t="str">
        <f>IF(COUNTIF(O30:O32,"FAIL")=0,"PASS","FAIL")</f>
        <v>PASS</v>
      </c>
    </row>
    <row r="35" spans="1:15">
      <c r="A35" s="46" t="s">
        <v>1886</v>
      </c>
      <c r="B35" s="16"/>
      <c r="C35" s="16"/>
      <c r="D35" s="16"/>
      <c r="E35" s="17"/>
    </row>
    <row r="36" ht="30" spans="1:15">
      <c r="A36" s="38" t="s">
        <v>1887</v>
      </c>
      <c r="B36" s="38" t="s">
        <v>332</v>
      </c>
      <c r="C36" s="38" t="s">
        <v>1888</v>
      </c>
      <c r="D36" s="38" t="s">
        <v>1889</v>
      </c>
      <c r="E36" s="38" t="s">
        <v>430</v>
      </c>
    </row>
    <row r="37" customHeight="1" spans="1:15">
      <c r="A37" s="47" t="s">
        <v>1831</v>
      </c>
      <c r="B37" s="47" t="s">
        <v>1878</v>
      </c>
      <c r="C37" s="47" t="s">
        <v>2979</v>
      </c>
      <c r="D37" s="47" t="s">
        <v>1891</v>
      </c>
      <c r="E37" s="47" t="s">
        <v>3687</v>
      </c>
    </row>
    <row r="38" ht="30" customHeight="1" spans="1:15">
      <c r="A38" s="47" t="s">
        <v>1831</v>
      </c>
      <c r="B38" s="47" t="s">
        <v>1878</v>
      </c>
      <c r="C38" s="47" t="s">
        <v>2979</v>
      </c>
      <c r="D38" s="47" t="s">
        <v>1891</v>
      </c>
      <c r="E38" s="47" t="s">
        <v>3688</v>
      </c>
    </row>
    <row r="39" ht="30" customHeight="1" spans="1:15">
      <c r="A39" s="47" t="s">
        <v>1834</v>
      </c>
      <c r="B39" s="47" t="s">
        <v>1881</v>
      </c>
      <c r="C39" s="47" t="s">
        <v>2980</v>
      </c>
      <c r="D39" s="47" t="s">
        <v>1891</v>
      </c>
      <c r="E39" s="47" t="s">
        <v>3689</v>
      </c>
    </row>
    <row r="41" spans="1:15">
      <c r="A41" s="46" t="s">
        <v>1893</v>
      </c>
      <c r="B41" s="16"/>
      <c r="C41" s="16"/>
      <c r="D41" s="16"/>
      <c r="E41" s="16"/>
      <c r="F41" s="16"/>
      <c r="G41" s="16"/>
      <c r="H41" s="16"/>
      <c r="I41" s="16"/>
      <c r="J41" s="16"/>
      <c r="K41" s="16"/>
      <c r="L41" s="16"/>
      <c r="M41" s="16"/>
      <c r="N41" s="16"/>
      <c r="O41" s="17"/>
    </row>
    <row r="42" customHeight="1" spans="1:15">
      <c r="A42" s="47" t="s">
        <v>1894</v>
      </c>
      <c r="B42" s="48"/>
      <c r="C42" s="48"/>
      <c r="D42" s="48"/>
      <c r="E42" s="48"/>
      <c r="F42" s="48"/>
      <c r="G42" s="48"/>
      <c r="H42" s="48"/>
      <c r="I42" s="48"/>
      <c r="J42" s="48"/>
      <c r="K42" s="48"/>
      <c r="L42" s="48"/>
      <c r="M42" s="48"/>
      <c r="N42" s="48"/>
      <c r="O42" s="32"/>
    </row>
  </sheetData>
  <mergeCells count="32">
    <mergeCell ref="A1:H1"/>
    <mergeCell ref="B3:H3"/>
    <mergeCell ref="B4:H4"/>
    <mergeCell ref="B5:H5"/>
    <mergeCell ref="A7:D7"/>
    <mergeCell ref="A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3:D23"/>
    <mergeCell ref="B24:C24"/>
    <mergeCell ref="B25:C25"/>
    <mergeCell ref="B26:C26"/>
    <mergeCell ref="A28:O28"/>
    <mergeCell ref="A35:E35"/>
    <mergeCell ref="A41:O41"/>
    <mergeCell ref="A42:O42"/>
  </mergeCells>
  <conditionalFormatting sqref="O30:O33">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workbookViewId="0">
      <selection activeCell="A1" sqref="A1:G1"/>
    </sheetView>
  </sheetViews>
  <sheetFormatPr defaultColWidth="9" defaultRowHeight="15" outlineLevelCol="6"/>
  <cols>
    <col min="1" max="1" width="34" customWidth="1"/>
    <col min="2" max="2" width="14" customWidth="1"/>
    <col min="3" max="6" width="13" customWidth="1"/>
    <col min="7" max="7" width="44" customWidth="1"/>
  </cols>
  <sheetData>
    <row r="1" ht="19.5" spans="1:7">
      <c r="A1" s="1" t="s">
        <v>1895</v>
      </c>
    </row>
    <row r="2" spans="1:7">
      <c r="A2" s="2" t="s">
        <v>226</v>
      </c>
      <c r="C2" s="2" t="s">
        <v>227</v>
      </c>
    </row>
    <row r="3" spans="1:7">
      <c r="A3" s="2" t="s">
        <v>528</v>
      </c>
      <c r="C3" s="2" t="s">
        <v>231</v>
      </c>
    </row>
    <row r="4" spans="1:7">
      <c r="A4" s="2" t="s">
        <v>1896</v>
      </c>
      <c r="C4" s="2" t="s">
        <v>47</v>
      </c>
    </row>
    <row r="5" spans="1:7">
      <c r="A5" s="2" t="s">
        <v>1897</v>
      </c>
      <c r="C5" s="2" t="s">
        <v>7</v>
      </c>
    </row>
    <row r="6" spans="1:7">
      <c r="A6" s="2" t="s">
        <v>1898</v>
      </c>
      <c r="C6" s="2" t="s">
        <v>233</v>
      </c>
    </row>
    <row r="7" spans="1:7">
      <c r="A7" s="2" t="s">
        <v>1899</v>
      </c>
      <c r="C7" s="2">
        <f>B16</f>
        <v>85</v>
      </c>
    </row>
    <row r="8" spans="1:7">
      <c r="A8" s="2" t="s">
        <v>1900</v>
      </c>
      <c r="C8" s="3" t="s">
        <v>1901</v>
      </c>
    </row>
    <row r="10" spans="1:7">
      <c r="A10" s="4" t="s">
        <v>1902</v>
      </c>
      <c r="B10" s="5"/>
      <c r="C10" s="5"/>
      <c r="D10" s="5"/>
      <c r="E10" s="5"/>
      <c r="F10" s="5"/>
      <c r="G10" s="6"/>
    </row>
    <row r="11" ht="32" customHeight="1" spans="1:7">
      <c r="A11" s="7" t="s">
        <v>1903</v>
      </c>
      <c r="B11" s="7" t="s">
        <v>1904</v>
      </c>
      <c r="C11" s="7" t="s">
        <v>1553</v>
      </c>
      <c r="D11" s="7" t="s">
        <v>1554</v>
      </c>
      <c r="E11" s="7" t="s">
        <v>1905</v>
      </c>
      <c r="F11" s="7" t="s">
        <v>1759</v>
      </c>
      <c r="G11" s="7" t="s">
        <v>1906</v>
      </c>
    </row>
    <row r="12" customHeight="1" spans="1:7">
      <c r="A12" s="8" t="s">
        <v>1907</v>
      </c>
      <c r="B12" s="9">
        <f>'PH3-Kiểm thử giao diện'!C16</f>
        <v>25</v>
      </c>
      <c r="C12" s="9">
        <f>'PH3-Kiểm thử giao diện'!E16</f>
        <v>21</v>
      </c>
      <c r="D12" s="9">
        <f>'PH3-Kiểm thử giao diện'!F16</f>
        <v>4</v>
      </c>
      <c r="E12" s="9">
        <f>'PH3-Kiểm thử giao diện'!D16</f>
        <v>0</v>
      </c>
      <c r="F12" s="10">
        <f>IFERROR(C12/B12,0)</f>
        <v>0.84</v>
      </c>
      <c r="G12" s="11" t="s">
        <v>1908</v>
      </c>
    </row>
    <row r="13" ht="30" customHeight="1" spans="1:7">
      <c r="A13" s="8" t="s">
        <v>1909</v>
      </c>
      <c r="B13" s="9">
        <f>'PH3-Kiểm thử API(Postman)'!A10</f>
        <v>35</v>
      </c>
      <c r="C13" s="9">
        <f>'PH3-Kiểm thử API(Postman)'!B10</f>
        <v>29</v>
      </c>
      <c r="D13" s="9">
        <f>'PH3-Kiểm thử API(Postman)'!C10</f>
        <v>6</v>
      </c>
      <c r="E13" s="9">
        <v>0</v>
      </c>
      <c r="F13" s="10">
        <f>IFERROR(C13/B13,0)</f>
        <v>0.828571428571429</v>
      </c>
      <c r="G13" s="11" t="s">
        <v>3690</v>
      </c>
    </row>
    <row r="14" ht="30" customHeight="1" spans="1:7">
      <c r="A14" s="8" t="s">
        <v>1911</v>
      </c>
      <c r="B14" s="9">
        <f>'PH3-Unit test'!B82</f>
        <v>25</v>
      </c>
      <c r="C14" s="9">
        <f>'PH3-Unit test'!B83</f>
        <v>22</v>
      </c>
      <c r="D14" s="9">
        <f>'PH3-Unit test'!B84</f>
        <v>3</v>
      </c>
      <c r="E14" s="9">
        <v>0</v>
      </c>
      <c r="F14" s="10">
        <f>IFERROR(C14/B14,0)</f>
        <v>0.88</v>
      </c>
      <c r="G14" s="11" t="s">
        <v>3691</v>
      </c>
    </row>
    <row r="15" ht="30" customHeight="1" spans="1:7">
      <c r="A15" s="8" t="s">
        <v>1913</v>
      </c>
      <c r="B15" s="9">
        <f>COUNTA('PH3-Kiểm thử hiệu năng'!O30:O32)</f>
        <v>3</v>
      </c>
      <c r="C15" s="9">
        <f>COUNTIF('PH3-Kiểm thử hiệu năng'!O30:O32,"PASS")</f>
        <v>3</v>
      </c>
      <c r="D15" s="9">
        <f>COUNTIF('PH3-Kiểm thử hiệu năng'!O30:O32,"FAIL")</f>
        <v>0</v>
      </c>
      <c r="E15" s="9">
        <v>0</v>
      </c>
      <c r="F15" s="10">
        <f>IFERROR(C15/B15,0)</f>
        <v>1</v>
      </c>
      <c r="G15" s="11" t="s">
        <v>1894</v>
      </c>
    </row>
    <row r="16" spans="1:7">
      <c r="A16" s="12" t="s">
        <v>1914</v>
      </c>
      <c r="B16" s="7">
        <f>SUMIF($A$12:$A$15,"&lt;&gt;Kiểm thử Hiệu năng*",B12:B15)</f>
        <v>85</v>
      </c>
      <c r="C16" s="7">
        <f>SUMIF($A$12:$A$15,"&lt;&gt;Kiểm thử Hiệu năng*",C12:C15)</f>
        <v>72</v>
      </c>
      <c r="D16" s="7">
        <f>SUMIF($A$12:$A$15,"&lt;&gt;Kiểm thử Hiệu năng*",D12:D15)</f>
        <v>13</v>
      </c>
      <c r="E16" s="7">
        <f>SUMIF($A$12:$A$15,"&lt;&gt;Kiểm thử Hiệu năng*",E12:E15)</f>
        <v>0</v>
      </c>
      <c r="F16" s="13">
        <f>IFERROR(C16/B16,0)</f>
        <v>0.847058823529412</v>
      </c>
      <c r="G16" s="12" t="s">
        <v>7</v>
      </c>
    </row>
    <row r="18" ht="400" customHeight="1" spans="1:7">
      <c r="A18" s="14" t="s">
        <v>1915</v>
      </c>
      <c r="B18" s="15" t="s">
        <v>3692</v>
      </c>
      <c r="C18" s="16"/>
      <c r="D18" s="16"/>
      <c r="E18" s="16"/>
      <c r="F18" s="16"/>
      <c r="G18" s="17"/>
    </row>
    <row r="19" ht="400" customHeight="1" spans="1:7">
      <c r="A19" s="18" t="s">
        <v>1917</v>
      </c>
      <c r="B19" s="15" t="s">
        <v>3693</v>
      </c>
      <c r="C19" s="16"/>
      <c r="D19" s="16"/>
      <c r="E19" s="17"/>
      <c r="F19" s="15" t="s">
        <v>3694</v>
      </c>
      <c r="G19" s="17"/>
    </row>
    <row r="20" ht="180" customHeight="1" spans="1:7">
      <c r="A20" s="14" t="s">
        <v>1920</v>
      </c>
      <c r="B20" s="15" t="s">
        <v>3111</v>
      </c>
      <c r="C20" s="16"/>
      <c r="D20" s="16"/>
      <c r="E20" s="16"/>
      <c r="F20" s="16"/>
      <c r="G20" s="17"/>
    </row>
    <row r="21" ht="45" customHeight="1" spans="1:7">
      <c r="A21" s="14" t="s">
        <v>1921</v>
      </c>
      <c r="B21" s="15" t="s">
        <v>3695</v>
      </c>
      <c r="C21" s="16"/>
      <c r="D21" s="16"/>
      <c r="E21" s="16"/>
      <c r="F21" s="16"/>
      <c r="G21" s="17"/>
    </row>
    <row r="22" ht="32" customHeight="1" spans="1:7">
      <c r="A22" s="19" t="s">
        <v>1923</v>
      </c>
    </row>
  </sheetData>
  <mergeCells count="21">
    <mergeCell ref="A1:G1"/>
    <mergeCell ref="A2:B2"/>
    <mergeCell ref="C2:F2"/>
    <mergeCell ref="A3:B3"/>
    <mergeCell ref="C3:F3"/>
    <mergeCell ref="A4:B4"/>
    <mergeCell ref="C4:F4"/>
    <mergeCell ref="A5:B5"/>
    <mergeCell ref="C5:F5"/>
    <mergeCell ref="A6:B6"/>
    <mergeCell ref="C6:F6"/>
    <mergeCell ref="A7:B7"/>
    <mergeCell ref="C7:F7"/>
    <mergeCell ref="A8:B8"/>
    <mergeCell ref="C8:F8"/>
    <mergeCell ref="A10:G10"/>
    <mergeCell ref="B18:G18"/>
    <mergeCell ref="B19:E19"/>
    <mergeCell ref="F19:G19"/>
    <mergeCell ref="B20:G20"/>
    <mergeCell ref="B21:G21"/>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
  <sheetViews>
    <sheetView workbookViewId="0">
      <pane xSplit="1" ySplit="13" topLeftCell="B14" activePane="bottomRight" state="frozen"/>
      <selection/>
      <selection pane="topRight"/>
      <selection pane="bottomLeft"/>
      <selection pane="bottomRight" activeCell="A1" sqref="A1:F1"/>
    </sheetView>
  </sheetViews>
  <sheetFormatPr defaultColWidth="9" defaultRowHeight="15" outlineLevelCol="5"/>
  <cols>
    <col min="1" max="1" width="57.7142857142857" customWidth="1"/>
    <col min="2" max="2" width="11.1428571428571" customWidth="1"/>
    <col min="3" max="3" width="13.5714285714286" customWidth="1"/>
    <col min="4" max="4" width="13" customWidth="1"/>
    <col min="5" max="5" width="38.5714285714286" customWidth="1"/>
    <col min="6" max="6" width="13" customWidth="1"/>
  </cols>
  <sheetData>
    <row r="1" ht="24" customHeight="1" spans="1:6">
      <c r="A1" s="144" t="s">
        <v>69</v>
      </c>
    </row>
    <row r="3" customHeight="1" spans="1:6">
      <c r="A3" s="145" t="s">
        <v>226</v>
      </c>
      <c r="B3" s="146" t="s">
        <v>227</v>
      </c>
      <c r="C3" s="147"/>
      <c r="D3" s="147"/>
      <c r="E3" s="147"/>
      <c r="F3" s="147"/>
    </row>
    <row r="4" customHeight="1" spans="1:6">
      <c r="A4" s="145" t="s">
        <v>528</v>
      </c>
      <c r="B4" s="146" t="s">
        <v>231</v>
      </c>
      <c r="C4" s="147"/>
      <c r="D4" s="147"/>
      <c r="E4" s="147"/>
      <c r="F4" s="147"/>
    </row>
    <row r="5" customHeight="1" spans="1:6">
      <c r="A5" s="145" t="s">
        <v>529</v>
      </c>
      <c r="B5" s="146" t="s">
        <v>48</v>
      </c>
      <c r="C5" s="147"/>
      <c r="D5" s="147"/>
      <c r="E5" s="147"/>
      <c r="F5" s="147"/>
    </row>
    <row r="6" customHeight="1" spans="1:6">
      <c r="A6" s="145" t="s">
        <v>422</v>
      </c>
      <c r="B6" s="146" t="s">
        <v>60</v>
      </c>
      <c r="C6" s="147"/>
      <c r="D6" s="147"/>
      <c r="E6" s="147"/>
      <c r="F6" s="147"/>
    </row>
    <row r="7" customHeight="1" spans="1:6">
      <c r="A7" s="145" t="s">
        <v>238</v>
      </c>
      <c r="B7" s="146" t="s">
        <v>7</v>
      </c>
      <c r="C7" s="147"/>
      <c r="D7" s="147"/>
      <c r="E7" s="147"/>
      <c r="F7" s="147"/>
    </row>
    <row r="8" customHeight="1" spans="1:6">
      <c r="A8" s="145" t="s">
        <v>421</v>
      </c>
      <c r="B8" s="146" t="s">
        <v>233</v>
      </c>
      <c r="C8" s="147"/>
      <c r="D8" s="147"/>
      <c r="E8" s="147"/>
      <c r="F8" s="147"/>
    </row>
    <row r="9" ht="45" customHeight="1" spans="1:6">
      <c r="A9" s="145" t="s">
        <v>423</v>
      </c>
      <c r="B9" s="148" t="s">
        <v>3696</v>
      </c>
      <c r="C9" s="147"/>
      <c r="D9" s="147"/>
      <c r="E9" s="147"/>
      <c r="F9" s="147"/>
    </row>
    <row r="10" customHeight="1" spans="1:6">
      <c r="A10" s="145" t="s">
        <v>532</v>
      </c>
      <c r="B10" s="146" t="s">
        <v>103</v>
      </c>
      <c r="C10" s="147"/>
      <c r="D10" s="147"/>
      <c r="E10" s="147"/>
      <c r="F10" s="147"/>
    </row>
    <row r="11" ht="90" customHeight="1" spans="1:6">
      <c r="A11" s="145" t="s">
        <v>935</v>
      </c>
      <c r="B11" s="148" t="s">
        <v>3697</v>
      </c>
      <c r="C11" s="147"/>
      <c r="D11" s="147"/>
      <c r="E11" s="147"/>
      <c r="F11" s="147"/>
    </row>
    <row r="13" spans="1:6">
      <c r="A13" s="149" t="s">
        <v>426</v>
      </c>
      <c r="B13" s="150" t="s">
        <v>427</v>
      </c>
      <c r="C13" s="150" t="s">
        <v>428</v>
      </c>
      <c r="D13" s="150" t="s">
        <v>429</v>
      </c>
      <c r="E13" s="150" t="s">
        <v>430</v>
      </c>
      <c r="F13" s="150" t="s">
        <v>431</v>
      </c>
    </row>
    <row r="14" spans="1:6">
      <c r="A14" s="149" t="s">
        <v>432</v>
      </c>
      <c r="B14" s="149"/>
      <c r="C14" s="149"/>
      <c r="D14" s="149"/>
      <c r="E14" s="149"/>
      <c r="F14" s="149"/>
    </row>
    <row r="15" ht="60" customHeight="1" spans="1:6">
      <c r="A15" s="151" t="s">
        <v>433</v>
      </c>
      <c r="B15" s="152"/>
      <c r="C15" s="152" t="s">
        <v>434</v>
      </c>
      <c r="D15" s="152"/>
      <c r="E15" s="151" t="s">
        <v>3698</v>
      </c>
      <c r="F15" s="152" t="s">
        <v>436</v>
      </c>
    </row>
    <row r="16" ht="45" customHeight="1" spans="1:6">
      <c r="A16" s="151" t="s">
        <v>437</v>
      </c>
      <c r="B16" s="152"/>
      <c r="C16" s="152" t="s">
        <v>434</v>
      </c>
      <c r="D16" s="152"/>
      <c r="E16" s="151" t="s">
        <v>3699</v>
      </c>
      <c r="F16" s="152" t="s">
        <v>436</v>
      </c>
    </row>
    <row r="17" ht="75" customHeight="1" spans="1:6">
      <c r="A17" s="151" t="s">
        <v>535</v>
      </c>
      <c r="B17" s="152"/>
      <c r="C17" s="152" t="s">
        <v>434</v>
      </c>
      <c r="D17" s="152"/>
      <c r="E17" s="151" t="s">
        <v>3700</v>
      </c>
      <c r="F17" s="152" t="s">
        <v>436</v>
      </c>
    </row>
    <row r="18" ht="30" customHeight="1" spans="1:6">
      <c r="A18" s="151" t="s">
        <v>537</v>
      </c>
      <c r="B18" s="152"/>
      <c r="C18" s="152" t="s">
        <v>434</v>
      </c>
      <c r="D18" s="152"/>
      <c r="E18" s="151" t="s">
        <v>3701</v>
      </c>
      <c r="F18" s="152" t="s">
        <v>436</v>
      </c>
    </row>
    <row r="19" ht="30" customHeight="1" spans="1:6">
      <c r="A19" s="151" t="s">
        <v>539</v>
      </c>
      <c r="B19" s="152"/>
      <c r="C19" s="152" t="s">
        <v>434</v>
      </c>
      <c r="D19" s="152"/>
      <c r="E19" s="151" t="s">
        <v>2997</v>
      </c>
      <c r="F19" s="152" t="s">
        <v>436</v>
      </c>
    </row>
    <row r="20" ht="30" customHeight="1" spans="1:6">
      <c r="A20" s="151" t="s">
        <v>541</v>
      </c>
      <c r="B20" s="152"/>
      <c r="C20" s="152" t="s">
        <v>434</v>
      </c>
      <c r="D20" s="152"/>
      <c r="E20" s="151" t="s">
        <v>3702</v>
      </c>
      <c r="F20" s="152" t="s">
        <v>436</v>
      </c>
    </row>
    <row r="21" ht="60" customHeight="1" spans="1:6">
      <c r="A21" s="151" t="s">
        <v>543</v>
      </c>
      <c r="B21" s="152"/>
      <c r="C21" s="152" t="s">
        <v>434</v>
      </c>
      <c r="D21" s="152"/>
      <c r="E21" s="151" t="s">
        <v>3703</v>
      </c>
      <c r="F21" s="152" t="s">
        <v>436</v>
      </c>
    </row>
    <row r="22" ht="45" customHeight="1" spans="1:6">
      <c r="A22" s="151" t="s">
        <v>449</v>
      </c>
      <c r="B22" s="152"/>
      <c r="C22" s="152"/>
      <c r="D22" s="152" t="s">
        <v>434</v>
      </c>
      <c r="E22" s="151" t="s">
        <v>3704</v>
      </c>
      <c r="F22" s="152" t="s">
        <v>436</v>
      </c>
    </row>
    <row r="23" ht="30" customHeight="1" spans="1:6">
      <c r="A23" s="151" t="s">
        <v>451</v>
      </c>
      <c r="B23" s="152"/>
      <c r="C23" s="152"/>
      <c r="D23" s="152" t="s">
        <v>434</v>
      </c>
      <c r="E23" s="151" t="s">
        <v>3705</v>
      </c>
      <c r="F23" s="152" t="s">
        <v>436</v>
      </c>
    </row>
    <row r="24" spans="1:6">
      <c r="A24" s="149" t="s">
        <v>547</v>
      </c>
      <c r="B24" s="149"/>
      <c r="C24" s="149"/>
      <c r="D24" s="149"/>
      <c r="E24" s="149"/>
      <c r="F24" s="149"/>
    </row>
    <row r="25" ht="45" customHeight="1" spans="1:6">
      <c r="A25" s="151" t="s">
        <v>548</v>
      </c>
      <c r="B25" s="152"/>
      <c r="C25" s="152" t="s">
        <v>434</v>
      </c>
      <c r="D25" s="152"/>
      <c r="E25" s="151" t="s">
        <v>3706</v>
      </c>
      <c r="F25" s="152" t="s">
        <v>436</v>
      </c>
    </row>
    <row r="26" ht="90" customHeight="1" spans="1:6">
      <c r="A26" s="151" t="s">
        <v>550</v>
      </c>
      <c r="B26" s="152" t="s">
        <v>434</v>
      </c>
      <c r="C26" s="152"/>
      <c r="D26" s="152"/>
      <c r="E26" s="151" t="s">
        <v>3707</v>
      </c>
      <c r="F26" s="152" t="s">
        <v>436</v>
      </c>
    </row>
    <row r="27" ht="105" customHeight="1" spans="1:6">
      <c r="A27" s="151" t="s">
        <v>552</v>
      </c>
      <c r="B27" s="152"/>
      <c r="C27" s="152" t="s">
        <v>434</v>
      </c>
      <c r="D27" s="152"/>
      <c r="E27" s="151" t="s">
        <v>3708</v>
      </c>
      <c r="F27" s="152" t="s">
        <v>436</v>
      </c>
    </row>
    <row r="28" customHeight="1" spans="1:6">
      <c r="A28" s="151" t="s">
        <v>554</v>
      </c>
      <c r="B28" s="152"/>
      <c r="C28" s="152" t="s">
        <v>434</v>
      </c>
      <c r="D28" s="152"/>
      <c r="E28" s="151" t="s">
        <v>3709</v>
      </c>
      <c r="F28" s="152" t="s">
        <v>436</v>
      </c>
    </row>
    <row r="29" customHeight="1" spans="1:6">
      <c r="A29" s="151" t="s">
        <v>556</v>
      </c>
      <c r="B29" s="152"/>
      <c r="C29" s="152"/>
      <c r="D29" s="152" t="s">
        <v>434</v>
      </c>
      <c r="E29" s="151" t="s">
        <v>557</v>
      </c>
      <c r="F29" s="152" t="s">
        <v>7</v>
      </c>
    </row>
    <row r="30" customHeight="1" spans="1:6">
      <c r="A30" s="151" t="s">
        <v>224</v>
      </c>
      <c r="B30" s="152"/>
      <c r="C30" s="152"/>
      <c r="D30" s="152" t="s">
        <v>434</v>
      </c>
      <c r="E30" s="151" t="s">
        <v>557</v>
      </c>
      <c r="F30" s="152" t="s">
        <v>7</v>
      </c>
    </row>
    <row r="31" customHeight="1" spans="1:6">
      <c r="A31" s="151" t="s">
        <v>558</v>
      </c>
      <c r="B31" s="152"/>
      <c r="C31" s="152"/>
      <c r="D31" s="152" t="s">
        <v>434</v>
      </c>
      <c r="E31" s="151" t="s">
        <v>557</v>
      </c>
      <c r="F31" s="152" t="s">
        <v>7</v>
      </c>
    </row>
    <row r="32" customHeight="1" spans="1:6">
      <c r="A32" s="151" t="s">
        <v>246</v>
      </c>
      <c r="B32" s="152"/>
      <c r="C32" s="152"/>
      <c r="D32" s="152" t="s">
        <v>434</v>
      </c>
      <c r="E32" s="151" t="s">
        <v>557</v>
      </c>
      <c r="F32" s="152" t="s">
        <v>7</v>
      </c>
    </row>
    <row r="33" ht="75" customHeight="1" spans="1:6">
      <c r="A33" s="151" t="s">
        <v>559</v>
      </c>
      <c r="B33" s="152" t="s">
        <v>434</v>
      </c>
      <c r="C33" s="152"/>
      <c r="D33" s="152"/>
      <c r="E33" s="151" t="s">
        <v>3710</v>
      </c>
      <c r="F33" s="152" t="s">
        <v>436</v>
      </c>
    </row>
    <row r="34" customHeight="1" spans="1:6">
      <c r="A34" s="151" t="s">
        <v>561</v>
      </c>
      <c r="B34" s="152"/>
      <c r="C34" s="152" t="s">
        <v>434</v>
      </c>
      <c r="D34" s="152"/>
      <c r="E34" s="151" t="s">
        <v>3711</v>
      </c>
      <c r="F34" s="152" t="s">
        <v>436</v>
      </c>
    </row>
    <row r="35" spans="1:6">
      <c r="A35" s="149" t="s">
        <v>563</v>
      </c>
      <c r="B35" s="149"/>
      <c r="C35" s="149"/>
      <c r="D35" s="149"/>
      <c r="E35" s="149"/>
      <c r="F35" s="149"/>
    </row>
    <row r="36" ht="75" customHeight="1" spans="1:6">
      <c r="A36" s="151" t="s">
        <v>564</v>
      </c>
      <c r="B36" s="152" t="s">
        <v>434</v>
      </c>
      <c r="C36" s="152"/>
      <c r="D36" s="152"/>
      <c r="E36" s="151" t="s">
        <v>3712</v>
      </c>
      <c r="F36" s="152" t="s">
        <v>436</v>
      </c>
    </row>
    <row r="37" ht="30" customHeight="1" spans="1:6">
      <c r="A37" s="151" t="s">
        <v>566</v>
      </c>
      <c r="B37" s="152" t="s">
        <v>434</v>
      </c>
      <c r="C37" s="152"/>
      <c r="D37" s="152"/>
      <c r="E37" s="151" t="s">
        <v>3713</v>
      </c>
      <c r="F37" s="152" t="s">
        <v>436</v>
      </c>
    </row>
    <row r="38" ht="30" customHeight="1" spans="1:6">
      <c r="A38" s="151" t="s">
        <v>568</v>
      </c>
      <c r="B38" s="152" t="s">
        <v>434</v>
      </c>
      <c r="C38" s="152"/>
      <c r="D38" s="152"/>
      <c r="E38" s="151" t="s">
        <v>3714</v>
      </c>
      <c r="F38" s="152" t="s">
        <v>436</v>
      </c>
    </row>
    <row r="39" ht="45" customHeight="1" spans="1:6">
      <c r="A39" s="151" t="s">
        <v>570</v>
      </c>
      <c r="B39" s="152" t="s">
        <v>434</v>
      </c>
      <c r="C39" s="152"/>
      <c r="D39" s="152"/>
      <c r="E39" s="151" t="s">
        <v>3715</v>
      </c>
      <c r="F39" s="152" t="s">
        <v>436</v>
      </c>
    </row>
    <row r="40" ht="165" customHeight="1" spans="1:6">
      <c r="A40" s="151" t="s">
        <v>572</v>
      </c>
      <c r="B40" s="152"/>
      <c r="C40" s="152" t="s">
        <v>434</v>
      </c>
      <c r="D40" s="152"/>
      <c r="E40" s="151" t="s">
        <v>3716</v>
      </c>
      <c r="F40" s="152" t="s">
        <v>436</v>
      </c>
    </row>
    <row r="41" ht="45" customHeight="1" spans="1:6">
      <c r="A41" s="151" t="s">
        <v>574</v>
      </c>
      <c r="B41" s="152" t="s">
        <v>434</v>
      </c>
      <c r="C41" s="152"/>
      <c r="D41" s="152"/>
      <c r="E41" s="151" t="s">
        <v>3717</v>
      </c>
      <c r="F41" s="152" t="s">
        <v>7</v>
      </c>
    </row>
    <row r="42" ht="60" customHeight="1" spans="1:6">
      <c r="A42" s="151" t="s">
        <v>576</v>
      </c>
      <c r="B42" s="152" t="s">
        <v>434</v>
      </c>
      <c r="C42" s="152"/>
      <c r="D42" s="152"/>
      <c r="E42" s="151" t="s">
        <v>3718</v>
      </c>
      <c r="F42" s="152" t="s">
        <v>7</v>
      </c>
    </row>
    <row r="43" ht="45" customHeight="1" spans="1:6">
      <c r="A43" s="151" t="s">
        <v>578</v>
      </c>
      <c r="B43" s="152" t="s">
        <v>434</v>
      </c>
      <c r="C43" s="152"/>
      <c r="D43" s="152"/>
      <c r="E43" s="151" t="s">
        <v>3719</v>
      </c>
      <c r="F43" s="152" t="s">
        <v>7</v>
      </c>
    </row>
    <row r="44" ht="30" customHeight="1" spans="1:6">
      <c r="A44" s="151" t="s">
        <v>580</v>
      </c>
      <c r="B44" s="152"/>
      <c r="C44" s="152" t="s">
        <v>434</v>
      </c>
      <c r="D44" s="152"/>
      <c r="E44" s="151" t="s">
        <v>3720</v>
      </c>
      <c r="F44" s="152" t="s">
        <v>436</v>
      </c>
    </row>
    <row r="45" ht="60" customHeight="1" spans="1:6">
      <c r="A45" s="151" t="s">
        <v>582</v>
      </c>
      <c r="B45" s="152" t="s">
        <v>434</v>
      </c>
      <c r="C45" s="152"/>
      <c r="D45" s="152"/>
      <c r="E45" s="151" t="s">
        <v>3721</v>
      </c>
      <c r="F45" s="152" t="s">
        <v>7</v>
      </c>
    </row>
    <row r="46" ht="90" customHeight="1" spans="1:6">
      <c r="A46" s="151" t="s">
        <v>584</v>
      </c>
      <c r="B46" s="152"/>
      <c r="C46" s="152" t="s">
        <v>434</v>
      </c>
      <c r="D46" s="152"/>
      <c r="E46" s="151" t="s">
        <v>3722</v>
      </c>
      <c r="F46" s="152" t="s">
        <v>7</v>
      </c>
    </row>
    <row r="47" spans="1:6">
      <c r="A47" s="153" t="s">
        <v>586</v>
      </c>
      <c r="B47" s="149"/>
      <c r="C47" s="149"/>
      <c r="D47" s="149"/>
      <c r="E47" s="149"/>
      <c r="F47" s="149"/>
    </row>
    <row r="48" customHeight="1" spans="1:6">
      <c r="A48" s="151" t="s">
        <v>962</v>
      </c>
      <c r="B48" s="152"/>
      <c r="C48" s="152" t="s">
        <v>434</v>
      </c>
      <c r="D48" s="152"/>
      <c r="E48" s="151" t="s">
        <v>3723</v>
      </c>
      <c r="F48" s="152" t="s">
        <v>436</v>
      </c>
    </row>
    <row r="49" ht="165" customHeight="1" spans="1:6">
      <c r="A49" s="151" t="s">
        <v>589</v>
      </c>
      <c r="B49" s="152"/>
      <c r="C49" s="152" t="s">
        <v>434</v>
      </c>
      <c r="D49" s="152"/>
      <c r="E49" s="151" t="s">
        <v>3724</v>
      </c>
      <c r="F49" s="152" t="s">
        <v>436</v>
      </c>
    </row>
    <row r="50" ht="30" customHeight="1" spans="1:6">
      <c r="A50" s="151" t="s">
        <v>591</v>
      </c>
      <c r="B50" s="152"/>
      <c r="C50" s="152" t="s">
        <v>434</v>
      </c>
      <c r="D50" s="152"/>
      <c r="E50" s="151" t="s">
        <v>3725</v>
      </c>
      <c r="F50" s="152" t="s">
        <v>436</v>
      </c>
    </row>
    <row r="51" ht="30" customHeight="1" spans="1:6">
      <c r="A51" s="151" t="s">
        <v>593</v>
      </c>
      <c r="B51" s="152"/>
      <c r="C51" s="152" t="s">
        <v>434</v>
      </c>
      <c r="D51" s="152"/>
      <c r="E51" s="151" t="s">
        <v>3726</v>
      </c>
      <c r="F51" s="152" t="s">
        <v>436</v>
      </c>
    </row>
    <row r="52" ht="60" customHeight="1" spans="1:6">
      <c r="A52" s="151" t="s">
        <v>595</v>
      </c>
      <c r="B52" s="152"/>
      <c r="C52" s="152" t="s">
        <v>434</v>
      </c>
      <c r="D52" s="152"/>
      <c r="E52" s="151" t="s">
        <v>3727</v>
      </c>
      <c r="F52" s="152" t="s">
        <v>7</v>
      </c>
    </row>
    <row r="53" ht="45" customHeight="1" spans="1:6">
      <c r="A53" s="151" t="s">
        <v>597</v>
      </c>
      <c r="B53" s="152"/>
      <c r="C53" s="152" t="s">
        <v>434</v>
      </c>
      <c r="D53" s="152"/>
      <c r="E53" s="151" t="s">
        <v>3728</v>
      </c>
      <c r="F53" s="152" t="s">
        <v>436</v>
      </c>
    </row>
    <row r="54" ht="90" customHeight="1" spans="1:6">
      <c r="A54" s="151" t="s">
        <v>599</v>
      </c>
      <c r="B54" s="152"/>
      <c r="C54" s="152" t="s">
        <v>434</v>
      </c>
      <c r="D54" s="152"/>
      <c r="E54" s="151" t="s">
        <v>3729</v>
      </c>
      <c r="F54" s="152" t="s">
        <v>7</v>
      </c>
    </row>
    <row r="55" ht="60" customHeight="1" spans="1:6">
      <c r="A55" s="151" t="s">
        <v>601</v>
      </c>
      <c r="B55" s="152"/>
      <c r="C55" s="152" t="s">
        <v>434</v>
      </c>
      <c r="D55" s="152"/>
      <c r="E55" s="151" t="s">
        <v>3730</v>
      </c>
      <c r="F55" s="152" t="s">
        <v>7</v>
      </c>
    </row>
    <row r="56" ht="45" customHeight="1" spans="1:6">
      <c r="A56" s="151" t="s">
        <v>603</v>
      </c>
      <c r="B56" s="152"/>
      <c r="C56" s="152" t="s">
        <v>434</v>
      </c>
      <c r="D56" s="152"/>
      <c r="E56" s="151" t="s">
        <v>3731</v>
      </c>
      <c r="F56" s="152" t="s">
        <v>7</v>
      </c>
    </row>
    <row r="57" ht="60" customHeight="1" spans="1:6">
      <c r="A57" s="151" t="s">
        <v>605</v>
      </c>
      <c r="B57" s="152" t="s">
        <v>434</v>
      </c>
      <c r="C57" s="152"/>
      <c r="D57" s="152"/>
      <c r="E57" s="151" t="s">
        <v>3732</v>
      </c>
      <c r="F57" s="152" t="s">
        <v>7</v>
      </c>
    </row>
    <row r="58" ht="45" customHeight="1" spans="1:6">
      <c r="A58" s="151" t="s">
        <v>607</v>
      </c>
      <c r="B58" s="152"/>
      <c r="C58" s="152" t="s">
        <v>434</v>
      </c>
      <c r="D58" s="152"/>
      <c r="E58" s="151" t="s">
        <v>3733</v>
      </c>
      <c r="F58" s="152" t="s">
        <v>7</v>
      </c>
    </row>
    <row r="59" ht="75" customHeight="1" spans="1:6">
      <c r="A59" s="151" t="s">
        <v>609</v>
      </c>
      <c r="B59" s="152" t="s">
        <v>434</v>
      </c>
      <c r="C59" s="152"/>
      <c r="D59" s="152"/>
      <c r="E59" s="151" t="s">
        <v>3734</v>
      </c>
      <c r="F59" s="152" t="s">
        <v>7</v>
      </c>
    </row>
    <row r="60" spans="1:6">
      <c r="A60" s="153" t="s">
        <v>611</v>
      </c>
      <c r="B60" s="149"/>
      <c r="C60" s="149"/>
      <c r="D60" s="149"/>
      <c r="E60" s="149"/>
      <c r="F60" s="149"/>
    </row>
    <row r="61" ht="45" customHeight="1" spans="1:6">
      <c r="A61" s="151" t="s">
        <v>612</v>
      </c>
      <c r="B61" s="152" t="s">
        <v>434</v>
      </c>
      <c r="C61" s="152"/>
      <c r="D61" s="152"/>
      <c r="E61" s="151" t="s">
        <v>3735</v>
      </c>
      <c r="F61" s="152" t="s">
        <v>436</v>
      </c>
    </row>
    <row r="62" ht="45" customHeight="1" spans="1:6">
      <c r="A62" s="151" t="s">
        <v>614</v>
      </c>
      <c r="B62" s="152" t="s">
        <v>434</v>
      </c>
      <c r="C62" s="152"/>
      <c r="D62" s="152"/>
      <c r="E62" s="151" t="s">
        <v>3736</v>
      </c>
      <c r="F62" s="152" t="s">
        <v>436</v>
      </c>
    </row>
    <row r="63" ht="60" customHeight="1" spans="1:6">
      <c r="A63" s="151" t="s">
        <v>616</v>
      </c>
      <c r="B63" s="152" t="s">
        <v>434</v>
      </c>
      <c r="C63" s="152"/>
      <c r="D63" s="152"/>
      <c r="E63" s="151" t="s">
        <v>3737</v>
      </c>
      <c r="F63" s="152" t="s">
        <v>7</v>
      </c>
    </row>
    <row r="64" ht="30" customHeight="1" spans="1:6">
      <c r="A64" s="151" t="s">
        <v>978</v>
      </c>
      <c r="B64" s="152" t="s">
        <v>434</v>
      </c>
      <c r="C64" s="152"/>
      <c r="D64" s="152"/>
      <c r="E64" s="151" t="s">
        <v>3738</v>
      </c>
      <c r="F64" s="152" t="s">
        <v>436</v>
      </c>
    </row>
    <row r="65" ht="75" customHeight="1" spans="1:6">
      <c r="A65" s="151" t="s">
        <v>620</v>
      </c>
      <c r="B65" s="152"/>
      <c r="C65" s="152" t="s">
        <v>434</v>
      </c>
      <c r="D65" s="152"/>
      <c r="E65" s="151" t="s">
        <v>3739</v>
      </c>
      <c r="F65" s="152" t="s">
        <v>7</v>
      </c>
    </row>
    <row r="66" ht="75" customHeight="1" spans="1:6">
      <c r="A66" s="151" t="s">
        <v>622</v>
      </c>
      <c r="B66" s="152"/>
      <c r="C66" s="152" t="s">
        <v>434</v>
      </c>
      <c r="D66" s="152"/>
      <c r="E66" s="151" t="s">
        <v>3740</v>
      </c>
      <c r="F66" s="152" t="s">
        <v>7</v>
      </c>
    </row>
    <row r="67" ht="25.5" spans="1:6">
      <c r="A67" s="153" t="s">
        <v>624</v>
      </c>
      <c r="B67" s="149"/>
      <c r="C67" s="149"/>
      <c r="D67" s="149"/>
      <c r="E67" s="149"/>
      <c r="F67" s="149"/>
    </row>
    <row r="68" ht="75" customHeight="1" spans="1:6">
      <c r="A68" s="151" t="s">
        <v>625</v>
      </c>
      <c r="B68" s="152" t="s">
        <v>434</v>
      </c>
      <c r="C68" s="152"/>
      <c r="D68" s="152"/>
      <c r="E68" s="151" t="s">
        <v>3741</v>
      </c>
      <c r="F68" s="152" t="s">
        <v>436</v>
      </c>
    </row>
    <row r="69" ht="60" customHeight="1" spans="1:6">
      <c r="A69" s="151" t="s">
        <v>627</v>
      </c>
      <c r="B69" s="152" t="s">
        <v>434</v>
      </c>
      <c r="C69" s="152"/>
      <c r="D69" s="152"/>
      <c r="E69" s="151" t="s">
        <v>3742</v>
      </c>
      <c r="F69" s="152" t="s">
        <v>7</v>
      </c>
    </row>
    <row r="70" ht="45" customHeight="1" spans="1:6">
      <c r="A70" s="151" t="s">
        <v>629</v>
      </c>
      <c r="B70" s="152"/>
      <c r="C70" s="152" t="s">
        <v>434</v>
      </c>
      <c r="D70" s="152"/>
      <c r="E70" s="151" t="s">
        <v>3743</v>
      </c>
      <c r="F70" s="152" t="s">
        <v>7</v>
      </c>
    </row>
    <row r="71" ht="30" customHeight="1" spans="1:6">
      <c r="A71" s="151" t="s">
        <v>631</v>
      </c>
      <c r="B71" s="152"/>
      <c r="C71" s="152" t="s">
        <v>434</v>
      </c>
      <c r="D71" s="152"/>
      <c r="E71" s="151" t="s">
        <v>3744</v>
      </c>
      <c r="F71" s="152" t="s">
        <v>7</v>
      </c>
    </row>
    <row r="72" ht="45" customHeight="1" spans="1:6">
      <c r="A72" s="151" t="s">
        <v>633</v>
      </c>
      <c r="B72" s="152"/>
      <c r="C72" s="152" t="s">
        <v>434</v>
      </c>
      <c r="D72" s="152"/>
      <c r="E72" s="151" t="s">
        <v>3745</v>
      </c>
      <c r="F72" s="152" t="s">
        <v>7</v>
      </c>
    </row>
    <row r="73" ht="30" customHeight="1" spans="1:6">
      <c r="A73" s="151" t="s">
        <v>635</v>
      </c>
      <c r="B73" s="152"/>
      <c r="C73" s="152" t="s">
        <v>434</v>
      </c>
      <c r="D73" s="152"/>
      <c r="E73" s="151" t="s">
        <v>3746</v>
      </c>
      <c r="F73" s="152" t="s">
        <v>7</v>
      </c>
    </row>
    <row r="74" ht="45" customHeight="1" spans="1:6">
      <c r="A74" s="151" t="s">
        <v>637</v>
      </c>
      <c r="B74" s="152"/>
      <c r="C74" s="152" t="s">
        <v>434</v>
      </c>
      <c r="D74" s="152"/>
      <c r="E74" s="151" t="s">
        <v>3747</v>
      </c>
      <c r="F74" s="152" t="s">
        <v>436</v>
      </c>
    </row>
    <row r="75" customHeight="1" spans="1:6">
      <c r="A75" s="151" t="s">
        <v>639</v>
      </c>
      <c r="B75" s="152"/>
      <c r="C75" s="152" t="s">
        <v>434</v>
      </c>
      <c r="D75" s="152"/>
      <c r="E75" s="151" t="s">
        <v>3748</v>
      </c>
      <c r="F75" s="152" t="s">
        <v>7</v>
      </c>
    </row>
    <row r="76" ht="45" customHeight="1" spans="1:6">
      <c r="A76" s="151" t="s">
        <v>641</v>
      </c>
      <c r="B76" s="152" t="s">
        <v>434</v>
      </c>
      <c r="C76" s="152"/>
      <c r="D76" s="152"/>
      <c r="E76" s="151" t="s">
        <v>3749</v>
      </c>
      <c r="F76" s="152" t="s">
        <v>436</v>
      </c>
    </row>
    <row r="77" ht="30" customHeight="1" spans="1:6">
      <c r="A77" s="151" t="s">
        <v>643</v>
      </c>
      <c r="B77" s="152" t="s">
        <v>434</v>
      </c>
      <c r="C77" s="152"/>
      <c r="D77" s="152"/>
      <c r="E77" s="151" t="s">
        <v>3750</v>
      </c>
      <c r="F77" s="152" t="s">
        <v>7</v>
      </c>
    </row>
    <row r="78" ht="45" customHeight="1" spans="1:6">
      <c r="A78" s="151" t="s">
        <v>645</v>
      </c>
      <c r="B78" s="152"/>
      <c r="C78" s="152" t="s">
        <v>434</v>
      </c>
      <c r="D78" s="152"/>
      <c r="E78" s="151" t="s">
        <v>3751</v>
      </c>
      <c r="F78" s="152" t="s">
        <v>436</v>
      </c>
    </row>
    <row r="79" customHeight="1" spans="1:6">
      <c r="A79" s="151" t="s">
        <v>647</v>
      </c>
      <c r="B79" s="152"/>
      <c r="C79" s="152"/>
      <c r="D79" s="152" t="s">
        <v>434</v>
      </c>
      <c r="E79" s="151" t="s">
        <v>3752</v>
      </c>
      <c r="F79" s="152" t="s">
        <v>7</v>
      </c>
    </row>
    <row r="80" customHeight="1" spans="1:6">
      <c r="A80" s="151" t="s">
        <v>649</v>
      </c>
      <c r="B80" s="152" t="s">
        <v>434</v>
      </c>
      <c r="C80" s="152"/>
      <c r="D80" s="152"/>
      <c r="E80" s="151" t="s">
        <v>3049</v>
      </c>
      <c r="F80" s="152" t="s">
        <v>7</v>
      </c>
    </row>
    <row r="81" ht="45" customHeight="1" spans="1:6">
      <c r="A81" s="151" t="s">
        <v>650</v>
      </c>
      <c r="B81" s="152"/>
      <c r="C81" s="152"/>
      <c r="D81" s="152" t="s">
        <v>434</v>
      </c>
      <c r="E81" s="151" t="s">
        <v>3753</v>
      </c>
      <c r="F81" s="152" t="s">
        <v>436</v>
      </c>
    </row>
    <row r="82" ht="90" customHeight="1" spans="1:6">
      <c r="A82" s="151" t="s">
        <v>652</v>
      </c>
      <c r="B82" s="152" t="s">
        <v>434</v>
      </c>
      <c r="C82" s="152"/>
      <c r="D82" s="152"/>
      <c r="E82" s="151" t="s">
        <v>3754</v>
      </c>
      <c r="F82" s="152" t="s">
        <v>436</v>
      </c>
    </row>
    <row r="83" ht="30" customHeight="1" spans="1:6">
      <c r="A83" s="151" t="s">
        <v>654</v>
      </c>
      <c r="B83" s="152" t="s">
        <v>434</v>
      </c>
      <c r="C83" s="152"/>
      <c r="D83" s="152"/>
      <c r="E83" s="151" t="s">
        <v>3755</v>
      </c>
      <c r="F83" s="152" t="s">
        <v>7</v>
      </c>
    </row>
    <row r="84" ht="30" customHeight="1" spans="1:6">
      <c r="A84" s="151" t="s">
        <v>656</v>
      </c>
      <c r="B84" s="152"/>
      <c r="C84" s="152" t="s">
        <v>434</v>
      </c>
      <c r="D84" s="152"/>
      <c r="E84" s="151" t="s">
        <v>3756</v>
      </c>
      <c r="F84" s="152" t="s">
        <v>7</v>
      </c>
    </row>
    <row r="85" ht="30" customHeight="1" spans="1:6">
      <c r="A85" s="151" t="s">
        <v>658</v>
      </c>
      <c r="B85" s="152" t="s">
        <v>434</v>
      </c>
      <c r="C85" s="152"/>
      <c r="D85" s="152"/>
      <c r="E85" s="151" t="s">
        <v>3757</v>
      </c>
      <c r="F85" s="152" t="s">
        <v>7</v>
      </c>
    </row>
    <row r="86" ht="45" customHeight="1" spans="1:6">
      <c r="A86" s="151" t="s">
        <v>660</v>
      </c>
      <c r="B86" s="152"/>
      <c r="C86" s="152" t="s">
        <v>434</v>
      </c>
      <c r="D86" s="152"/>
      <c r="E86" s="151" t="s">
        <v>3758</v>
      </c>
      <c r="F86" s="152" t="s">
        <v>436</v>
      </c>
    </row>
    <row r="87" customHeight="1" spans="1:6">
      <c r="A87" s="151" t="s">
        <v>662</v>
      </c>
      <c r="B87" s="152"/>
      <c r="C87" s="152" t="s">
        <v>434</v>
      </c>
      <c r="D87" s="152"/>
      <c r="E87" s="151" t="s">
        <v>3759</v>
      </c>
      <c r="F87" s="152" t="s">
        <v>7</v>
      </c>
    </row>
    <row r="88" ht="30" customHeight="1" spans="1:6">
      <c r="A88" s="151" t="s">
        <v>660</v>
      </c>
      <c r="B88" s="152"/>
      <c r="C88" s="152"/>
      <c r="D88" s="152" t="s">
        <v>434</v>
      </c>
      <c r="E88" s="151" t="s">
        <v>3057</v>
      </c>
      <c r="F88" s="152" t="s">
        <v>436</v>
      </c>
    </row>
    <row r="89" ht="30" customHeight="1" spans="1:6">
      <c r="A89" s="151" t="s">
        <v>665</v>
      </c>
      <c r="B89" s="152"/>
      <c r="C89" s="152" t="s">
        <v>434</v>
      </c>
      <c r="D89" s="152"/>
      <c r="E89" s="151" t="s">
        <v>3760</v>
      </c>
      <c r="F89" s="152" t="s">
        <v>7</v>
      </c>
    </row>
    <row r="90" ht="30" customHeight="1" spans="1:6">
      <c r="A90" s="151" t="s">
        <v>660</v>
      </c>
      <c r="B90" s="152"/>
      <c r="C90" s="152"/>
      <c r="D90" s="152" t="s">
        <v>434</v>
      </c>
      <c r="E90" s="151" t="s">
        <v>3059</v>
      </c>
      <c r="F90" s="152" t="s">
        <v>436</v>
      </c>
    </row>
    <row r="91" spans="1:6">
      <c r="A91" s="149" t="s">
        <v>519</v>
      </c>
      <c r="B91" s="150">
        <f>COUNTIF(B14:B90,"x")</f>
        <v>24</v>
      </c>
      <c r="C91" s="150">
        <f>COUNTIF(C14:C90,"x")</f>
        <v>37</v>
      </c>
      <c r="D91" s="150">
        <f>COUNTIF(D14:D90,"x")</f>
        <v>10</v>
      </c>
    </row>
    <row r="93" spans="1:6">
      <c r="A93" s="149" t="s">
        <v>1004</v>
      </c>
      <c r="B93" s="154"/>
      <c r="C93" s="154"/>
      <c r="D93" s="154"/>
      <c r="E93" s="154"/>
      <c r="F93" s="155"/>
    </row>
    <row r="94" ht="75" customHeight="1" spans="1:6">
      <c r="A94" s="151" t="s">
        <v>3761</v>
      </c>
      <c r="B94" s="156"/>
      <c r="C94" s="156"/>
      <c r="D94" s="156"/>
      <c r="E94" s="156"/>
      <c r="F94" s="157"/>
    </row>
    <row r="95" spans="1:6">
      <c r="A95" s="149" t="s">
        <v>522</v>
      </c>
      <c r="B95" s="154"/>
      <c r="C95" s="154"/>
      <c r="D95" s="154"/>
      <c r="E95" s="154"/>
      <c r="F95" s="155"/>
    </row>
    <row r="96" ht="105" customHeight="1" spans="1:6">
      <c r="A96" s="151" t="s">
        <v>3762</v>
      </c>
      <c r="B96" s="156"/>
      <c r="C96" s="156"/>
      <c r="D96" s="156"/>
      <c r="E96" s="156"/>
      <c r="F96" s="157"/>
    </row>
    <row r="97" spans="1:6">
      <c r="A97" s="158" t="s">
        <v>524</v>
      </c>
      <c r="B97" s="156"/>
      <c r="C97" s="156"/>
      <c r="D97" s="156"/>
      <c r="E97" s="156"/>
      <c r="F97" s="157"/>
    </row>
    <row r="98" spans="1:6">
      <c r="A98" s="158" t="s">
        <v>525</v>
      </c>
      <c r="B98" s="156"/>
      <c r="C98" s="156"/>
      <c r="D98" s="156"/>
      <c r="E98" s="156"/>
      <c r="F98" s="157"/>
    </row>
    <row r="99" spans="1:6">
      <c r="A99" s="158" t="s">
        <v>526</v>
      </c>
      <c r="B99" s="156"/>
      <c r="C99" s="156"/>
      <c r="D99" s="156"/>
      <c r="E99" s="156"/>
      <c r="F99" s="157"/>
    </row>
  </sheetData>
  <mergeCells count="17">
    <mergeCell ref="A1:F1"/>
    <mergeCell ref="B3:F3"/>
    <mergeCell ref="B4:F4"/>
    <mergeCell ref="B5:F5"/>
    <mergeCell ref="B6:F6"/>
    <mergeCell ref="B7:F7"/>
    <mergeCell ref="B8:F8"/>
    <mergeCell ref="B9:F9"/>
    <mergeCell ref="B10:F10"/>
    <mergeCell ref="B11:F11"/>
    <mergeCell ref="A93:F93"/>
    <mergeCell ref="A94:F94"/>
    <mergeCell ref="A95:F95"/>
    <mergeCell ref="A96:F96"/>
    <mergeCell ref="A97:F97"/>
    <mergeCell ref="A98:F98"/>
    <mergeCell ref="A99:F99"/>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0"/>
  <sheetViews>
    <sheetView workbookViewId="0">
      <pane xSplit="1" ySplit="12" topLeftCell="B13" activePane="bottomRight" state="frozen"/>
      <selection/>
      <selection pane="topRight"/>
      <selection pane="bottomLeft"/>
      <selection pane="bottomRight" activeCell="A1" sqref="A1:F1"/>
    </sheetView>
  </sheetViews>
  <sheetFormatPr defaultColWidth="9" defaultRowHeight="15" outlineLevelCol="5"/>
  <cols>
    <col min="1" max="1" width="64.2857142857143" customWidth="1"/>
    <col min="2" max="2" width="7.42857142857143" customWidth="1"/>
    <col min="3" max="3" width="6.71428571428571" customWidth="1"/>
    <col min="4" max="4" width="4" customWidth="1"/>
    <col min="5" max="5" width="53.8571428571429" customWidth="1"/>
    <col min="6" max="6" width="9.14285714285714" customWidth="1"/>
  </cols>
  <sheetData>
    <row r="1" ht="24" customHeight="1" spans="1:6">
      <c r="A1" s="128" t="s">
        <v>1007</v>
      </c>
      <c r="B1" s="129"/>
      <c r="C1" s="129"/>
      <c r="D1" s="129"/>
      <c r="E1" s="129"/>
      <c r="F1" s="130"/>
    </row>
    <row r="3" customHeight="1" spans="1:6">
      <c r="A3" s="131" t="s">
        <v>1008</v>
      </c>
      <c r="B3" s="132" t="s">
        <v>227</v>
      </c>
      <c r="C3" s="133"/>
      <c r="D3" s="133"/>
      <c r="E3" s="133"/>
      <c r="F3" s="134"/>
    </row>
    <row r="4" ht="45" customHeight="1" spans="1:6">
      <c r="A4" s="131" t="s">
        <v>1009</v>
      </c>
      <c r="B4" s="135" t="s">
        <v>3763</v>
      </c>
      <c r="C4" s="133"/>
      <c r="D4" s="133"/>
      <c r="E4" s="133"/>
      <c r="F4" s="134"/>
    </row>
    <row r="5" customHeight="1" spans="1:6">
      <c r="A5" s="131" t="s">
        <v>1011</v>
      </c>
      <c r="B5" s="132" t="s">
        <v>231</v>
      </c>
      <c r="C5" s="133"/>
      <c r="D5" s="133"/>
      <c r="E5" s="133"/>
      <c r="F5" s="134"/>
    </row>
    <row r="6" customHeight="1" spans="1:6">
      <c r="A6" s="131" t="s">
        <v>1012</v>
      </c>
      <c r="B6" s="132" t="s">
        <v>60</v>
      </c>
      <c r="C6" s="133"/>
      <c r="D6" s="133"/>
      <c r="E6" s="133"/>
      <c r="F6" s="134"/>
    </row>
    <row r="7" customHeight="1" spans="1:6">
      <c r="A7" s="131" t="s">
        <v>1013</v>
      </c>
      <c r="B7" s="132" t="s">
        <v>7</v>
      </c>
      <c r="C7" s="133"/>
      <c r="D7" s="133"/>
      <c r="E7" s="133"/>
      <c r="F7" s="134"/>
    </row>
    <row r="8" customHeight="1" spans="1:6">
      <c r="A8" s="131" t="s">
        <v>1014</v>
      </c>
      <c r="B8" s="132" t="s">
        <v>233</v>
      </c>
      <c r="C8" s="133"/>
      <c r="D8" s="133"/>
      <c r="E8" s="133"/>
      <c r="F8" s="134"/>
    </row>
    <row r="9" ht="105" customHeight="1" spans="1:6">
      <c r="A9" s="131" t="s">
        <v>1015</v>
      </c>
      <c r="B9" s="135" t="s">
        <v>3764</v>
      </c>
      <c r="C9" s="133"/>
      <c r="D9" s="133"/>
      <c r="E9" s="133"/>
      <c r="F9" s="134"/>
    </row>
    <row r="10" customHeight="1" spans="1:6">
      <c r="A10" s="131" t="s">
        <v>1017</v>
      </c>
      <c r="B10" s="132" t="s">
        <v>103</v>
      </c>
      <c r="C10" s="133"/>
      <c r="D10" s="133"/>
      <c r="E10" s="133"/>
      <c r="F10" s="134"/>
    </row>
    <row r="12" spans="1:6">
      <c r="A12" s="136" t="s">
        <v>426</v>
      </c>
      <c r="B12" s="137" t="s">
        <v>427</v>
      </c>
      <c r="C12" s="137" t="s">
        <v>428</v>
      </c>
      <c r="D12" s="137" t="s">
        <v>429</v>
      </c>
      <c r="E12" s="137" t="s">
        <v>430</v>
      </c>
    </row>
    <row r="13" spans="1:6">
      <c r="A13" s="136" t="s">
        <v>1018</v>
      </c>
      <c r="B13" s="136"/>
      <c r="C13" s="136"/>
      <c r="D13" s="136"/>
      <c r="E13" s="136"/>
    </row>
    <row r="14" ht="150" customHeight="1" spans="1:6">
      <c r="A14" s="138" t="s">
        <v>1019</v>
      </c>
      <c r="B14" s="139" t="s">
        <v>434</v>
      </c>
      <c r="C14" s="139"/>
      <c r="D14" s="139"/>
      <c r="E14" s="138" t="s">
        <v>3765</v>
      </c>
    </row>
    <row r="15" spans="1:6">
      <c r="A15" s="136" t="s">
        <v>1021</v>
      </c>
      <c r="B15" s="136"/>
      <c r="C15" s="136"/>
      <c r="D15" s="136"/>
      <c r="E15" s="136"/>
    </row>
    <row r="16" ht="90" customHeight="1" spans="1:6">
      <c r="A16" s="138" t="s">
        <v>1022</v>
      </c>
      <c r="B16" s="139" t="s">
        <v>434</v>
      </c>
      <c r="C16" s="139"/>
      <c r="D16" s="139"/>
      <c r="E16" s="138" t="s">
        <v>3766</v>
      </c>
    </row>
    <row r="17" ht="90" customHeight="1" spans="1:5">
      <c r="A17" s="138" t="s">
        <v>1024</v>
      </c>
      <c r="B17" s="139" t="s">
        <v>434</v>
      </c>
      <c r="C17" s="139"/>
      <c r="D17" s="139"/>
      <c r="E17" s="138" t="s">
        <v>3767</v>
      </c>
    </row>
    <row r="18" ht="60" customHeight="1" spans="1:5">
      <c r="A18" s="138" t="s">
        <v>1026</v>
      </c>
      <c r="B18" s="139" t="s">
        <v>434</v>
      </c>
      <c r="C18" s="139"/>
      <c r="D18" s="139"/>
      <c r="E18" s="138" t="s">
        <v>3768</v>
      </c>
    </row>
    <row r="19" ht="30" customHeight="1" spans="1:5">
      <c r="A19" s="138" t="s">
        <v>1028</v>
      </c>
      <c r="B19" s="139" t="s">
        <v>434</v>
      </c>
      <c r="C19" s="139"/>
      <c r="D19" s="139"/>
      <c r="E19" s="138" t="s">
        <v>3769</v>
      </c>
    </row>
    <row r="20" ht="30" customHeight="1" spans="1:5">
      <c r="A20" s="138" t="s">
        <v>1030</v>
      </c>
      <c r="B20" s="139"/>
      <c r="C20" s="139" t="s">
        <v>434</v>
      </c>
      <c r="D20" s="139"/>
      <c r="E20" s="138" t="s">
        <v>3770</v>
      </c>
    </row>
    <row r="21" ht="90" customHeight="1" spans="1:5">
      <c r="A21" s="138" t="s">
        <v>1032</v>
      </c>
      <c r="B21" s="139"/>
      <c r="C21" s="139" t="s">
        <v>434</v>
      </c>
      <c r="D21" s="139"/>
      <c r="E21" s="138" t="s">
        <v>3771</v>
      </c>
    </row>
    <row r="22" ht="135" customHeight="1" spans="1:5">
      <c r="A22" s="138" t="s">
        <v>1034</v>
      </c>
      <c r="B22" s="139" t="s">
        <v>434</v>
      </c>
      <c r="C22" s="139"/>
      <c r="D22" s="139"/>
      <c r="E22" s="138" t="s">
        <v>3772</v>
      </c>
    </row>
    <row r="23" ht="45" customHeight="1" spans="1:5">
      <c r="A23" s="138" t="s">
        <v>1036</v>
      </c>
      <c r="B23" s="139"/>
      <c r="C23" s="139" t="s">
        <v>434</v>
      </c>
      <c r="D23" s="139"/>
      <c r="E23" s="138" t="s">
        <v>3773</v>
      </c>
    </row>
    <row r="24" ht="105" customHeight="1" spans="1:5">
      <c r="A24" s="138" t="s">
        <v>1038</v>
      </c>
      <c r="B24" s="139" t="s">
        <v>434</v>
      </c>
      <c r="C24" s="139"/>
      <c r="D24" s="139"/>
      <c r="E24" s="138" t="s">
        <v>3774</v>
      </c>
    </row>
    <row r="25" ht="60" customHeight="1" spans="1:5">
      <c r="A25" s="138" t="s">
        <v>1040</v>
      </c>
      <c r="B25" s="139"/>
      <c r="C25" s="139"/>
      <c r="D25" s="139" t="s">
        <v>434</v>
      </c>
      <c r="E25" s="138" t="s">
        <v>3775</v>
      </c>
    </row>
    <row r="26" ht="135" customHeight="1" spans="1:5">
      <c r="A26" s="138" t="s">
        <v>1042</v>
      </c>
      <c r="B26" s="139"/>
      <c r="C26" s="139" t="s">
        <v>434</v>
      </c>
      <c r="D26" s="139"/>
      <c r="E26" s="138" t="s">
        <v>3776</v>
      </c>
    </row>
    <row r="27" ht="75" customHeight="1" spans="1:5">
      <c r="A27" s="138" t="s">
        <v>1044</v>
      </c>
      <c r="B27" s="139" t="s">
        <v>434</v>
      </c>
      <c r="C27" s="139"/>
      <c r="D27" s="139"/>
      <c r="E27" s="138" t="s">
        <v>3777</v>
      </c>
    </row>
    <row r="28" ht="105" customHeight="1" spans="1:5">
      <c r="A28" s="138" t="s">
        <v>1046</v>
      </c>
      <c r="B28" s="139" t="s">
        <v>434</v>
      </c>
      <c r="C28" s="139"/>
      <c r="D28" s="139"/>
      <c r="E28" s="138" t="s">
        <v>3778</v>
      </c>
    </row>
    <row r="29" ht="90" customHeight="1" spans="1:5">
      <c r="A29" s="138" t="s">
        <v>1048</v>
      </c>
      <c r="B29" s="139" t="s">
        <v>434</v>
      </c>
      <c r="C29" s="139"/>
      <c r="D29" s="139"/>
      <c r="E29" s="138" t="s">
        <v>3779</v>
      </c>
    </row>
    <row r="30" spans="1:5">
      <c r="A30" s="136" t="s">
        <v>1050</v>
      </c>
      <c r="B30" s="136"/>
      <c r="C30" s="136"/>
      <c r="D30" s="136"/>
      <c r="E30" s="136"/>
    </row>
    <row r="31" ht="195" customHeight="1" spans="1:5">
      <c r="A31" s="138" t="s">
        <v>1051</v>
      </c>
      <c r="B31" s="139" t="s">
        <v>434</v>
      </c>
      <c r="C31" s="139"/>
      <c r="D31" s="139"/>
      <c r="E31" s="138" t="s">
        <v>3780</v>
      </c>
    </row>
    <row r="32" ht="180" customHeight="1" spans="1:5">
      <c r="A32" s="138" t="s">
        <v>1053</v>
      </c>
      <c r="B32" s="139"/>
      <c r="C32" s="139" t="s">
        <v>434</v>
      </c>
      <c r="D32" s="139"/>
      <c r="E32" s="138" t="s">
        <v>3781</v>
      </c>
    </row>
    <row r="33" ht="135" customHeight="1" spans="1:5">
      <c r="A33" s="138" t="s">
        <v>1055</v>
      </c>
      <c r="B33" s="139"/>
      <c r="C33" s="139" t="s">
        <v>434</v>
      </c>
      <c r="D33" s="139"/>
      <c r="E33" s="138" t="s">
        <v>3782</v>
      </c>
    </row>
    <row r="34" spans="1:5">
      <c r="A34" s="136" t="s">
        <v>1057</v>
      </c>
      <c r="B34" s="136"/>
      <c r="C34" s="136"/>
      <c r="D34" s="136"/>
      <c r="E34" s="136"/>
    </row>
    <row r="35" ht="105" customHeight="1" spans="1:5">
      <c r="A35" s="138" t="s">
        <v>1058</v>
      </c>
      <c r="B35" s="139" t="s">
        <v>434</v>
      </c>
      <c r="C35" s="139"/>
      <c r="D35" s="139"/>
      <c r="E35" s="138" t="s">
        <v>3783</v>
      </c>
    </row>
    <row r="36" ht="120" customHeight="1" spans="1:5">
      <c r="A36" s="138" t="s">
        <v>1060</v>
      </c>
      <c r="B36" s="139" t="s">
        <v>434</v>
      </c>
      <c r="C36" s="139"/>
      <c r="D36" s="139"/>
      <c r="E36" s="138" t="s">
        <v>3784</v>
      </c>
    </row>
    <row r="37" ht="90" customHeight="1" spans="1:5">
      <c r="A37" s="138" t="s">
        <v>1062</v>
      </c>
      <c r="B37" s="139" t="s">
        <v>434</v>
      </c>
      <c r="C37" s="139"/>
      <c r="D37" s="139"/>
      <c r="E37" s="138" t="s">
        <v>3785</v>
      </c>
    </row>
    <row r="38" spans="1:5">
      <c r="A38" s="136" t="s">
        <v>1064</v>
      </c>
      <c r="B38" s="136"/>
      <c r="C38" s="136"/>
      <c r="D38" s="136"/>
      <c r="E38" s="136"/>
    </row>
    <row r="39" ht="90" customHeight="1" spans="1:5">
      <c r="A39" s="138" t="s">
        <v>1065</v>
      </c>
      <c r="B39" s="139" t="s">
        <v>434</v>
      </c>
      <c r="C39" s="139"/>
      <c r="D39" s="139"/>
      <c r="E39" s="138" t="s">
        <v>3786</v>
      </c>
    </row>
    <row r="40" ht="75" customHeight="1" spans="1:5">
      <c r="A40" s="138" t="s">
        <v>1067</v>
      </c>
      <c r="B40" s="139" t="s">
        <v>434</v>
      </c>
      <c r="C40" s="139"/>
      <c r="D40" s="139"/>
      <c r="E40" s="138" t="s">
        <v>3787</v>
      </c>
    </row>
    <row r="41" ht="60" customHeight="1" spans="1:5">
      <c r="A41" s="138" t="s">
        <v>1069</v>
      </c>
      <c r="B41" s="139" t="s">
        <v>434</v>
      </c>
      <c r="C41" s="139"/>
      <c r="D41" s="139"/>
      <c r="E41" s="138" t="s">
        <v>3788</v>
      </c>
    </row>
    <row r="42" ht="75" customHeight="1" spans="1:5">
      <c r="A42" s="138" t="s">
        <v>1071</v>
      </c>
      <c r="B42" s="139" t="s">
        <v>434</v>
      </c>
      <c r="C42" s="139"/>
      <c r="D42" s="139"/>
      <c r="E42" s="138" t="s">
        <v>3789</v>
      </c>
    </row>
    <row r="43" spans="1:5">
      <c r="A43" s="136" t="s">
        <v>1073</v>
      </c>
      <c r="B43" s="136"/>
      <c r="C43" s="136"/>
      <c r="D43" s="136"/>
      <c r="E43" s="136"/>
    </row>
    <row r="44" ht="135" customHeight="1" spans="1:5">
      <c r="A44" s="138" t="s">
        <v>1074</v>
      </c>
      <c r="B44" s="139" t="s">
        <v>434</v>
      </c>
      <c r="C44" s="139"/>
      <c r="D44" s="139"/>
      <c r="E44" s="138" t="s">
        <v>3790</v>
      </c>
    </row>
    <row r="45" ht="45" customHeight="1" spans="1:5">
      <c r="A45" s="138" t="s">
        <v>1076</v>
      </c>
      <c r="B45" s="139"/>
      <c r="C45" s="139" t="s">
        <v>434</v>
      </c>
      <c r="D45" s="139"/>
      <c r="E45" s="138" t="s">
        <v>3791</v>
      </c>
    </row>
    <row r="46" ht="90" customHeight="1" spans="1:5">
      <c r="A46" s="138" t="s">
        <v>1078</v>
      </c>
      <c r="B46" s="139" t="s">
        <v>434</v>
      </c>
      <c r="C46" s="139"/>
      <c r="D46" s="139"/>
      <c r="E46" s="138" t="s">
        <v>3792</v>
      </c>
    </row>
    <row r="47" spans="1:5">
      <c r="A47" s="136" t="s">
        <v>1080</v>
      </c>
      <c r="B47" s="136"/>
      <c r="C47" s="136"/>
      <c r="D47" s="136"/>
      <c r="E47" s="136"/>
    </row>
    <row r="48" ht="75" customHeight="1" spans="1:5">
      <c r="A48" s="138" t="s">
        <v>1081</v>
      </c>
      <c r="B48" s="139"/>
      <c r="C48" s="139" t="s">
        <v>434</v>
      </c>
      <c r="D48" s="139"/>
      <c r="E48" s="138" t="s">
        <v>3793</v>
      </c>
    </row>
    <row r="49" ht="120" customHeight="1" spans="1:6">
      <c r="A49" s="138" t="s">
        <v>1083</v>
      </c>
      <c r="B49" s="139" t="s">
        <v>434</v>
      </c>
      <c r="C49" s="139"/>
      <c r="D49" s="139"/>
      <c r="E49" s="138" t="s">
        <v>3794</v>
      </c>
    </row>
    <row r="50" ht="75" customHeight="1" spans="1:6">
      <c r="A50" s="138" t="s">
        <v>1085</v>
      </c>
      <c r="B50" s="139" t="s">
        <v>434</v>
      </c>
      <c r="C50" s="139"/>
      <c r="D50" s="139"/>
      <c r="E50" s="138" t="s">
        <v>3795</v>
      </c>
    </row>
    <row r="51" spans="1:6">
      <c r="A51" s="136" t="s">
        <v>1087</v>
      </c>
      <c r="B51" s="136"/>
      <c r="C51" s="136"/>
      <c r="D51" s="136"/>
      <c r="E51" s="136"/>
    </row>
    <row r="52" ht="120" customHeight="1" spans="1:6">
      <c r="A52" s="138" t="s">
        <v>1088</v>
      </c>
      <c r="B52" s="139" t="s">
        <v>434</v>
      </c>
      <c r="C52" s="139"/>
      <c r="D52" s="139"/>
      <c r="E52" s="138" t="s">
        <v>3796</v>
      </c>
    </row>
    <row r="53" ht="45" customHeight="1" spans="1:6">
      <c r="A53" s="138" t="s">
        <v>1090</v>
      </c>
      <c r="B53" s="139" t="s">
        <v>434</v>
      </c>
      <c r="C53" s="139"/>
      <c r="D53" s="139"/>
      <c r="E53" s="138" t="s">
        <v>3797</v>
      </c>
    </row>
    <row r="54" ht="60" customHeight="1" spans="1:6">
      <c r="A54" s="138" t="s">
        <v>1092</v>
      </c>
      <c r="B54" s="139" t="s">
        <v>434</v>
      </c>
      <c r="C54" s="139"/>
      <c r="D54" s="139"/>
      <c r="E54" s="138" t="s">
        <v>3798</v>
      </c>
    </row>
    <row r="55" ht="120" customHeight="1" spans="1:6">
      <c r="A55" s="138" t="s">
        <v>1094</v>
      </c>
      <c r="B55" s="139"/>
      <c r="C55" s="139" t="s">
        <v>434</v>
      </c>
      <c r="D55" s="139"/>
      <c r="E55" s="138" t="s">
        <v>3799</v>
      </c>
    </row>
    <row r="56" spans="1:6">
      <c r="A56" s="136" t="s">
        <v>3099</v>
      </c>
      <c r="B56" s="136"/>
      <c r="C56" s="136"/>
      <c r="D56" s="136"/>
      <c r="E56" s="136"/>
    </row>
    <row r="57" ht="105" customHeight="1" spans="1:6">
      <c r="A57" s="138" t="s">
        <v>3800</v>
      </c>
      <c r="B57" s="139"/>
      <c r="C57" s="139" t="s">
        <v>434</v>
      </c>
      <c r="D57" s="139"/>
      <c r="E57" s="138" t="s">
        <v>3801</v>
      </c>
    </row>
    <row r="58" ht="90" customHeight="1" spans="1:6">
      <c r="A58" s="138" t="s">
        <v>3802</v>
      </c>
      <c r="B58" s="139"/>
      <c r="C58" s="139" t="s">
        <v>434</v>
      </c>
      <c r="D58" s="139"/>
      <c r="E58" s="138" t="s">
        <v>3803</v>
      </c>
    </row>
    <row r="59" ht="180" customHeight="1" spans="1:6">
      <c r="A59" s="138" t="s">
        <v>3804</v>
      </c>
      <c r="B59" s="139"/>
      <c r="C59" s="139" t="s">
        <v>434</v>
      </c>
      <c r="D59" s="139"/>
      <c r="E59" s="138" t="s">
        <v>3805</v>
      </c>
    </row>
    <row r="60" ht="90" customHeight="1" spans="1:6">
      <c r="A60" s="138" t="s">
        <v>3806</v>
      </c>
      <c r="B60" s="139"/>
      <c r="C60" s="139" t="s">
        <v>434</v>
      </c>
      <c r="D60" s="139"/>
      <c r="E60" s="138" t="s">
        <v>3807</v>
      </c>
    </row>
    <row r="61" ht="45" customHeight="1" spans="1:6">
      <c r="A61" s="138" t="s">
        <v>3106</v>
      </c>
      <c r="B61" s="139"/>
      <c r="C61" s="139" t="s">
        <v>434</v>
      </c>
      <c r="D61" s="139"/>
      <c r="E61" s="138" t="s">
        <v>3808</v>
      </c>
    </row>
    <row r="62" spans="1:6">
      <c r="A62" s="136" t="s">
        <v>519</v>
      </c>
      <c r="B62" s="137">
        <f>COUNTIF(B13:B61,"x")</f>
        <v>25</v>
      </c>
      <c r="C62" s="137">
        <f>COUNTIF(C13:C61,"x")</f>
        <v>14</v>
      </c>
      <c r="D62" s="137">
        <f>COUNTIF(D13:D61,"x")</f>
        <v>1</v>
      </c>
    </row>
    <row r="64" spans="1:6">
      <c r="A64" s="136" t="s">
        <v>1004</v>
      </c>
      <c r="B64" s="140"/>
      <c r="C64" s="140"/>
      <c r="D64" s="140"/>
      <c r="E64" s="140"/>
      <c r="F64" s="141"/>
    </row>
    <row r="65" ht="105" customHeight="1" spans="1:6">
      <c r="A65" s="138" t="s">
        <v>3809</v>
      </c>
      <c r="B65" s="140"/>
      <c r="C65" s="140"/>
      <c r="D65" s="140"/>
      <c r="E65" s="140"/>
      <c r="F65" s="142"/>
    </row>
    <row r="66" spans="1:6">
      <c r="A66" s="136" t="s">
        <v>522</v>
      </c>
      <c r="B66" s="140"/>
      <c r="C66" s="140"/>
      <c r="D66" s="140"/>
      <c r="E66" s="140"/>
      <c r="F66" s="141"/>
    </row>
    <row r="67" ht="165" customHeight="1" spans="1:6">
      <c r="A67" s="138" t="s">
        <v>3810</v>
      </c>
      <c r="B67" s="140"/>
      <c r="C67" s="140"/>
      <c r="D67" s="140"/>
      <c r="E67" s="140"/>
      <c r="F67" s="142"/>
    </row>
    <row r="68" spans="1:6">
      <c r="A68" s="143" t="s">
        <v>524</v>
      </c>
      <c r="B68" s="140"/>
      <c r="C68" s="140"/>
      <c r="D68" s="140"/>
      <c r="E68" s="140"/>
      <c r="F68" s="142"/>
    </row>
    <row r="69" spans="1:6">
      <c r="A69" s="143" t="s">
        <v>525</v>
      </c>
      <c r="B69" s="140"/>
      <c r="C69" s="140"/>
      <c r="D69" s="140"/>
      <c r="E69" s="140"/>
      <c r="F69" s="142"/>
    </row>
    <row r="70" spans="1:6">
      <c r="A70" s="143" t="s">
        <v>526</v>
      </c>
      <c r="B70" s="140"/>
      <c r="C70" s="140"/>
      <c r="D70" s="140"/>
      <c r="E70" s="140"/>
      <c r="F70" s="142"/>
    </row>
  </sheetData>
  <mergeCells count="16">
    <mergeCell ref="A1:F1"/>
    <mergeCell ref="B3:F3"/>
    <mergeCell ref="B4:F4"/>
    <mergeCell ref="B5:F5"/>
    <mergeCell ref="B6:F6"/>
    <mergeCell ref="B7:F7"/>
    <mergeCell ref="B8:F8"/>
    <mergeCell ref="B9:F9"/>
    <mergeCell ref="B10:F10"/>
    <mergeCell ref="A64:F64"/>
    <mergeCell ref="A65:F65"/>
    <mergeCell ref="A66:F66"/>
    <mergeCell ref="A67:F67"/>
    <mergeCell ref="A68:F68"/>
    <mergeCell ref="A69:F69"/>
    <mergeCell ref="A70:F70"/>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2"/>
  <sheetViews>
    <sheetView workbookViewId="0">
      <selection activeCell="A1" sqref="A1:C1"/>
    </sheetView>
  </sheetViews>
  <sheetFormatPr defaultColWidth="9" defaultRowHeight="15"/>
  <cols>
    <col min="1" max="1" width="18" customWidth="1"/>
    <col min="2" max="2" width="34" customWidth="1"/>
    <col min="3" max="3" width="13" customWidth="1"/>
    <col min="4" max="4" width="26" customWidth="1"/>
    <col min="5" max="6" width="40" customWidth="1"/>
    <col min="7" max="7" width="10" customWidth="1"/>
    <col min="8" max="8" width="9" customWidth="1"/>
    <col min="9" max="9" width="36" customWidth="1"/>
  </cols>
  <sheetData>
    <row r="1" spans="1:14">
      <c r="A1" s="107" t="s">
        <v>1108</v>
      </c>
      <c r="B1" s="16"/>
      <c r="C1" s="17"/>
    </row>
    <row r="2" ht="15.75" spans="1:14">
      <c r="A2" s="108" t="s">
        <v>1109</v>
      </c>
      <c r="B2" s="108" t="s">
        <v>13</v>
      </c>
      <c r="C2" s="108" t="s">
        <v>1110</v>
      </c>
    </row>
    <row r="3" ht="15.75" spans="1:14">
      <c r="A3" s="127" t="s">
        <v>3811</v>
      </c>
      <c r="B3" s="16"/>
      <c r="C3" s="17"/>
    </row>
    <row r="4" ht="90" customHeight="1" spans="1:14">
      <c r="A4" s="110" t="s">
        <v>1112</v>
      </c>
      <c r="B4" s="110" t="s">
        <v>3812</v>
      </c>
      <c r="C4" s="111" t="s">
        <v>3813</v>
      </c>
    </row>
    <row r="5" ht="90" customHeight="1" spans="1:14">
      <c r="A5" s="110" t="s">
        <v>1115</v>
      </c>
      <c r="B5" s="110" t="s">
        <v>3814</v>
      </c>
      <c r="C5" s="111" t="s">
        <v>3815</v>
      </c>
    </row>
    <row r="6" ht="90" customHeight="1" spans="1:14">
      <c r="A6" s="110" t="s">
        <v>1118</v>
      </c>
      <c r="B6" s="110" t="s">
        <v>3816</v>
      </c>
      <c r="C6" s="111" t="s">
        <v>3817</v>
      </c>
    </row>
    <row r="9" ht="15.75" spans="1:14">
      <c r="A9" s="112" t="s">
        <v>1124</v>
      </c>
      <c r="B9" s="16"/>
      <c r="C9" s="16"/>
      <c r="D9" s="16"/>
      <c r="E9" s="16"/>
      <c r="F9" s="16"/>
      <c r="G9" s="16"/>
      <c r="H9" s="16"/>
      <c r="I9" s="16"/>
      <c r="J9" s="16"/>
      <c r="K9" s="16"/>
      <c r="L9" s="16"/>
      <c r="M9" s="16"/>
      <c r="N9" s="17"/>
    </row>
    <row r="10" ht="45" customHeight="1" spans="1:14">
      <c r="A10" s="113" t="s">
        <v>1125</v>
      </c>
      <c r="B10" s="113" t="s">
        <v>1126</v>
      </c>
      <c r="C10" s="113" t="s">
        <v>1127</v>
      </c>
      <c r="D10" s="113" t="s">
        <v>1128</v>
      </c>
      <c r="E10" s="113" t="s">
        <v>1129</v>
      </c>
      <c r="F10" s="113" t="s">
        <v>1130</v>
      </c>
      <c r="G10" s="113" t="s">
        <v>1131</v>
      </c>
      <c r="H10" s="113" t="s">
        <v>1132</v>
      </c>
      <c r="I10" s="113" t="s">
        <v>1133</v>
      </c>
      <c r="J10" s="113" t="s">
        <v>1134</v>
      </c>
      <c r="K10" s="113" t="s">
        <v>1135</v>
      </c>
      <c r="L10" s="113" t="s">
        <v>1136</v>
      </c>
      <c r="M10" s="113" t="s">
        <v>1137</v>
      </c>
      <c r="N10" s="113" t="s">
        <v>1138</v>
      </c>
    </row>
    <row r="11" customHeight="1" spans="1:14">
      <c r="A11" s="114" t="s">
        <v>1112</v>
      </c>
      <c r="B11" s="114" t="s">
        <v>3812</v>
      </c>
      <c r="C11" s="115">
        <f>COUNTIF($A$51:$A$72,"UI_PH4_FR01_*")</f>
        <v>6</v>
      </c>
      <c r="D11" s="115">
        <f>COUNTIFS($A$51:$A$72,"UI_PH4_FR01_*",$G$51:$G$72,"Pending")</f>
        <v>0</v>
      </c>
      <c r="E11" s="115">
        <f>COUNTIFS($A$51:$A$72,"UI_PH4_FR01_*",$G$51:$G$72,"Pass")</f>
        <v>4</v>
      </c>
      <c r="F11" s="115">
        <f>COUNTIFS($A$51:$A$72,"UI_PH4_FR01_*",$G$51:$G$72,"Fail")</f>
        <v>2</v>
      </c>
      <c r="G11" s="115">
        <f>SUMIFS($H$51:$H$72,$A$51:$A$72,"UI_PH4_FR01_*")</f>
        <v>2</v>
      </c>
      <c r="H11" s="116">
        <f>IFERROR(E11/C11,0)</f>
        <v>0.666666666666667</v>
      </c>
      <c r="I11" s="115">
        <f>COUNTIFS($A$51:$A$72,"UI_PH4_FR01_*",$C$51:$C$72,"UI/UX")</f>
        <v>1</v>
      </c>
      <c r="J11" s="115">
        <f>COUNTIFS($A$51:$A$72,"UI_PH4_FR01_*",$C$51:$C$72,"Function")</f>
        <v>4</v>
      </c>
      <c r="K11" s="115">
        <f>COUNTIFS($A$51:$A$72,"UI_PH4_FR01_*",$C$51:$C$72,"Negative")</f>
        <v>1</v>
      </c>
      <c r="L11" s="115">
        <f>SUMIFS($H$51:$H$72,$A$51:$A$72,"UI_PH4_FR01_*",$C$51:$C$72,"UI/UX")</f>
        <v>0</v>
      </c>
      <c r="M11" s="115">
        <f>SUMIFS($H$51:$H$72,$A$51:$A$72,"UI_PH4_FR01_*",$C$51:$C$72,"Function")</f>
        <v>1</v>
      </c>
      <c r="N11" s="115">
        <f>SUMIFS($H$51:$H$72,$A$51:$A$72,"UI_PH4_FR01_*",$C$51:$C$72,"Negative")</f>
        <v>1</v>
      </c>
    </row>
    <row r="12" customHeight="1" spans="1:14">
      <c r="A12" s="114" t="s">
        <v>1115</v>
      </c>
      <c r="B12" s="114" t="s">
        <v>3814</v>
      </c>
      <c r="C12" s="115">
        <f>COUNTIF($A$51:$A$72,"UI_PH4_FR02_*")</f>
        <v>7</v>
      </c>
      <c r="D12" s="115">
        <f>COUNTIFS($A$51:$A$72,"UI_PH4_FR02_*",$G$51:$G$72,"Pending")</f>
        <v>0</v>
      </c>
      <c r="E12" s="115">
        <f>COUNTIFS($A$51:$A$72,"UI_PH4_FR02_*",$G$51:$G$72,"Pass")</f>
        <v>5</v>
      </c>
      <c r="F12" s="115">
        <f>COUNTIFS($A$51:$A$72,"UI_PH4_FR02_*",$G$51:$G$72,"Fail")</f>
        <v>2</v>
      </c>
      <c r="G12" s="115">
        <f>SUMIFS($H$51:$H$72,$A$51:$A$72,"UI_PH4_FR02_*")</f>
        <v>2</v>
      </c>
      <c r="H12" s="116">
        <f>IFERROR(E12/C12,0)</f>
        <v>0.714285714285714</v>
      </c>
      <c r="I12" s="115">
        <f>COUNTIFS($A$51:$A$72,"UI_PH4_FR02_*",$C$51:$C$72,"UI/UX")</f>
        <v>0</v>
      </c>
      <c r="J12" s="115">
        <f>COUNTIFS($A$51:$A$72,"UI_PH4_FR02_*",$C$51:$C$72,"Function")</f>
        <v>2</v>
      </c>
      <c r="K12" s="115">
        <f>COUNTIFS($A$51:$A$72,"UI_PH4_FR02_*",$C$51:$C$72,"Negative")</f>
        <v>5</v>
      </c>
      <c r="L12" s="115">
        <f>SUMIFS($H$51:$H$72,$A$51:$A$72,"UI_PH4_FR02_*",$C$51:$C$72,"UI/UX")</f>
        <v>0</v>
      </c>
      <c r="M12" s="115">
        <f>SUMIFS($H$51:$H$72,$A$51:$A$72,"UI_PH4_FR02_*",$C$51:$C$72,"Function")</f>
        <v>0</v>
      </c>
      <c r="N12" s="115">
        <f>SUMIFS($H$51:$H$72,$A$51:$A$72,"UI_PH4_FR02_*",$C$51:$C$72,"Negative")</f>
        <v>2</v>
      </c>
    </row>
    <row r="13" ht="30" customHeight="1" spans="1:14">
      <c r="A13" s="114" t="s">
        <v>1118</v>
      </c>
      <c r="B13" s="114" t="s">
        <v>3816</v>
      </c>
      <c r="C13" s="115">
        <f>COUNTIF($A$51:$A$72,"UI_PH4_FR03_*")</f>
        <v>6</v>
      </c>
      <c r="D13" s="115">
        <f>COUNTIFS($A$51:$A$72,"UI_PH4_FR03_*",$G$51:$G$72,"Pending")</f>
        <v>0</v>
      </c>
      <c r="E13" s="115">
        <f>COUNTIFS($A$51:$A$72,"UI_PH4_FR03_*",$G$51:$G$72,"Pass")</f>
        <v>6</v>
      </c>
      <c r="F13" s="115">
        <f>COUNTIFS($A$51:$A$72,"UI_PH4_FR03_*",$G$51:$G$72,"Fail")</f>
        <v>0</v>
      </c>
      <c r="G13" s="115">
        <f>SUMIFS($H$51:$H$72,$A$51:$A$72,"UI_PH4_FR03_*")</f>
        <v>0</v>
      </c>
      <c r="H13" s="116">
        <f>IFERROR(E13/C13,0)</f>
        <v>1</v>
      </c>
      <c r="I13" s="115">
        <f>COUNTIFS($A$51:$A$72,"UI_PH4_FR03_*",$C$51:$C$72,"UI/UX")</f>
        <v>1</v>
      </c>
      <c r="J13" s="115">
        <f>COUNTIFS($A$51:$A$72,"UI_PH4_FR03_*",$C$51:$C$72,"Function")</f>
        <v>3</v>
      </c>
      <c r="K13" s="115">
        <f>COUNTIFS($A$51:$A$72,"UI_PH4_FR03_*",$C$51:$C$72,"Negative")</f>
        <v>2</v>
      </c>
      <c r="L13" s="115">
        <f>SUMIFS($H$51:$H$72,$A$51:$A$72,"UI_PH4_FR03_*",$C$51:$C$72,"UI/UX")</f>
        <v>0</v>
      </c>
      <c r="M13" s="115">
        <f>SUMIFS($H$51:$H$72,$A$51:$A$72,"UI_PH4_FR03_*",$C$51:$C$72,"Function")</f>
        <v>0</v>
      </c>
      <c r="N13" s="115">
        <f>SUMIFS($H$51:$H$72,$A$51:$A$72,"UI_PH4_FR03_*",$C$51:$C$72,"Negative")</f>
        <v>0</v>
      </c>
    </row>
    <row r="14" ht="15.75" spans="1:14">
      <c r="A14" s="117" t="s">
        <v>1127</v>
      </c>
      <c r="B14" s="117" t="s">
        <v>7</v>
      </c>
      <c r="C14" s="118">
        <f>SUM(C11:C13)</f>
        <v>19</v>
      </c>
      <c r="D14" s="118">
        <f>SUM(D11:D13)</f>
        <v>0</v>
      </c>
      <c r="E14" s="118">
        <f>SUM(E11:E13)</f>
        <v>15</v>
      </c>
      <c r="F14" s="118">
        <f>SUM(F11:F13)</f>
        <v>4</v>
      </c>
      <c r="G14" s="118">
        <f>SUM(G11:G13)</f>
        <v>4</v>
      </c>
      <c r="H14" s="119">
        <f>IFERROR(E14/C14,0)</f>
        <v>0.789473684210526</v>
      </c>
      <c r="I14" s="118">
        <f t="shared" ref="I14:N14" si="0">SUM(I11:I13)</f>
        <v>2</v>
      </c>
      <c r="J14" s="118">
        <f t="shared" si="0"/>
        <v>9</v>
      </c>
      <c r="K14" s="118">
        <f t="shared" si="0"/>
        <v>8</v>
      </c>
      <c r="L14" s="118">
        <f t="shared" si="0"/>
        <v>0</v>
      </c>
      <c r="M14" s="118">
        <f t="shared" si="0"/>
        <v>1</v>
      </c>
      <c r="N14" s="118">
        <f t="shared" si="0"/>
        <v>3</v>
      </c>
    </row>
    <row r="17" ht="15.75" spans="1:5">
      <c r="A17" s="120" t="s">
        <v>1139</v>
      </c>
      <c r="B17" s="110" t="s">
        <v>1112</v>
      </c>
    </row>
    <row r="18" ht="15.75" spans="1:5">
      <c r="A18" s="120" t="s">
        <v>1140</v>
      </c>
      <c r="B18" s="110" t="s">
        <v>3812</v>
      </c>
    </row>
    <row r="19" ht="15.75" spans="1:5">
      <c r="A19" s="120" t="s">
        <v>1141</v>
      </c>
      <c r="B19" s="110" t="s">
        <v>7</v>
      </c>
    </row>
    <row r="20" ht="15.75" spans="1:5">
      <c r="A20" s="121" t="s">
        <v>1129</v>
      </c>
      <c r="B20" s="122">
        <f>E11</f>
        <v>4</v>
      </c>
      <c r="D20" s="121" t="s">
        <v>1133</v>
      </c>
      <c r="E20" s="122">
        <f>I11</f>
        <v>1</v>
      </c>
    </row>
    <row r="21" ht="15.75" spans="1:5">
      <c r="A21" s="121" t="s">
        <v>1130</v>
      </c>
      <c r="B21" s="122">
        <f>F11</f>
        <v>2</v>
      </c>
      <c r="D21" s="121" t="s">
        <v>1134</v>
      </c>
      <c r="E21" s="122">
        <f>J11</f>
        <v>4</v>
      </c>
    </row>
    <row r="22" ht="15.75" spans="1:5">
      <c r="A22" s="121" t="s">
        <v>1128</v>
      </c>
      <c r="B22" s="122">
        <f>D11</f>
        <v>0</v>
      </c>
      <c r="D22" s="121" t="s">
        <v>1135</v>
      </c>
      <c r="E22" s="122">
        <f>K11</f>
        <v>1</v>
      </c>
    </row>
    <row r="23" ht="15.75" spans="1:5">
      <c r="A23" s="121" t="s">
        <v>1131</v>
      </c>
      <c r="B23" s="122">
        <f>G11</f>
        <v>2</v>
      </c>
      <c r="D23" s="121" t="s">
        <v>1127</v>
      </c>
      <c r="E23" s="122">
        <f>C11</f>
        <v>6</v>
      </c>
    </row>
    <row r="24" ht="15.75" spans="1:5">
      <c r="A24" s="120" t="s">
        <v>1139</v>
      </c>
      <c r="B24" s="110" t="s">
        <v>1115</v>
      </c>
    </row>
    <row r="25" ht="15.75" spans="1:5">
      <c r="A25" s="120" t="s">
        <v>1140</v>
      </c>
      <c r="B25" s="110" t="s">
        <v>3814</v>
      </c>
    </row>
    <row r="26" ht="15.75" spans="1:5">
      <c r="A26" s="120" t="s">
        <v>1141</v>
      </c>
      <c r="B26" s="110" t="s">
        <v>7</v>
      </c>
    </row>
    <row r="27" ht="15.75" spans="1:5">
      <c r="A27" s="121" t="s">
        <v>1129</v>
      </c>
      <c r="B27" s="122">
        <f>E12</f>
        <v>5</v>
      </c>
      <c r="D27" s="121" t="s">
        <v>1133</v>
      </c>
      <c r="E27" s="122">
        <f>I12</f>
        <v>0</v>
      </c>
    </row>
    <row r="28" ht="15.75" spans="1:5">
      <c r="A28" s="121" t="s">
        <v>1130</v>
      </c>
      <c r="B28" s="122">
        <f>F12</f>
        <v>2</v>
      </c>
      <c r="D28" s="121" t="s">
        <v>1134</v>
      </c>
      <c r="E28" s="122">
        <f>J12</f>
        <v>2</v>
      </c>
    </row>
    <row r="29" ht="15.75" spans="1:5">
      <c r="A29" s="121" t="s">
        <v>1128</v>
      </c>
      <c r="B29" s="122">
        <f>D12</f>
        <v>0</v>
      </c>
      <c r="D29" s="121" t="s">
        <v>1135</v>
      </c>
      <c r="E29" s="122">
        <f>K12</f>
        <v>5</v>
      </c>
    </row>
    <row r="30" ht="15.75" spans="1:5">
      <c r="A30" s="121" t="s">
        <v>1131</v>
      </c>
      <c r="B30" s="122">
        <f>G12</f>
        <v>2</v>
      </c>
      <c r="D30" s="121" t="s">
        <v>1127</v>
      </c>
      <c r="E30" s="122">
        <f>C12</f>
        <v>7</v>
      </c>
    </row>
    <row r="31" ht="15.75" spans="1:5">
      <c r="A31" s="120" t="s">
        <v>1139</v>
      </c>
      <c r="B31" s="110" t="s">
        <v>1118</v>
      </c>
    </row>
    <row r="32" ht="31.5" spans="1:5">
      <c r="A32" s="120" t="s">
        <v>1140</v>
      </c>
      <c r="B32" s="110" t="s">
        <v>3816</v>
      </c>
    </row>
    <row r="33" ht="15.75" spans="1:9">
      <c r="A33" s="120" t="s">
        <v>1141</v>
      </c>
      <c r="B33" s="110" t="s">
        <v>7</v>
      </c>
    </row>
    <row r="34" ht="15.75" spans="1:9">
      <c r="A34" s="121" t="s">
        <v>1129</v>
      </c>
      <c r="B34" s="122">
        <f>E13</f>
        <v>6</v>
      </c>
      <c r="D34" s="121" t="s">
        <v>1133</v>
      </c>
      <c r="E34" s="122">
        <f>I13</f>
        <v>1</v>
      </c>
    </row>
    <row r="35" ht="15.75" spans="1:9">
      <c r="A35" s="121" t="s">
        <v>1130</v>
      </c>
      <c r="B35" s="122">
        <f>F13</f>
        <v>0</v>
      </c>
      <c r="D35" s="121" t="s">
        <v>1134</v>
      </c>
      <c r="E35" s="122">
        <f>J13</f>
        <v>3</v>
      </c>
    </row>
    <row r="36" ht="15.75" spans="1:9">
      <c r="A36" s="121" t="s">
        <v>1128</v>
      </c>
      <c r="B36" s="122">
        <f>D13</f>
        <v>0</v>
      </c>
      <c r="D36" s="121" t="s">
        <v>1135</v>
      </c>
      <c r="E36" s="122">
        <f>K13</f>
        <v>2</v>
      </c>
    </row>
    <row r="37" ht="15.75" spans="1:9">
      <c r="A37" s="121" t="s">
        <v>1131</v>
      </c>
      <c r="B37" s="122">
        <f>G13</f>
        <v>0</v>
      </c>
      <c r="D37" s="121" t="s">
        <v>1127</v>
      </c>
      <c r="E37" s="122">
        <f>C13</f>
        <v>6</v>
      </c>
    </row>
    <row r="38" ht="15.75" spans="1:9">
      <c r="A38" s="123" t="s">
        <v>1142</v>
      </c>
      <c r="B38" s="16"/>
      <c r="C38" s="16"/>
      <c r="D38" s="16"/>
      <c r="E38" s="16"/>
      <c r="F38" s="16"/>
      <c r="G38" s="16"/>
      <c r="H38" s="16"/>
      <c r="I38" s="17"/>
    </row>
    <row r="39" ht="15.75" spans="1:9">
      <c r="A39" s="124" t="s">
        <v>1143</v>
      </c>
      <c r="B39" s="16"/>
      <c r="C39" s="16"/>
      <c r="D39" s="16"/>
      <c r="E39" s="16"/>
      <c r="F39" s="16"/>
      <c r="G39" s="16"/>
      <c r="H39" s="16"/>
      <c r="I39" s="17"/>
    </row>
    <row r="40" ht="60" customHeight="1" spans="1:9">
      <c r="A40" s="310" t="s">
        <v>3818</v>
      </c>
      <c r="B40" s="16"/>
      <c r="C40" s="16"/>
      <c r="D40" s="16"/>
      <c r="E40" s="16"/>
      <c r="F40" s="16"/>
      <c r="G40" s="16"/>
      <c r="H40" s="16"/>
      <c r="I40" s="17"/>
    </row>
    <row r="41" ht="15.75" spans="1:9">
      <c r="A41" s="124" t="s">
        <v>1145</v>
      </c>
      <c r="B41" s="16"/>
      <c r="C41" s="16"/>
      <c r="D41" s="16"/>
      <c r="E41" s="16"/>
      <c r="F41" s="16"/>
      <c r="G41" s="16"/>
      <c r="H41" s="16"/>
      <c r="I41" s="17"/>
    </row>
    <row r="42" ht="135" customHeight="1" spans="1:9">
      <c r="A42" s="310" t="s">
        <v>3819</v>
      </c>
      <c r="B42" s="16"/>
      <c r="C42" s="16"/>
      <c r="D42" s="16"/>
      <c r="E42" s="16"/>
      <c r="F42" s="16"/>
      <c r="G42" s="16"/>
      <c r="H42" s="16"/>
      <c r="I42" s="17"/>
    </row>
    <row r="43" ht="15.75" spans="1:9">
      <c r="A43" s="124" t="s">
        <v>1147</v>
      </c>
      <c r="B43" s="16"/>
      <c r="C43" s="16"/>
      <c r="D43" s="16"/>
      <c r="E43" s="16"/>
      <c r="F43" s="16"/>
      <c r="G43" s="16"/>
      <c r="H43" s="16"/>
      <c r="I43" s="17"/>
    </row>
    <row r="44" ht="60" customHeight="1" spans="1:9">
      <c r="A44" s="310" t="s">
        <v>3820</v>
      </c>
      <c r="B44" s="16"/>
      <c r="C44" s="16"/>
      <c r="D44" s="16"/>
      <c r="E44" s="16"/>
      <c r="F44" s="16"/>
      <c r="G44" s="16"/>
      <c r="H44" s="16"/>
      <c r="I44" s="17"/>
    </row>
    <row r="45" ht="15.75" spans="1:9">
      <c r="A45" s="124" t="s">
        <v>1149</v>
      </c>
      <c r="B45" s="16"/>
      <c r="C45" s="16"/>
      <c r="D45" s="16"/>
      <c r="E45" s="16"/>
      <c r="F45" s="16"/>
      <c r="G45" s="16"/>
      <c r="H45" s="16"/>
      <c r="I45" s="17"/>
    </row>
    <row r="46" ht="60" customHeight="1" spans="1:9">
      <c r="A46" s="310" t="s">
        <v>3821</v>
      </c>
      <c r="B46" s="16"/>
      <c r="C46" s="16"/>
      <c r="D46" s="16"/>
      <c r="E46" s="16"/>
      <c r="F46" s="16"/>
      <c r="G46" s="16"/>
      <c r="H46" s="16"/>
      <c r="I46" s="17"/>
    </row>
    <row r="50" ht="15.75" spans="1:9">
      <c r="A50" s="126" t="s">
        <v>1109</v>
      </c>
      <c r="B50" s="126" t="s">
        <v>1151</v>
      </c>
      <c r="C50" s="126" t="s">
        <v>1152</v>
      </c>
      <c r="D50" s="126" t="s">
        <v>1153</v>
      </c>
      <c r="E50" s="126" t="s">
        <v>1154</v>
      </c>
      <c r="F50" s="126" t="s">
        <v>1155</v>
      </c>
      <c r="G50" s="126" t="s">
        <v>1156</v>
      </c>
      <c r="H50" s="126" t="s">
        <v>1131</v>
      </c>
      <c r="I50" s="126" t="s">
        <v>1157</v>
      </c>
    </row>
    <row r="51" ht="15.75" spans="1:9">
      <c r="A51" s="127" t="s">
        <v>3822</v>
      </c>
      <c r="B51" s="16"/>
      <c r="C51" s="16"/>
      <c r="D51" s="16"/>
      <c r="E51" s="16"/>
      <c r="F51" s="16"/>
      <c r="G51" s="16"/>
      <c r="H51" s="16"/>
      <c r="I51" s="17"/>
    </row>
    <row r="52" ht="75" customHeight="1" spans="1:9">
      <c r="A52" s="111" t="s">
        <v>3823</v>
      </c>
      <c r="B52" s="111" t="s">
        <v>3824</v>
      </c>
      <c r="C52" s="122" t="s">
        <v>1133</v>
      </c>
      <c r="D52" s="111" t="s">
        <v>3825</v>
      </c>
      <c r="E52" s="111" t="s">
        <v>3826</v>
      </c>
      <c r="F52" s="111" t="s">
        <v>3827</v>
      </c>
      <c r="G52" s="122" t="s">
        <v>1129</v>
      </c>
      <c r="H52" s="122"/>
      <c r="I52" s="111" t="s">
        <v>7</v>
      </c>
    </row>
    <row r="53" ht="150" customHeight="1" spans="1:9">
      <c r="A53" s="111" t="s">
        <v>3828</v>
      </c>
      <c r="B53" s="111" t="s">
        <v>3829</v>
      </c>
      <c r="C53" s="122" t="s">
        <v>1134</v>
      </c>
      <c r="D53" s="111" t="s">
        <v>3830</v>
      </c>
      <c r="E53" s="111" t="s">
        <v>3831</v>
      </c>
      <c r="F53" s="111" t="s">
        <v>3832</v>
      </c>
      <c r="G53" s="122" t="s">
        <v>1130</v>
      </c>
      <c r="H53" s="122">
        <v>1</v>
      </c>
      <c r="I53" s="111" t="s">
        <v>3833</v>
      </c>
    </row>
    <row r="54" ht="45" customHeight="1" spans="1:9">
      <c r="A54" s="111" t="s">
        <v>3834</v>
      </c>
      <c r="B54" s="111" t="s">
        <v>3835</v>
      </c>
      <c r="C54" s="122" t="s">
        <v>1134</v>
      </c>
      <c r="D54" s="111" t="s">
        <v>3836</v>
      </c>
      <c r="E54" s="111" t="s">
        <v>3837</v>
      </c>
      <c r="F54" s="111" t="s">
        <v>3838</v>
      </c>
      <c r="G54" s="122" t="s">
        <v>1129</v>
      </c>
      <c r="H54" s="122"/>
      <c r="I54" s="111" t="s">
        <v>3839</v>
      </c>
    </row>
    <row r="55" ht="120" customHeight="1" spans="1:9">
      <c r="A55" s="111" t="s">
        <v>3840</v>
      </c>
      <c r="B55" s="111" t="s">
        <v>3841</v>
      </c>
      <c r="C55" s="122" t="s">
        <v>1135</v>
      </c>
      <c r="D55" s="111" t="s">
        <v>3842</v>
      </c>
      <c r="E55" s="111" t="s">
        <v>3843</v>
      </c>
      <c r="F55" s="111" t="s">
        <v>3844</v>
      </c>
      <c r="G55" s="122" t="s">
        <v>1130</v>
      </c>
      <c r="H55" s="122">
        <v>1</v>
      </c>
      <c r="I55" s="111" t="s">
        <v>3845</v>
      </c>
    </row>
    <row r="56" ht="45" customHeight="1" spans="1:9">
      <c r="A56" s="111" t="s">
        <v>3846</v>
      </c>
      <c r="B56" s="111" t="s">
        <v>3847</v>
      </c>
      <c r="C56" s="122" t="s">
        <v>1134</v>
      </c>
      <c r="D56" s="111" t="s">
        <v>3848</v>
      </c>
      <c r="E56" s="111" t="s">
        <v>3849</v>
      </c>
      <c r="F56" s="111" t="s">
        <v>3850</v>
      </c>
      <c r="G56" s="122" t="s">
        <v>1129</v>
      </c>
      <c r="H56" s="122"/>
      <c r="I56" s="111" t="s">
        <v>3851</v>
      </c>
    </row>
    <row r="57" ht="30" customHeight="1" spans="1:9">
      <c r="A57" s="111" t="s">
        <v>3852</v>
      </c>
      <c r="B57" s="111" t="s">
        <v>3853</v>
      </c>
      <c r="C57" s="122" t="s">
        <v>1134</v>
      </c>
      <c r="D57" s="111" t="s">
        <v>3854</v>
      </c>
      <c r="E57" s="111" t="s">
        <v>3855</v>
      </c>
      <c r="F57" s="111" t="s">
        <v>3856</v>
      </c>
      <c r="G57" s="122" t="s">
        <v>1129</v>
      </c>
      <c r="H57" s="122"/>
      <c r="I57" s="111" t="s">
        <v>3857</v>
      </c>
    </row>
    <row r="58" ht="15.75" spans="1:9">
      <c r="A58" s="127" t="s">
        <v>3858</v>
      </c>
      <c r="B58" s="16"/>
      <c r="C58" s="16"/>
      <c r="D58" s="16"/>
      <c r="E58" s="16"/>
      <c r="F58" s="16"/>
      <c r="G58" s="16"/>
      <c r="H58" s="16"/>
      <c r="I58" s="17"/>
    </row>
    <row r="59" ht="60" customHeight="1" spans="1:9">
      <c r="A59" s="111" t="s">
        <v>3859</v>
      </c>
      <c r="B59" s="111" t="s">
        <v>3860</v>
      </c>
      <c r="C59" s="122" t="s">
        <v>1134</v>
      </c>
      <c r="D59" s="111" t="s">
        <v>3861</v>
      </c>
      <c r="E59" s="111" t="s">
        <v>3862</v>
      </c>
      <c r="F59" s="111" t="s">
        <v>3863</v>
      </c>
      <c r="G59" s="122" t="s">
        <v>1129</v>
      </c>
      <c r="H59" s="122"/>
      <c r="I59" s="111" t="s">
        <v>7</v>
      </c>
    </row>
    <row r="60" ht="45" customHeight="1" spans="1:9">
      <c r="A60" s="111" t="s">
        <v>3864</v>
      </c>
      <c r="B60" s="111" t="s">
        <v>3865</v>
      </c>
      <c r="C60" s="122" t="s">
        <v>1135</v>
      </c>
      <c r="D60" s="111" t="s">
        <v>3866</v>
      </c>
      <c r="E60" s="111" t="s">
        <v>3867</v>
      </c>
      <c r="F60" s="111" t="s">
        <v>3868</v>
      </c>
      <c r="G60" s="122" t="s">
        <v>1129</v>
      </c>
      <c r="H60" s="122"/>
      <c r="I60" s="111" t="s">
        <v>7</v>
      </c>
    </row>
    <row r="61" ht="45" customHeight="1" spans="1:9">
      <c r="A61" s="111" t="s">
        <v>3869</v>
      </c>
      <c r="B61" s="111" t="s">
        <v>3870</v>
      </c>
      <c r="C61" s="122" t="s">
        <v>1135</v>
      </c>
      <c r="D61" s="111" t="s">
        <v>3871</v>
      </c>
      <c r="E61" s="111" t="s">
        <v>3872</v>
      </c>
      <c r="F61" s="111" t="s">
        <v>3868</v>
      </c>
      <c r="G61" s="122" t="s">
        <v>1129</v>
      </c>
      <c r="H61" s="122"/>
      <c r="I61" s="111" t="s">
        <v>7</v>
      </c>
    </row>
    <row r="62" ht="105" customHeight="1" spans="1:9">
      <c r="A62" s="111" t="s">
        <v>3873</v>
      </c>
      <c r="B62" s="111" t="s">
        <v>3874</v>
      </c>
      <c r="C62" s="122" t="s">
        <v>1135</v>
      </c>
      <c r="D62" s="111" t="s">
        <v>3875</v>
      </c>
      <c r="E62" s="111" t="s">
        <v>3876</v>
      </c>
      <c r="F62" s="111" t="s">
        <v>3877</v>
      </c>
      <c r="G62" s="122" t="s">
        <v>1130</v>
      </c>
      <c r="H62" s="122">
        <v>1</v>
      </c>
      <c r="I62" s="111" t="s">
        <v>3878</v>
      </c>
    </row>
    <row r="63" ht="45" customHeight="1" spans="1:9">
      <c r="A63" s="111" t="s">
        <v>3879</v>
      </c>
      <c r="B63" s="111" t="s">
        <v>3880</v>
      </c>
      <c r="C63" s="122" t="s">
        <v>1134</v>
      </c>
      <c r="D63" s="111" t="s">
        <v>3881</v>
      </c>
      <c r="E63" s="111" t="s">
        <v>3882</v>
      </c>
      <c r="F63" s="111" t="s">
        <v>3883</v>
      </c>
      <c r="G63" s="122" t="s">
        <v>1129</v>
      </c>
      <c r="H63" s="122"/>
      <c r="I63" s="111" t="s">
        <v>7</v>
      </c>
    </row>
    <row r="64" ht="45" customHeight="1" spans="1:9">
      <c r="A64" s="111" t="s">
        <v>3884</v>
      </c>
      <c r="B64" s="111" t="s">
        <v>3885</v>
      </c>
      <c r="C64" s="122" t="s">
        <v>1135</v>
      </c>
      <c r="D64" s="111" t="s">
        <v>3886</v>
      </c>
      <c r="E64" s="111" t="s">
        <v>3887</v>
      </c>
      <c r="F64" s="111" t="s">
        <v>3888</v>
      </c>
      <c r="G64" s="122" t="s">
        <v>1129</v>
      </c>
      <c r="H64" s="122"/>
      <c r="I64" s="111" t="s">
        <v>3889</v>
      </c>
    </row>
    <row r="65" ht="90" customHeight="1" spans="1:9">
      <c r="A65" s="111" t="s">
        <v>3890</v>
      </c>
      <c r="B65" s="111" t="s">
        <v>3891</v>
      </c>
      <c r="C65" s="122" t="s">
        <v>1135</v>
      </c>
      <c r="D65" s="111" t="s">
        <v>3892</v>
      </c>
      <c r="E65" s="111" t="s">
        <v>3893</v>
      </c>
      <c r="F65" s="111" t="s">
        <v>3894</v>
      </c>
      <c r="G65" s="122" t="s">
        <v>1130</v>
      </c>
      <c r="H65" s="122">
        <v>1</v>
      </c>
      <c r="I65" s="111" t="s">
        <v>3895</v>
      </c>
    </row>
    <row r="66" ht="15.75" spans="1:9">
      <c r="A66" s="109" t="s">
        <v>3896</v>
      </c>
      <c r="B66" s="16"/>
      <c r="C66" s="16"/>
      <c r="D66" s="16"/>
      <c r="E66" s="16"/>
      <c r="F66" s="16"/>
      <c r="G66" s="16"/>
      <c r="H66" s="16"/>
      <c r="I66" s="17"/>
    </row>
    <row r="67" ht="45" customHeight="1" spans="1:9">
      <c r="A67" s="111" t="s">
        <v>3897</v>
      </c>
      <c r="B67" s="111" t="s">
        <v>3898</v>
      </c>
      <c r="C67" s="122" t="s">
        <v>1134</v>
      </c>
      <c r="D67" s="111" t="s">
        <v>3899</v>
      </c>
      <c r="E67" s="111" t="s">
        <v>3900</v>
      </c>
      <c r="F67" s="111" t="s">
        <v>3901</v>
      </c>
      <c r="G67" s="122" t="s">
        <v>1129</v>
      </c>
      <c r="H67" s="122"/>
      <c r="I67" s="111" t="s">
        <v>7</v>
      </c>
    </row>
    <row r="68" ht="30" customHeight="1" spans="1:9">
      <c r="A68" s="111" t="s">
        <v>3902</v>
      </c>
      <c r="B68" s="111" t="s">
        <v>3903</v>
      </c>
      <c r="C68" s="122" t="s">
        <v>1134</v>
      </c>
      <c r="D68" s="111" t="s">
        <v>3904</v>
      </c>
      <c r="E68" s="111" t="s">
        <v>3905</v>
      </c>
      <c r="F68" s="111" t="s">
        <v>3906</v>
      </c>
      <c r="G68" s="122" t="s">
        <v>1129</v>
      </c>
      <c r="H68" s="122"/>
      <c r="I68" s="111" t="s">
        <v>3907</v>
      </c>
    </row>
    <row r="69" ht="45" customHeight="1" spans="1:9">
      <c r="A69" s="111" t="s">
        <v>3908</v>
      </c>
      <c r="B69" s="111" t="s">
        <v>3909</v>
      </c>
      <c r="C69" s="122" t="s">
        <v>1135</v>
      </c>
      <c r="D69" s="111" t="s">
        <v>3910</v>
      </c>
      <c r="E69" s="111" t="s">
        <v>3911</v>
      </c>
      <c r="F69" s="111" t="s">
        <v>3912</v>
      </c>
      <c r="G69" s="122" t="s">
        <v>1129</v>
      </c>
      <c r="H69" s="122"/>
      <c r="I69" s="111" t="s">
        <v>7</v>
      </c>
    </row>
    <row r="70" ht="60" customHeight="1" spans="1:9">
      <c r="A70" s="111" t="s">
        <v>3913</v>
      </c>
      <c r="B70" s="111" t="s">
        <v>3914</v>
      </c>
      <c r="C70" s="122" t="s">
        <v>1134</v>
      </c>
      <c r="D70" s="111" t="s">
        <v>3915</v>
      </c>
      <c r="E70" s="111" t="s">
        <v>3916</v>
      </c>
      <c r="F70" s="111" t="s">
        <v>3917</v>
      </c>
      <c r="G70" s="122" t="s">
        <v>1129</v>
      </c>
      <c r="H70" s="122"/>
      <c r="I70" s="111" t="s">
        <v>7</v>
      </c>
    </row>
    <row r="71" ht="30" customHeight="1" spans="1:9">
      <c r="A71" s="111" t="s">
        <v>3918</v>
      </c>
      <c r="B71" s="111" t="s">
        <v>3919</v>
      </c>
      <c r="C71" s="122" t="s">
        <v>1135</v>
      </c>
      <c r="D71" s="111" t="s">
        <v>3920</v>
      </c>
      <c r="E71" s="111" t="s">
        <v>3921</v>
      </c>
      <c r="F71" s="111" t="s">
        <v>3922</v>
      </c>
      <c r="G71" s="122" t="s">
        <v>1129</v>
      </c>
      <c r="H71" s="122"/>
      <c r="I71" s="111" t="s">
        <v>7</v>
      </c>
    </row>
    <row r="72" ht="45" customHeight="1" spans="1:9">
      <c r="A72" s="111" t="s">
        <v>3923</v>
      </c>
      <c r="B72" s="111" t="s">
        <v>3924</v>
      </c>
      <c r="C72" s="122" t="s">
        <v>1133</v>
      </c>
      <c r="D72" s="111" t="s">
        <v>3899</v>
      </c>
      <c r="E72" s="111" t="s">
        <v>3925</v>
      </c>
      <c r="F72" s="111" t="s">
        <v>3926</v>
      </c>
      <c r="G72" s="122" t="s">
        <v>1129</v>
      </c>
      <c r="H72" s="122"/>
      <c r="I72" s="111" t="s">
        <v>7</v>
      </c>
    </row>
  </sheetData>
  <mergeCells count="15">
    <mergeCell ref="A1:C1"/>
    <mergeCell ref="A3:C3"/>
    <mergeCell ref="A9:N9"/>
    <mergeCell ref="A38:I38"/>
    <mergeCell ref="A39:I39"/>
    <mergeCell ref="A40:I40"/>
    <mergeCell ref="A41:I41"/>
    <mergeCell ref="A42:I42"/>
    <mergeCell ref="A43:I43"/>
    <mergeCell ref="A44:I44"/>
    <mergeCell ref="A45:I45"/>
    <mergeCell ref="A46:I46"/>
    <mergeCell ref="A51:I51"/>
    <mergeCell ref="A58:I58"/>
    <mergeCell ref="A66:I66"/>
  </mergeCells>
  <conditionalFormatting sqref="G51:G72">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2"/>
  <sheetViews>
    <sheetView workbookViewId="0">
      <selection activeCell="A1" sqref="A1:E1"/>
    </sheetView>
  </sheetViews>
  <sheetFormatPr defaultColWidth="9" defaultRowHeight="15"/>
  <cols>
    <col min="1" max="1" width="18" customWidth="1"/>
    <col min="2" max="2" width="24" customWidth="1"/>
    <col min="3" max="3" width="34" customWidth="1"/>
    <col min="4" max="4" width="18" customWidth="1"/>
    <col min="5" max="5" width="10" customWidth="1"/>
    <col min="6" max="6" width="34" customWidth="1"/>
    <col min="7" max="7" width="26" customWidth="1"/>
    <col min="8" max="8" width="30" customWidth="1"/>
    <col min="9" max="9" width="36" customWidth="1"/>
    <col min="10" max="10" width="10" customWidth="1"/>
    <col min="11" max="11" width="30" customWidth="1"/>
    <col min="12" max="12" width="9.14285714285714" customWidth="1"/>
  </cols>
  <sheetData>
    <row r="1" ht="20.25" spans="1:5">
      <c r="A1" s="74" t="s">
        <v>1295</v>
      </c>
    </row>
    <row r="2" spans="1:5">
      <c r="A2" s="75" t="s">
        <v>3927</v>
      </c>
      <c r="B2" s="16"/>
      <c r="C2" s="16"/>
      <c r="D2" s="16"/>
      <c r="E2" s="17"/>
    </row>
    <row r="3" customHeight="1" spans="1:5">
      <c r="A3" s="76" t="s">
        <v>1297</v>
      </c>
      <c r="B3" s="17"/>
      <c r="C3" s="77" t="s">
        <v>1298</v>
      </c>
      <c r="D3" s="16"/>
      <c r="E3" s="17"/>
    </row>
    <row r="4" customHeight="1" spans="1:5">
      <c r="A4" s="76" t="s">
        <v>1299</v>
      </c>
      <c r="B4" s="17"/>
      <c r="C4" s="78" t="s">
        <v>1300</v>
      </c>
      <c r="D4" s="16"/>
      <c r="E4" s="17"/>
    </row>
    <row r="5" customHeight="1" spans="1:5">
      <c r="A5" s="76" t="s">
        <v>1301</v>
      </c>
      <c r="B5" s="17"/>
      <c r="C5" s="77" t="s">
        <v>3928</v>
      </c>
      <c r="D5" s="16"/>
      <c r="E5" s="17"/>
    </row>
    <row r="6" customHeight="1" spans="1:5">
      <c r="A6" s="76" t="s">
        <v>1303</v>
      </c>
      <c r="B6" s="17"/>
      <c r="C6" s="78" t="s">
        <v>1304</v>
      </c>
      <c r="D6" s="16"/>
      <c r="E6" s="17"/>
    </row>
    <row r="7" ht="30" customHeight="1" spans="1:5">
      <c r="A7" s="76" t="s">
        <v>1305</v>
      </c>
      <c r="B7" s="17"/>
      <c r="C7" s="77" t="s">
        <v>3929</v>
      </c>
      <c r="D7" s="16"/>
      <c r="E7" s="17"/>
    </row>
    <row r="8" ht="75" customHeight="1" spans="1:5">
      <c r="A8" s="76" t="s">
        <v>1307</v>
      </c>
      <c r="B8" s="17"/>
      <c r="C8" s="77" t="s">
        <v>3930</v>
      </c>
      <c r="D8" s="16"/>
      <c r="E8" s="17"/>
    </row>
    <row r="10" ht="16.5" spans="1:5">
      <c r="A10" s="79" t="s">
        <v>1309</v>
      </c>
    </row>
    <row r="11" spans="1:5">
      <c r="A11" s="80" t="s">
        <v>1310</v>
      </c>
    </row>
    <row r="12" spans="1:5">
      <c r="A12" s="81" t="s">
        <v>211</v>
      </c>
      <c r="B12" s="81" t="s">
        <v>1311</v>
      </c>
      <c r="C12" s="81" t="s">
        <v>1312</v>
      </c>
      <c r="D12" s="82"/>
      <c r="E12" s="81" t="s">
        <v>430</v>
      </c>
    </row>
    <row r="13" ht="105" customHeight="1" spans="1:5">
      <c r="A13" s="83">
        <v>1</v>
      </c>
      <c r="B13" s="84" t="s">
        <v>3931</v>
      </c>
      <c r="C13" s="85" t="s">
        <v>3932</v>
      </c>
      <c r="D13" s="17"/>
      <c r="E13" s="85" t="s">
        <v>3933</v>
      </c>
    </row>
    <row r="14" ht="90" customHeight="1" spans="1:5">
      <c r="A14" s="83">
        <v>2</v>
      </c>
      <c r="B14" s="84" t="s">
        <v>3934</v>
      </c>
      <c r="C14" s="85" t="s">
        <v>3935</v>
      </c>
      <c r="D14" s="17"/>
      <c r="E14" s="85" t="s">
        <v>3936</v>
      </c>
    </row>
    <row r="15" ht="90" customHeight="1" spans="1:5">
      <c r="A15" s="83">
        <v>3</v>
      </c>
      <c r="B15" s="84" t="s">
        <v>3937</v>
      </c>
      <c r="C15" s="84" t="s">
        <v>3938</v>
      </c>
      <c r="D15" s="17"/>
      <c r="E15" s="85" t="s">
        <v>3939</v>
      </c>
    </row>
    <row r="17" spans="1:5">
      <c r="A17" s="86" t="s">
        <v>1328</v>
      </c>
      <c r="B17" s="16"/>
      <c r="C17" s="16"/>
      <c r="D17" s="16"/>
      <c r="E17" s="17"/>
    </row>
    <row r="18" ht="45" customHeight="1" spans="1:5">
      <c r="A18" s="87">
        <v>1</v>
      </c>
      <c r="B18" s="88" t="s">
        <v>3940</v>
      </c>
      <c r="C18" s="89" t="s">
        <v>3941</v>
      </c>
      <c r="D18" s="16"/>
      <c r="E18" s="17"/>
    </row>
    <row r="19" ht="45" customHeight="1" spans="1:5">
      <c r="A19" s="87">
        <v>2</v>
      </c>
      <c r="B19" s="88" t="s">
        <v>3942</v>
      </c>
      <c r="C19" s="89" t="s">
        <v>3943</v>
      </c>
      <c r="D19" s="16"/>
      <c r="E19" s="17"/>
    </row>
    <row r="20" ht="45" customHeight="1" spans="1:5">
      <c r="A20" s="87">
        <v>3</v>
      </c>
      <c r="B20" s="88" t="s">
        <v>3944</v>
      </c>
      <c r="C20" s="89" t="s">
        <v>3945</v>
      </c>
      <c r="D20" s="16"/>
      <c r="E20" s="17"/>
    </row>
    <row r="22" spans="1:5">
      <c r="A22" s="90" t="s">
        <v>1335</v>
      </c>
      <c r="B22" s="16"/>
      <c r="C22" s="16"/>
      <c r="D22" s="16"/>
      <c r="E22" s="17"/>
    </row>
    <row r="23" spans="1:5">
      <c r="A23" s="81" t="s">
        <v>211</v>
      </c>
      <c r="B23" s="81" t="s">
        <v>1311</v>
      </c>
      <c r="C23" s="81" t="s">
        <v>1336</v>
      </c>
      <c r="D23" s="91"/>
      <c r="E23" s="82"/>
    </row>
    <row r="24" ht="30" customHeight="1" spans="1:5">
      <c r="A24" s="87">
        <v>1</v>
      </c>
      <c r="B24" s="88" t="s">
        <v>3946</v>
      </c>
      <c r="C24" s="89" t="s">
        <v>3947</v>
      </c>
      <c r="D24" s="16"/>
      <c r="E24" s="17"/>
    </row>
    <row r="25" ht="30" customHeight="1" spans="1:5">
      <c r="A25" s="87">
        <v>2</v>
      </c>
      <c r="B25" s="88" t="s">
        <v>3948</v>
      </c>
      <c r="C25" s="89" t="s">
        <v>3949</v>
      </c>
      <c r="D25" s="16"/>
      <c r="E25" s="17"/>
    </row>
    <row r="26" ht="45" customHeight="1" spans="1:5">
      <c r="A26" s="87">
        <v>3</v>
      </c>
      <c r="B26" s="88" t="s">
        <v>3950</v>
      </c>
      <c r="C26" s="89" t="s">
        <v>3951</v>
      </c>
      <c r="D26" s="16"/>
      <c r="E26" s="17"/>
    </row>
    <row r="27" ht="75" customHeight="1" spans="1:5">
      <c r="A27" s="87">
        <v>4</v>
      </c>
      <c r="B27" s="88" t="s">
        <v>3952</v>
      </c>
      <c r="C27" s="89" t="s">
        <v>3953</v>
      </c>
      <c r="D27" s="16"/>
      <c r="E27" s="17"/>
    </row>
    <row r="28" ht="30" customHeight="1" spans="1:5">
      <c r="A28" s="87">
        <v>5</v>
      </c>
      <c r="B28" s="88" t="s">
        <v>3954</v>
      </c>
      <c r="C28" s="89" t="s">
        <v>3955</v>
      </c>
      <c r="D28" s="16"/>
      <c r="E28" s="17"/>
    </row>
    <row r="30" spans="1:5">
      <c r="A30" s="86" t="s">
        <v>1349</v>
      </c>
      <c r="B30" s="16"/>
      <c r="C30" s="16"/>
      <c r="D30" s="16"/>
      <c r="E30" s="17"/>
    </row>
    <row r="31" ht="25.5" spans="1:5">
      <c r="A31" s="81" t="s">
        <v>1350</v>
      </c>
      <c r="B31" s="81" t="s">
        <v>1351</v>
      </c>
      <c r="C31" s="81" t="s">
        <v>1352</v>
      </c>
      <c r="D31" s="81" t="s">
        <v>1353</v>
      </c>
      <c r="E31" s="81" t="s">
        <v>1354</v>
      </c>
    </row>
    <row r="32" ht="25.5" spans="1:5">
      <c r="A32" s="85" t="s">
        <v>3956</v>
      </c>
      <c r="B32" s="85" t="s">
        <v>3957</v>
      </c>
      <c r="C32" s="92">
        <v>0.692</v>
      </c>
      <c r="D32" s="92">
        <v>0.667</v>
      </c>
      <c r="E32" s="93" t="s">
        <v>3958</v>
      </c>
    </row>
    <row r="33" ht="25.5" spans="1:11">
      <c r="A33" s="85" t="s">
        <v>3959</v>
      </c>
      <c r="B33" s="85" t="s">
        <v>3957</v>
      </c>
      <c r="C33" s="92">
        <v>0.861</v>
      </c>
      <c r="D33" s="92">
        <v>0.773</v>
      </c>
      <c r="E33" s="93" t="s">
        <v>3960</v>
      </c>
    </row>
    <row r="34" ht="25.5" spans="1:11">
      <c r="A34" s="85" t="s">
        <v>3961</v>
      </c>
      <c r="B34" s="85" t="s">
        <v>3962</v>
      </c>
      <c r="C34" s="92">
        <v>0.823</v>
      </c>
      <c r="D34" s="92">
        <v>0.724</v>
      </c>
      <c r="E34" s="93" t="s">
        <v>3963</v>
      </c>
    </row>
    <row r="35" ht="30" spans="1:11">
      <c r="A35" s="80" t="s">
        <v>1365</v>
      </c>
      <c r="B35" s="80" t="s">
        <v>7</v>
      </c>
      <c r="C35" s="94">
        <v>0.774</v>
      </c>
      <c r="D35" s="94">
        <v>0.714</v>
      </c>
      <c r="E35" s="80" t="s">
        <v>7</v>
      </c>
    </row>
    <row r="36" ht="45" customHeight="1" spans="1:11">
      <c r="A36" s="95" t="s">
        <v>3964</v>
      </c>
      <c r="B36" s="16"/>
      <c r="C36" s="16"/>
      <c r="D36" s="16"/>
      <c r="E36" s="17"/>
    </row>
    <row r="40" spans="1:11">
      <c r="A40" s="96" t="s">
        <v>1367</v>
      </c>
      <c r="B40" s="91"/>
      <c r="C40" s="91"/>
      <c r="D40" s="91"/>
      <c r="E40" s="91"/>
      <c r="F40" s="91"/>
      <c r="G40" s="91"/>
      <c r="H40" s="91"/>
      <c r="I40" s="91"/>
      <c r="J40" s="91"/>
      <c r="K40" s="82"/>
    </row>
    <row r="41" ht="33" spans="1:11">
      <c r="A41" s="97" t="s">
        <v>1368</v>
      </c>
      <c r="B41" s="97" t="s">
        <v>1369</v>
      </c>
      <c r="C41" s="97" t="s">
        <v>1370</v>
      </c>
      <c r="D41" s="97" t="s">
        <v>1371</v>
      </c>
      <c r="E41" s="97" t="s">
        <v>1372</v>
      </c>
      <c r="F41" s="97" t="s">
        <v>1373</v>
      </c>
      <c r="G41" s="97" t="s">
        <v>1374</v>
      </c>
      <c r="H41" s="97" t="s">
        <v>1375</v>
      </c>
      <c r="I41" s="97" t="s">
        <v>1376</v>
      </c>
      <c r="J41" s="97" t="s">
        <v>1377</v>
      </c>
      <c r="K41" s="97" t="s">
        <v>1378</v>
      </c>
    </row>
    <row r="42" spans="1:11">
      <c r="A42" s="98" t="s">
        <v>3931</v>
      </c>
      <c r="B42" s="99"/>
      <c r="C42" s="99"/>
      <c r="D42" s="99"/>
      <c r="E42" s="99"/>
      <c r="F42" s="99"/>
      <c r="G42" s="99"/>
      <c r="H42" s="99"/>
      <c r="I42" s="99"/>
      <c r="J42" s="99"/>
      <c r="K42" s="100"/>
    </row>
    <row r="43" ht="60" customHeight="1" spans="1:11">
      <c r="A43" s="101" t="s">
        <v>3965</v>
      </c>
      <c r="B43" s="101" t="s">
        <v>3931</v>
      </c>
      <c r="C43" s="101" t="s">
        <v>3966</v>
      </c>
      <c r="D43" s="101" t="s">
        <v>3967</v>
      </c>
      <c r="E43" s="102" t="s">
        <v>7</v>
      </c>
      <c r="F43" s="101" t="s">
        <v>3968</v>
      </c>
      <c r="G43" s="101" t="s">
        <v>3969</v>
      </c>
      <c r="H43" s="101" t="s">
        <v>3970</v>
      </c>
      <c r="I43" s="101" t="s">
        <v>3971</v>
      </c>
      <c r="J43" s="102" t="s">
        <v>1385</v>
      </c>
      <c r="K43" s="101" t="s">
        <v>1404</v>
      </c>
    </row>
    <row r="44" ht="45" customHeight="1" spans="1:11">
      <c r="A44" s="101" t="s">
        <v>3972</v>
      </c>
      <c r="B44" s="101" t="s">
        <v>3931</v>
      </c>
      <c r="C44" s="101" t="s">
        <v>3966</v>
      </c>
      <c r="D44" s="101" t="s">
        <v>3973</v>
      </c>
      <c r="E44" s="102" t="s">
        <v>7</v>
      </c>
      <c r="F44" s="101" t="s">
        <v>3974</v>
      </c>
      <c r="G44" s="101" t="s">
        <v>3975</v>
      </c>
      <c r="H44" s="101" t="s">
        <v>3976</v>
      </c>
      <c r="I44" s="101" t="s">
        <v>3977</v>
      </c>
      <c r="J44" s="102" t="s">
        <v>1385</v>
      </c>
      <c r="K44" s="101" t="s">
        <v>1404</v>
      </c>
    </row>
    <row r="45" ht="45" customHeight="1" spans="1:11">
      <c r="A45" s="101" t="s">
        <v>3978</v>
      </c>
      <c r="B45" s="101" t="s">
        <v>3931</v>
      </c>
      <c r="C45" s="101" t="s">
        <v>3966</v>
      </c>
      <c r="D45" s="101" t="s">
        <v>3979</v>
      </c>
      <c r="E45" s="102" t="s">
        <v>7</v>
      </c>
      <c r="F45" s="101" t="s">
        <v>3980</v>
      </c>
      <c r="G45" s="101" t="s">
        <v>3981</v>
      </c>
      <c r="H45" s="101" t="s">
        <v>3982</v>
      </c>
      <c r="I45" s="101" t="s">
        <v>3983</v>
      </c>
      <c r="J45" s="102" t="s">
        <v>1385</v>
      </c>
      <c r="K45" s="101" t="s">
        <v>1404</v>
      </c>
    </row>
    <row r="46" ht="45" customHeight="1" spans="1:11">
      <c r="A46" s="101" t="s">
        <v>3984</v>
      </c>
      <c r="B46" s="101" t="s">
        <v>3931</v>
      </c>
      <c r="C46" s="101" t="s">
        <v>3966</v>
      </c>
      <c r="D46" s="101" t="s">
        <v>3979</v>
      </c>
      <c r="E46" s="102" t="s">
        <v>7</v>
      </c>
      <c r="F46" s="101" t="s">
        <v>3985</v>
      </c>
      <c r="G46" s="101" t="s">
        <v>3986</v>
      </c>
      <c r="H46" s="101" t="s">
        <v>3987</v>
      </c>
      <c r="I46" s="101" t="s">
        <v>3988</v>
      </c>
      <c r="J46" s="102" t="s">
        <v>1385</v>
      </c>
      <c r="K46" s="101" t="s">
        <v>1404</v>
      </c>
    </row>
    <row r="47" ht="45" customHeight="1" spans="1:11">
      <c r="A47" s="101" t="s">
        <v>3989</v>
      </c>
      <c r="B47" s="101" t="s">
        <v>3931</v>
      </c>
      <c r="C47" s="101" t="s">
        <v>3966</v>
      </c>
      <c r="D47" s="101" t="s">
        <v>3990</v>
      </c>
      <c r="E47" s="102" t="s">
        <v>7</v>
      </c>
      <c r="F47" s="101" t="s">
        <v>3991</v>
      </c>
      <c r="G47" s="101" t="s">
        <v>3992</v>
      </c>
      <c r="H47" s="101" t="s">
        <v>3993</v>
      </c>
      <c r="I47" s="101" t="s">
        <v>3994</v>
      </c>
      <c r="J47" s="102" t="s">
        <v>1385</v>
      </c>
      <c r="K47" s="101" t="s">
        <v>1404</v>
      </c>
    </row>
    <row r="48" ht="60" customHeight="1" spans="1:11">
      <c r="A48" s="101" t="s">
        <v>3995</v>
      </c>
      <c r="B48" s="101" t="s">
        <v>3931</v>
      </c>
      <c r="C48" s="101" t="s">
        <v>3966</v>
      </c>
      <c r="D48" s="101" t="s">
        <v>3996</v>
      </c>
      <c r="E48" s="102" t="s">
        <v>7</v>
      </c>
      <c r="F48" s="101" t="s">
        <v>3997</v>
      </c>
      <c r="G48" s="101" t="s">
        <v>3998</v>
      </c>
      <c r="H48" s="101" t="s">
        <v>3999</v>
      </c>
      <c r="I48" s="101" t="s">
        <v>4000</v>
      </c>
      <c r="J48" s="102" t="s">
        <v>1385</v>
      </c>
      <c r="K48" s="101" t="s">
        <v>1404</v>
      </c>
    </row>
    <row r="49" ht="60" customHeight="1" spans="1:11">
      <c r="A49" s="101" t="s">
        <v>4001</v>
      </c>
      <c r="B49" s="101" t="s">
        <v>3931</v>
      </c>
      <c r="C49" s="101" t="s">
        <v>3966</v>
      </c>
      <c r="D49" s="101" t="s">
        <v>4002</v>
      </c>
      <c r="E49" s="102" t="s">
        <v>7</v>
      </c>
      <c r="F49" s="101" t="s">
        <v>4003</v>
      </c>
      <c r="G49" s="101" t="s">
        <v>4004</v>
      </c>
      <c r="H49" s="101" t="s">
        <v>4005</v>
      </c>
      <c r="I49" s="101" t="s">
        <v>4006</v>
      </c>
      <c r="J49" s="102" t="s">
        <v>1385</v>
      </c>
      <c r="K49" s="101" t="s">
        <v>1404</v>
      </c>
    </row>
    <row r="50" ht="45" customHeight="1" spans="1:11">
      <c r="A50" s="101" t="s">
        <v>4007</v>
      </c>
      <c r="B50" s="101" t="s">
        <v>3931</v>
      </c>
      <c r="C50" s="101" t="s">
        <v>3966</v>
      </c>
      <c r="D50" s="101" t="s">
        <v>4008</v>
      </c>
      <c r="E50" s="102" t="s">
        <v>7</v>
      </c>
      <c r="F50" s="101" t="s">
        <v>4009</v>
      </c>
      <c r="G50" s="101" t="s">
        <v>4010</v>
      </c>
      <c r="H50" s="101" t="s">
        <v>4011</v>
      </c>
      <c r="I50" s="101" t="s">
        <v>4012</v>
      </c>
      <c r="J50" s="102" t="s">
        <v>1385</v>
      </c>
      <c r="K50" s="101" t="s">
        <v>1404</v>
      </c>
    </row>
    <row r="51" ht="45" customHeight="1" spans="1:11">
      <c r="A51" s="101" t="s">
        <v>4013</v>
      </c>
      <c r="B51" s="101" t="s">
        <v>3931</v>
      </c>
      <c r="C51" s="101" t="s">
        <v>3966</v>
      </c>
      <c r="D51" s="101" t="s">
        <v>4014</v>
      </c>
      <c r="E51" s="102" t="s">
        <v>7</v>
      </c>
      <c r="F51" s="101" t="s">
        <v>4015</v>
      </c>
      <c r="G51" s="101" t="s">
        <v>4016</v>
      </c>
      <c r="H51" s="101" t="s">
        <v>4017</v>
      </c>
      <c r="I51" s="101" t="s">
        <v>4018</v>
      </c>
      <c r="J51" s="102" t="s">
        <v>1385</v>
      </c>
      <c r="K51" s="101" t="s">
        <v>1404</v>
      </c>
    </row>
    <row r="52" spans="1:11">
      <c r="A52" s="98" t="s">
        <v>3934</v>
      </c>
      <c r="B52" s="99"/>
      <c r="C52" s="99"/>
      <c r="D52" s="99"/>
      <c r="E52" s="99"/>
      <c r="F52" s="99"/>
      <c r="G52" s="99"/>
      <c r="H52" s="99"/>
      <c r="I52" s="99"/>
      <c r="J52" s="99"/>
      <c r="K52" s="100"/>
    </row>
    <row r="53" ht="60" customHeight="1" spans="1:11">
      <c r="A53" s="101" t="s">
        <v>4019</v>
      </c>
      <c r="B53" s="101" t="s">
        <v>3934</v>
      </c>
      <c r="C53" s="101" t="s">
        <v>4020</v>
      </c>
      <c r="D53" s="101" t="s">
        <v>4021</v>
      </c>
      <c r="E53" s="102" t="s">
        <v>7</v>
      </c>
      <c r="F53" s="101" t="s">
        <v>4022</v>
      </c>
      <c r="G53" s="101" t="s">
        <v>4023</v>
      </c>
      <c r="H53" s="101" t="s">
        <v>4024</v>
      </c>
      <c r="I53" s="101" t="s">
        <v>4025</v>
      </c>
      <c r="J53" s="102" t="s">
        <v>1385</v>
      </c>
      <c r="K53" s="101" t="s">
        <v>1404</v>
      </c>
    </row>
    <row r="54" ht="45" customHeight="1" spans="1:11">
      <c r="A54" s="101" t="s">
        <v>4026</v>
      </c>
      <c r="B54" s="101" t="s">
        <v>3934</v>
      </c>
      <c r="C54" s="101" t="s">
        <v>4020</v>
      </c>
      <c r="D54" s="101" t="s">
        <v>4027</v>
      </c>
      <c r="E54" s="102" t="s">
        <v>7</v>
      </c>
      <c r="F54" s="101" t="s">
        <v>4028</v>
      </c>
      <c r="G54" s="101" t="s">
        <v>4029</v>
      </c>
      <c r="H54" s="101" t="s">
        <v>4030</v>
      </c>
      <c r="I54" s="101" t="s">
        <v>4031</v>
      </c>
      <c r="J54" s="102" t="s">
        <v>1385</v>
      </c>
      <c r="K54" s="101" t="s">
        <v>1404</v>
      </c>
    </row>
    <row r="55" ht="45" customHeight="1" spans="1:11">
      <c r="A55" s="101" t="s">
        <v>4032</v>
      </c>
      <c r="B55" s="101" t="s">
        <v>3934</v>
      </c>
      <c r="C55" s="101" t="s">
        <v>4020</v>
      </c>
      <c r="D55" s="101" t="s">
        <v>4027</v>
      </c>
      <c r="E55" s="102" t="s">
        <v>7</v>
      </c>
      <c r="F55" s="101" t="s">
        <v>4033</v>
      </c>
      <c r="G55" s="101" t="s">
        <v>4034</v>
      </c>
      <c r="H55" s="101" t="s">
        <v>4035</v>
      </c>
      <c r="I55" s="101" t="s">
        <v>4036</v>
      </c>
      <c r="J55" s="102" t="s">
        <v>1385</v>
      </c>
      <c r="K55" s="101" t="s">
        <v>1404</v>
      </c>
    </row>
    <row r="56" ht="60" customHeight="1" spans="1:11">
      <c r="A56" s="101" t="s">
        <v>4037</v>
      </c>
      <c r="B56" s="101" t="s">
        <v>3934</v>
      </c>
      <c r="C56" s="101" t="s">
        <v>4020</v>
      </c>
      <c r="D56" s="101" t="s">
        <v>4021</v>
      </c>
      <c r="E56" s="102" t="s">
        <v>7</v>
      </c>
      <c r="F56" s="101" t="s">
        <v>4038</v>
      </c>
      <c r="G56" s="101" t="s">
        <v>4039</v>
      </c>
      <c r="H56" s="101" t="s">
        <v>4040</v>
      </c>
      <c r="I56" s="101" t="s">
        <v>4041</v>
      </c>
      <c r="J56" s="102" t="s">
        <v>1385</v>
      </c>
      <c r="K56" s="101" t="s">
        <v>1404</v>
      </c>
    </row>
    <row r="57" ht="45" customHeight="1" spans="1:11">
      <c r="A57" s="101" t="s">
        <v>4042</v>
      </c>
      <c r="B57" s="101" t="s">
        <v>3934</v>
      </c>
      <c r="C57" s="101" t="s">
        <v>4020</v>
      </c>
      <c r="D57" s="101" t="s">
        <v>4043</v>
      </c>
      <c r="E57" s="102" t="s">
        <v>7</v>
      </c>
      <c r="F57" s="101" t="s">
        <v>4044</v>
      </c>
      <c r="G57" s="101" t="s">
        <v>4045</v>
      </c>
      <c r="H57" s="101" t="s">
        <v>4046</v>
      </c>
      <c r="I57" s="101" t="s">
        <v>4047</v>
      </c>
      <c r="J57" s="102" t="s">
        <v>1385</v>
      </c>
      <c r="K57" s="101" t="s">
        <v>1404</v>
      </c>
    </row>
    <row r="58" ht="45" customHeight="1" spans="1:11">
      <c r="A58" s="101" t="s">
        <v>4048</v>
      </c>
      <c r="B58" s="101" t="s">
        <v>3934</v>
      </c>
      <c r="C58" s="101" t="s">
        <v>4020</v>
      </c>
      <c r="D58" s="101" t="s">
        <v>4049</v>
      </c>
      <c r="E58" s="102" t="s">
        <v>7</v>
      </c>
      <c r="F58" s="101" t="s">
        <v>4050</v>
      </c>
      <c r="G58" s="101" t="s">
        <v>4051</v>
      </c>
      <c r="H58" s="101" t="s">
        <v>4052</v>
      </c>
      <c r="I58" s="101" t="s">
        <v>4053</v>
      </c>
      <c r="J58" s="102" t="s">
        <v>1385</v>
      </c>
      <c r="K58" s="101" t="s">
        <v>1404</v>
      </c>
    </row>
    <row r="59" ht="75" customHeight="1" spans="1:11">
      <c r="A59" s="101" t="s">
        <v>4054</v>
      </c>
      <c r="B59" s="101" t="s">
        <v>3934</v>
      </c>
      <c r="C59" s="101" t="s">
        <v>4020</v>
      </c>
      <c r="D59" s="101" t="s">
        <v>4049</v>
      </c>
      <c r="E59" s="102" t="s">
        <v>7</v>
      </c>
      <c r="F59" s="101" t="s">
        <v>4055</v>
      </c>
      <c r="G59" s="101" t="s">
        <v>4056</v>
      </c>
      <c r="H59" s="101" t="s">
        <v>4057</v>
      </c>
      <c r="I59" s="101" t="s">
        <v>4058</v>
      </c>
      <c r="J59" s="102" t="s">
        <v>1385</v>
      </c>
      <c r="K59" s="101" t="s">
        <v>1404</v>
      </c>
    </row>
    <row r="60" ht="45" customHeight="1" spans="1:11">
      <c r="A60" s="101" t="s">
        <v>4059</v>
      </c>
      <c r="B60" s="101" t="s">
        <v>3934</v>
      </c>
      <c r="C60" s="101" t="s">
        <v>4020</v>
      </c>
      <c r="D60" s="101" t="s">
        <v>4060</v>
      </c>
      <c r="E60" s="102" t="s">
        <v>7</v>
      </c>
      <c r="F60" s="101" t="s">
        <v>4061</v>
      </c>
      <c r="G60" s="101" t="s">
        <v>4062</v>
      </c>
      <c r="H60" s="101" t="s">
        <v>4063</v>
      </c>
      <c r="I60" s="101" t="s">
        <v>4064</v>
      </c>
      <c r="J60" s="102" t="s">
        <v>1385</v>
      </c>
      <c r="K60" s="101" t="s">
        <v>1404</v>
      </c>
    </row>
    <row r="61" spans="1:11">
      <c r="A61" s="98" t="s">
        <v>3937</v>
      </c>
      <c r="B61" s="99"/>
      <c r="C61" s="99"/>
      <c r="D61" s="99"/>
      <c r="E61" s="99"/>
      <c r="F61" s="99"/>
      <c r="G61" s="99"/>
      <c r="H61" s="99"/>
      <c r="I61" s="99"/>
      <c r="J61" s="99"/>
      <c r="K61" s="100"/>
    </row>
    <row r="62" ht="60" customHeight="1" spans="1:11">
      <c r="A62" s="101" t="s">
        <v>4065</v>
      </c>
      <c r="B62" s="101" t="s">
        <v>3937</v>
      </c>
      <c r="C62" s="101" t="s">
        <v>4066</v>
      </c>
      <c r="D62" s="101" t="s">
        <v>3938</v>
      </c>
      <c r="E62" s="102" t="s">
        <v>7</v>
      </c>
      <c r="F62" s="101" t="s">
        <v>4067</v>
      </c>
      <c r="G62" s="101" t="s">
        <v>4068</v>
      </c>
      <c r="H62" s="101" t="s">
        <v>4069</v>
      </c>
      <c r="I62" s="101" t="s">
        <v>4070</v>
      </c>
      <c r="J62" s="102" t="s">
        <v>1385</v>
      </c>
      <c r="K62" s="101" t="s">
        <v>4071</v>
      </c>
    </row>
    <row r="63" ht="60" customHeight="1" spans="1:11">
      <c r="A63" s="101" t="s">
        <v>4072</v>
      </c>
      <c r="B63" s="101" t="s">
        <v>3937</v>
      </c>
      <c r="C63" s="101" t="s">
        <v>4066</v>
      </c>
      <c r="D63" s="101" t="s">
        <v>3938</v>
      </c>
      <c r="E63" s="102" t="s">
        <v>7</v>
      </c>
      <c r="F63" s="101" t="s">
        <v>4073</v>
      </c>
      <c r="G63" s="101" t="s">
        <v>4068</v>
      </c>
      <c r="H63" s="101" t="s">
        <v>4074</v>
      </c>
      <c r="I63" s="101" t="s">
        <v>4075</v>
      </c>
      <c r="J63" s="102" t="s">
        <v>1385</v>
      </c>
      <c r="K63" s="101" t="s">
        <v>4071</v>
      </c>
    </row>
    <row r="64" ht="60" customHeight="1" spans="1:11">
      <c r="A64" s="101" t="s">
        <v>4076</v>
      </c>
      <c r="B64" s="101" t="s">
        <v>3937</v>
      </c>
      <c r="C64" s="101" t="s">
        <v>4066</v>
      </c>
      <c r="D64" s="101" t="s">
        <v>3938</v>
      </c>
      <c r="E64" s="102" t="s">
        <v>7</v>
      </c>
      <c r="F64" s="101" t="s">
        <v>4077</v>
      </c>
      <c r="G64" s="101" t="s">
        <v>428</v>
      </c>
      <c r="H64" s="101" t="s">
        <v>4078</v>
      </c>
      <c r="I64" s="101" t="s">
        <v>4079</v>
      </c>
      <c r="J64" s="102" t="s">
        <v>1385</v>
      </c>
      <c r="K64" s="101" t="s">
        <v>4071</v>
      </c>
    </row>
    <row r="65" ht="60" customHeight="1" spans="1:11">
      <c r="A65" s="101" t="s">
        <v>4080</v>
      </c>
      <c r="B65" s="101" t="s">
        <v>3937</v>
      </c>
      <c r="C65" s="101" t="s">
        <v>4066</v>
      </c>
      <c r="D65" s="101" t="s">
        <v>3938</v>
      </c>
      <c r="E65" s="102" t="s">
        <v>7</v>
      </c>
      <c r="F65" s="101" t="s">
        <v>4081</v>
      </c>
      <c r="G65" s="101" t="s">
        <v>4082</v>
      </c>
      <c r="H65" s="101" t="s">
        <v>4083</v>
      </c>
      <c r="I65" s="101" t="s">
        <v>4084</v>
      </c>
      <c r="J65" s="102" t="s">
        <v>1385</v>
      </c>
      <c r="K65" s="101" t="s">
        <v>4071</v>
      </c>
    </row>
    <row r="66" ht="60" customHeight="1" spans="1:11">
      <c r="A66" s="101" t="s">
        <v>4085</v>
      </c>
      <c r="B66" s="101" t="s">
        <v>3937</v>
      </c>
      <c r="C66" s="101" t="s">
        <v>4066</v>
      </c>
      <c r="D66" s="101" t="s">
        <v>3938</v>
      </c>
      <c r="E66" s="102" t="s">
        <v>7</v>
      </c>
      <c r="F66" s="101" t="s">
        <v>4086</v>
      </c>
      <c r="G66" s="101" t="s">
        <v>4087</v>
      </c>
      <c r="H66" s="101" t="s">
        <v>4088</v>
      </c>
      <c r="I66" s="101" t="s">
        <v>4089</v>
      </c>
      <c r="J66" s="102" t="s">
        <v>1385</v>
      </c>
      <c r="K66" s="101" t="s">
        <v>4071</v>
      </c>
    </row>
    <row r="67" spans="1:11">
      <c r="A67" s="98" t="s">
        <v>3934</v>
      </c>
      <c r="B67" s="99"/>
      <c r="C67" s="99"/>
      <c r="D67" s="99"/>
      <c r="E67" s="99"/>
      <c r="F67" s="99"/>
      <c r="G67" s="99"/>
      <c r="H67" s="99"/>
      <c r="I67" s="99"/>
      <c r="J67" s="99"/>
      <c r="K67" s="100"/>
    </row>
    <row r="68" ht="60" customHeight="1" spans="1:11">
      <c r="A68" s="101" t="s">
        <v>4090</v>
      </c>
      <c r="B68" s="101" t="s">
        <v>3934</v>
      </c>
      <c r="C68" s="101" t="s">
        <v>4091</v>
      </c>
      <c r="D68" s="101" t="s">
        <v>4092</v>
      </c>
      <c r="E68" s="102" t="s">
        <v>7</v>
      </c>
      <c r="F68" s="101" t="s">
        <v>4093</v>
      </c>
      <c r="G68" s="101" t="s">
        <v>4094</v>
      </c>
      <c r="H68" s="101" t="s">
        <v>4095</v>
      </c>
      <c r="I68" s="101" t="s">
        <v>4096</v>
      </c>
      <c r="J68" s="102" t="s">
        <v>1508</v>
      </c>
      <c r="K68" s="101" t="s">
        <v>1404</v>
      </c>
    </row>
    <row r="69" spans="1:11">
      <c r="A69" s="98" t="s">
        <v>3937</v>
      </c>
      <c r="B69" s="99"/>
      <c r="C69" s="99"/>
      <c r="D69" s="99"/>
      <c r="E69" s="99"/>
      <c r="F69" s="99"/>
      <c r="G69" s="99"/>
      <c r="H69" s="99"/>
      <c r="I69" s="99"/>
      <c r="J69" s="99"/>
      <c r="K69" s="100"/>
    </row>
    <row r="70" ht="60" customHeight="1" spans="1:11">
      <c r="A70" s="101" t="s">
        <v>4097</v>
      </c>
      <c r="B70" s="101" t="s">
        <v>3937</v>
      </c>
      <c r="C70" s="101" t="s">
        <v>4098</v>
      </c>
      <c r="D70" s="101" t="s">
        <v>3938</v>
      </c>
      <c r="E70" s="102" t="s">
        <v>7</v>
      </c>
      <c r="F70" s="101" t="s">
        <v>4099</v>
      </c>
      <c r="G70" s="101" t="s">
        <v>4100</v>
      </c>
      <c r="H70" s="101" t="s">
        <v>4101</v>
      </c>
      <c r="I70" s="101" t="s">
        <v>4102</v>
      </c>
      <c r="J70" s="102" t="s">
        <v>1508</v>
      </c>
      <c r="K70" s="101" t="s">
        <v>4071</v>
      </c>
    </row>
    <row r="71" ht="60" customHeight="1" spans="1:11">
      <c r="A71" s="101" t="s">
        <v>4103</v>
      </c>
      <c r="B71" s="101" t="s">
        <v>3937</v>
      </c>
      <c r="C71" s="101" t="s">
        <v>4098</v>
      </c>
      <c r="D71" s="101" t="s">
        <v>3938</v>
      </c>
      <c r="E71" s="102" t="s">
        <v>7</v>
      </c>
      <c r="F71" s="101" t="s">
        <v>4104</v>
      </c>
      <c r="G71" s="101" t="s">
        <v>4105</v>
      </c>
      <c r="H71" s="101" t="s">
        <v>4106</v>
      </c>
      <c r="I71" s="101" t="s">
        <v>4107</v>
      </c>
      <c r="J71" s="102" t="s">
        <v>1508</v>
      </c>
      <c r="K71" s="101" t="s">
        <v>4071</v>
      </c>
    </row>
    <row r="73" spans="1:11">
      <c r="A73" s="80" t="s">
        <v>1526</v>
      </c>
      <c r="B73" s="103">
        <f>COUNTIF(J42:J71,"PASS")+COUNTIF(J42:J71,"FAIL")</f>
        <v>25</v>
      </c>
    </row>
    <row r="74" spans="1:11">
      <c r="A74" s="80" t="s">
        <v>1385</v>
      </c>
      <c r="B74" s="103">
        <f>COUNTIF(J42:J71,"PASS")</f>
        <v>22</v>
      </c>
    </row>
    <row r="75" spans="1:11">
      <c r="A75" s="80" t="s">
        <v>1508</v>
      </c>
      <c r="B75" s="103">
        <f>COUNTIF(J42:J71,"FAIL")</f>
        <v>3</v>
      </c>
    </row>
    <row r="76" spans="1:11">
      <c r="A76" s="80" t="s">
        <v>1527</v>
      </c>
      <c r="B76" s="104">
        <f>IFERROR(B74/B73,0)</f>
        <v>0.88</v>
      </c>
    </row>
    <row r="78" spans="1:11">
      <c r="A78" s="105" t="s">
        <v>1528</v>
      </c>
      <c r="B78" s="16"/>
      <c r="C78" s="16"/>
      <c r="D78" s="16"/>
      <c r="E78" s="16"/>
      <c r="F78" s="16"/>
      <c r="G78" s="16"/>
      <c r="H78" s="16"/>
      <c r="I78" s="16"/>
      <c r="J78" s="16"/>
      <c r="K78" s="17"/>
    </row>
    <row r="79" ht="16.5" spans="1:11">
      <c r="A79" s="106" t="s">
        <v>1368</v>
      </c>
      <c r="B79" s="106" t="s">
        <v>1529</v>
      </c>
      <c r="C79" s="16"/>
      <c r="D79" s="16"/>
      <c r="E79" s="16"/>
      <c r="F79" s="16"/>
      <c r="G79" s="16"/>
      <c r="H79" s="17"/>
      <c r="I79" s="106" t="s">
        <v>1530</v>
      </c>
      <c r="J79" s="16"/>
      <c r="K79" s="17"/>
    </row>
    <row r="80" ht="30" customHeight="1" spans="1:11">
      <c r="A80" s="101" t="s">
        <v>4090</v>
      </c>
      <c r="B80" s="101" t="s">
        <v>4108</v>
      </c>
      <c r="C80" s="99"/>
      <c r="D80" s="99"/>
      <c r="E80" s="99"/>
      <c r="F80" s="99"/>
      <c r="G80" s="99"/>
      <c r="H80" s="100"/>
      <c r="I80" s="101" t="s">
        <v>4109</v>
      </c>
      <c r="J80" s="99"/>
      <c r="K80" s="100"/>
    </row>
    <row r="81" ht="30" customHeight="1" spans="1:11">
      <c r="A81" s="101" t="s">
        <v>4097</v>
      </c>
      <c r="B81" s="101" t="s">
        <v>4110</v>
      </c>
      <c r="C81" s="99"/>
      <c r="D81" s="99"/>
      <c r="E81" s="99"/>
      <c r="F81" s="99"/>
      <c r="G81" s="99"/>
      <c r="H81" s="100"/>
      <c r="I81" s="101" t="s">
        <v>4111</v>
      </c>
      <c r="J81" s="99"/>
      <c r="K81" s="100"/>
    </row>
    <row r="82" ht="30" customHeight="1" spans="1:11">
      <c r="A82" s="101" t="s">
        <v>4103</v>
      </c>
      <c r="B82" s="101" t="s">
        <v>4112</v>
      </c>
      <c r="C82" s="99"/>
      <c r="D82" s="99"/>
      <c r="E82" s="99"/>
      <c r="F82" s="99"/>
      <c r="G82" s="99"/>
      <c r="H82" s="100"/>
      <c r="I82" s="101" t="s">
        <v>4113</v>
      </c>
      <c r="J82" s="99"/>
      <c r="K82" s="100"/>
    </row>
  </sheetData>
  <mergeCells count="48">
    <mergeCell ref="A1:E1"/>
    <mergeCell ref="A2:E2"/>
    <mergeCell ref="A3:B3"/>
    <mergeCell ref="C3:E3"/>
    <mergeCell ref="A4:B4"/>
    <mergeCell ref="C4:E4"/>
    <mergeCell ref="A5:B5"/>
    <mergeCell ref="C5:E5"/>
    <mergeCell ref="A6:B6"/>
    <mergeCell ref="C6:E6"/>
    <mergeCell ref="A7:B7"/>
    <mergeCell ref="C7:E7"/>
    <mergeCell ref="A8:B8"/>
    <mergeCell ref="C8:E8"/>
    <mergeCell ref="A10:E10"/>
    <mergeCell ref="A11:E11"/>
    <mergeCell ref="C12:D12"/>
    <mergeCell ref="C13:D13"/>
    <mergeCell ref="C14:D14"/>
    <mergeCell ref="C15:D15"/>
    <mergeCell ref="A17:E17"/>
    <mergeCell ref="C18:E18"/>
    <mergeCell ref="C19:E19"/>
    <mergeCell ref="C20:E20"/>
    <mergeCell ref="A22:E22"/>
    <mergeCell ref="C23:E23"/>
    <mergeCell ref="C24:E24"/>
    <mergeCell ref="C25:E25"/>
    <mergeCell ref="C26:E26"/>
    <mergeCell ref="C27:E27"/>
    <mergeCell ref="C28:E28"/>
    <mergeCell ref="A30:E30"/>
    <mergeCell ref="A36:E36"/>
    <mergeCell ref="A40:K40"/>
    <mergeCell ref="A42:K42"/>
    <mergeCell ref="A52:K52"/>
    <mergeCell ref="A61:K61"/>
    <mergeCell ref="A67:K67"/>
    <mergeCell ref="A69:K69"/>
    <mergeCell ref="A78:K78"/>
    <mergeCell ref="B79:H79"/>
    <mergeCell ref="I79:K79"/>
    <mergeCell ref="B80:H80"/>
    <mergeCell ref="I80:K80"/>
    <mergeCell ref="B81:H81"/>
    <mergeCell ref="I81:K81"/>
    <mergeCell ref="B82:H82"/>
    <mergeCell ref="I82:K82"/>
  </mergeCells>
  <conditionalFormatting sqref="J42:J71">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workbookViewId="0">
      <pane xSplit="1" ySplit="12" topLeftCell="B13" activePane="bottomRight" state="frozen"/>
      <selection/>
      <selection pane="topRight"/>
      <selection pane="bottomLeft"/>
      <selection pane="bottomRight" activeCell="A1" sqref="A1:J1"/>
    </sheetView>
  </sheetViews>
  <sheetFormatPr defaultColWidth="9" defaultRowHeight="15"/>
  <cols>
    <col min="1" max="1" width="15" customWidth="1"/>
    <col min="2" max="2" width="34" customWidth="1"/>
    <col min="3" max="3" width="9" customWidth="1"/>
    <col min="4" max="4" width="34" customWidth="1"/>
    <col min="5" max="5" width="24" customWidth="1"/>
    <col min="6" max="6" width="34" customWidth="1"/>
    <col min="7" max="7" width="30" customWidth="1"/>
    <col min="8" max="8" width="38" customWidth="1"/>
    <col min="9" max="9" width="11" customWidth="1"/>
    <col min="10" max="10" width="34" customWidth="1"/>
  </cols>
  <sheetData>
    <row r="1" ht="20.25" spans="1:10">
      <c r="A1" s="61" t="s">
        <v>1539</v>
      </c>
    </row>
    <row r="3" spans="1:10">
      <c r="A3" s="62" t="s">
        <v>1008</v>
      </c>
      <c r="B3" s="63" t="s">
        <v>227</v>
      </c>
      <c r="D3" s="62" t="s">
        <v>1540</v>
      </c>
      <c r="E3" s="63" t="s">
        <v>7</v>
      </c>
    </row>
    <row r="4" ht="30" spans="1:10">
      <c r="A4" s="62" t="s">
        <v>1541</v>
      </c>
      <c r="B4" s="64" t="s">
        <v>1542</v>
      </c>
      <c r="D4" s="62" t="s">
        <v>1543</v>
      </c>
      <c r="E4" s="63" t="s">
        <v>233</v>
      </c>
    </row>
    <row r="5" spans="1:10">
      <c r="A5" s="62" t="s">
        <v>1544</v>
      </c>
      <c r="B5" s="63" t="s">
        <v>1545</v>
      </c>
      <c r="D5" s="62" t="s">
        <v>1546</v>
      </c>
      <c r="E5" s="63" t="s">
        <v>48</v>
      </c>
    </row>
    <row r="6" ht="45" spans="1:10">
      <c r="A6" s="62" t="s">
        <v>1547</v>
      </c>
      <c r="B6" s="63" t="s">
        <v>1548</v>
      </c>
      <c r="D6" s="62" t="s">
        <v>1549</v>
      </c>
      <c r="E6" s="64" t="s">
        <v>1550</v>
      </c>
    </row>
    <row r="8" ht="15.75" spans="1:10">
      <c r="A8" s="65" t="s">
        <v>1551</v>
      </c>
      <c r="B8" s="66"/>
      <c r="C8" s="66"/>
      <c r="D8" s="66"/>
      <c r="E8" s="66"/>
    </row>
    <row r="9" ht="28.5" spans="1:10">
      <c r="A9" s="67" t="s">
        <v>1552</v>
      </c>
      <c r="B9" s="67" t="s">
        <v>1553</v>
      </c>
      <c r="C9" s="67" t="s">
        <v>1554</v>
      </c>
      <c r="D9" s="67" t="s">
        <v>1555</v>
      </c>
      <c r="E9" s="67" t="s">
        <v>1556</v>
      </c>
    </row>
    <row r="10" spans="1:10">
      <c r="A10" s="68">
        <f>COUNTIF(I13:I30,"Pass")+COUNTIF(I13:I30,"Fail")</f>
        <v>13</v>
      </c>
      <c r="B10" s="68">
        <f>COUNTIF(I13:I30,"Pass")</f>
        <v>12</v>
      </c>
      <c r="C10" s="68">
        <f>COUNTIF(I13:I30,"Fail")</f>
        <v>1</v>
      </c>
      <c r="D10" s="69">
        <f>IFERROR(B10/A10,0)</f>
        <v>0.923076923076923</v>
      </c>
      <c r="E10" s="69">
        <f>IFERROR(C10/A10,0)</f>
        <v>0.0769230769230769</v>
      </c>
    </row>
    <row r="12" ht="28.5" spans="1:10">
      <c r="A12" s="70" t="s">
        <v>1368</v>
      </c>
      <c r="B12" s="70" t="s">
        <v>1557</v>
      </c>
      <c r="C12" s="70" t="s">
        <v>1558</v>
      </c>
      <c r="D12" s="70" t="s">
        <v>1559</v>
      </c>
      <c r="E12" s="70" t="s">
        <v>1560</v>
      </c>
      <c r="F12" s="70" t="s">
        <v>1561</v>
      </c>
      <c r="G12" s="70" t="s">
        <v>1562</v>
      </c>
      <c r="H12" s="70" t="s">
        <v>1563</v>
      </c>
      <c r="I12" s="70" t="s">
        <v>1564</v>
      </c>
      <c r="J12" s="70" t="s">
        <v>1565</v>
      </c>
    </row>
    <row r="13" ht="15.75" spans="1:10">
      <c r="A13" s="71" t="s">
        <v>4114</v>
      </c>
      <c r="B13" s="48"/>
      <c r="C13" s="48"/>
      <c r="D13" s="48"/>
      <c r="E13" s="48"/>
      <c r="F13" s="48"/>
      <c r="G13" s="48"/>
      <c r="H13" s="48"/>
      <c r="I13" s="48"/>
      <c r="J13" s="32"/>
    </row>
    <row r="14" ht="30" customHeight="1" spans="1:10">
      <c r="A14" s="72" t="s">
        <v>4115</v>
      </c>
      <c r="B14" s="72" t="s">
        <v>4116</v>
      </c>
      <c r="C14" s="73" t="s">
        <v>1585</v>
      </c>
      <c r="D14" s="72" t="s">
        <v>4117</v>
      </c>
      <c r="E14" s="72" t="s">
        <v>1571</v>
      </c>
      <c r="F14" s="72" t="s">
        <v>1588</v>
      </c>
      <c r="G14" s="72" t="s">
        <v>4118</v>
      </c>
      <c r="H14" s="72" t="s">
        <v>4119</v>
      </c>
      <c r="I14" s="73" t="s">
        <v>1129</v>
      </c>
      <c r="J14" s="72" t="s">
        <v>7</v>
      </c>
    </row>
    <row r="15" ht="45" customHeight="1" spans="1:10">
      <c r="A15" s="72" t="s">
        <v>4120</v>
      </c>
      <c r="B15" s="72" t="s">
        <v>4121</v>
      </c>
      <c r="C15" s="73" t="s">
        <v>1585</v>
      </c>
      <c r="D15" s="72" t="s">
        <v>4122</v>
      </c>
      <c r="E15" s="72" t="s">
        <v>1571</v>
      </c>
      <c r="F15" s="72" t="s">
        <v>1588</v>
      </c>
      <c r="G15" s="72" t="s">
        <v>4123</v>
      </c>
      <c r="H15" s="72" t="s">
        <v>4124</v>
      </c>
      <c r="I15" s="73" t="s">
        <v>1129</v>
      </c>
      <c r="J15" s="72" t="s">
        <v>7</v>
      </c>
    </row>
    <row r="16" ht="105" customHeight="1" spans="1:10">
      <c r="A16" s="72" t="s">
        <v>4125</v>
      </c>
      <c r="B16" s="72" t="s">
        <v>4126</v>
      </c>
      <c r="C16" s="73" t="s">
        <v>1585</v>
      </c>
      <c r="D16" s="72" t="s">
        <v>4127</v>
      </c>
      <c r="E16" s="72" t="s">
        <v>1571</v>
      </c>
      <c r="F16" s="72" t="s">
        <v>1588</v>
      </c>
      <c r="G16" s="72" t="s">
        <v>4128</v>
      </c>
      <c r="H16" s="72" t="s">
        <v>4129</v>
      </c>
      <c r="I16" s="73" t="s">
        <v>1129</v>
      </c>
      <c r="J16" s="72" t="s">
        <v>7</v>
      </c>
    </row>
    <row r="17" ht="60" customHeight="1" spans="1:10">
      <c r="A17" s="72" t="s">
        <v>4130</v>
      </c>
      <c r="B17" s="72" t="s">
        <v>4131</v>
      </c>
      <c r="C17" s="73" t="s">
        <v>1585</v>
      </c>
      <c r="D17" s="72" t="s">
        <v>4132</v>
      </c>
      <c r="E17" s="72" t="s">
        <v>1571</v>
      </c>
      <c r="F17" s="72" t="s">
        <v>1588</v>
      </c>
      <c r="G17" s="72" t="s">
        <v>4133</v>
      </c>
      <c r="H17" s="72" t="s">
        <v>4134</v>
      </c>
      <c r="I17" s="73" t="s">
        <v>1130</v>
      </c>
      <c r="J17" s="72" t="s">
        <v>2655</v>
      </c>
    </row>
    <row r="18" ht="15.75" spans="1:10">
      <c r="A18" s="71" t="s">
        <v>4135</v>
      </c>
      <c r="B18" s="48"/>
      <c r="C18" s="48"/>
      <c r="D18" s="48"/>
      <c r="E18" s="48"/>
      <c r="F18" s="48"/>
      <c r="G18" s="48"/>
      <c r="H18" s="48"/>
      <c r="I18" s="48"/>
      <c r="J18" s="32"/>
    </row>
    <row r="19" ht="75" customHeight="1" spans="1:10">
      <c r="A19" s="72" t="s">
        <v>4136</v>
      </c>
      <c r="B19" s="72" t="s">
        <v>4137</v>
      </c>
      <c r="C19" s="73" t="s">
        <v>1569</v>
      </c>
      <c r="D19" s="72" t="s">
        <v>4138</v>
      </c>
      <c r="E19" s="72" t="s">
        <v>1663</v>
      </c>
      <c r="F19" s="72" t="s">
        <v>4139</v>
      </c>
      <c r="G19" s="72" t="s">
        <v>4140</v>
      </c>
      <c r="H19" s="72" t="s">
        <v>4141</v>
      </c>
      <c r="I19" s="73" t="s">
        <v>1129</v>
      </c>
      <c r="J19" s="72" t="s">
        <v>7</v>
      </c>
    </row>
    <row r="20" ht="45" customHeight="1" spans="1:10">
      <c r="A20" s="72" t="s">
        <v>4142</v>
      </c>
      <c r="B20" s="72" t="s">
        <v>4137</v>
      </c>
      <c r="C20" s="73" t="s">
        <v>1569</v>
      </c>
      <c r="D20" s="72" t="s">
        <v>4143</v>
      </c>
      <c r="E20" s="72" t="s">
        <v>1663</v>
      </c>
      <c r="F20" s="72" t="s">
        <v>4144</v>
      </c>
      <c r="G20" s="72" t="s">
        <v>4145</v>
      </c>
      <c r="H20" s="72" t="s">
        <v>4146</v>
      </c>
      <c r="I20" s="73" t="s">
        <v>1129</v>
      </c>
      <c r="J20" s="72" t="s">
        <v>7</v>
      </c>
    </row>
    <row r="21" ht="45" customHeight="1" spans="1:10">
      <c r="A21" s="72" t="s">
        <v>4147</v>
      </c>
      <c r="B21" s="72" t="s">
        <v>4148</v>
      </c>
      <c r="C21" s="73" t="s">
        <v>1569</v>
      </c>
      <c r="D21" s="72" t="s">
        <v>4149</v>
      </c>
      <c r="E21" s="72" t="s">
        <v>1663</v>
      </c>
      <c r="F21" s="72" t="s">
        <v>4150</v>
      </c>
      <c r="G21" s="72" t="s">
        <v>2638</v>
      </c>
      <c r="H21" s="72" t="s">
        <v>4151</v>
      </c>
      <c r="I21" s="73" t="s">
        <v>1129</v>
      </c>
      <c r="J21" s="72" t="s">
        <v>7</v>
      </c>
    </row>
    <row r="22" ht="45" customHeight="1" spans="1:10">
      <c r="A22" s="72" t="s">
        <v>4152</v>
      </c>
      <c r="B22" s="72" t="s">
        <v>4153</v>
      </c>
      <c r="C22" s="73" t="s">
        <v>1603</v>
      </c>
      <c r="D22" s="72" t="s">
        <v>4154</v>
      </c>
      <c r="E22" s="72" t="s">
        <v>1663</v>
      </c>
      <c r="F22" s="72" t="s">
        <v>4155</v>
      </c>
      <c r="G22" s="72" t="s">
        <v>4156</v>
      </c>
      <c r="H22" s="72" t="s">
        <v>4157</v>
      </c>
      <c r="I22" s="73" t="s">
        <v>1129</v>
      </c>
      <c r="J22" s="72" t="s">
        <v>7</v>
      </c>
    </row>
    <row r="23" ht="15.75" spans="1:10">
      <c r="A23" s="71" t="s">
        <v>1671</v>
      </c>
      <c r="B23" s="48"/>
      <c r="C23" s="48"/>
      <c r="D23" s="48"/>
      <c r="E23" s="48"/>
      <c r="F23" s="48"/>
      <c r="G23" s="48"/>
      <c r="H23" s="48"/>
      <c r="I23" s="48"/>
      <c r="J23" s="32"/>
    </row>
    <row r="24" ht="60" customHeight="1" spans="1:10">
      <c r="A24" s="72" t="s">
        <v>4158</v>
      </c>
      <c r="B24" s="72" t="s">
        <v>4137</v>
      </c>
      <c r="C24" s="73" t="s">
        <v>1569</v>
      </c>
      <c r="D24" s="72" t="s">
        <v>4159</v>
      </c>
      <c r="E24" s="72" t="s">
        <v>1668</v>
      </c>
      <c r="F24" s="72" t="s">
        <v>4160</v>
      </c>
      <c r="G24" s="72" t="s">
        <v>1669</v>
      </c>
      <c r="H24" s="72" t="s">
        <v>4161</v>
      </c>
      <c r="I24" s="73" t="s">
        <v>1129</v>
      </c>
      <c r="J24" s="72" t="s">
        <v>7</v>
      </c>
    </row>
    <row r="25" ht="45" customHeight="1" spans="1:10">
      <c r="A25" s="72" t="s">
        <v>4162</v>
      </c>
      <c r="B25" s="72" t="s">
        <v>4137</v>
      </c>
      <c r="C25" s="73" t="s">
        <v>1569</v>
      </c>
      <c r="D25" s="72" t="s">
        <v>4163</v>
      </c>
      <c r="E25" s="72" t="s">
        <v>1595</v>
      </c>
      <c r="F25" s="72" t="s">
        <v>3465</v>
      </c>
      <c r="G25" s="72" t="s">
        <v>4164</v>
      </c>
      <c r="H25" s="72" t="s">
        <v>1734</v>
      </c>
      <c r="I25" s="73" t="s">
        <v>1129</v>
      </c>
      <c r="J25" s="72" t="s">
        <v>7</v>
      </c>
    </row>
    <row r="26" ht="15.75" spans="1:10">
      <c r="A26" s="71" t="s">
        <v>4165</v>
      </c>
      <c r="B26" s="48"/>
      <c r="C26" s="48"/>
      <c r="D26" s="48"/>
      <c r="E26" s="48"/>
      <c r="F26" s="48"/>
      <c r="G26" s="48"/>
      <c r="H26" s="48"/>
      <c r="I26" s="48"/>
      <c r="J26" s="32"/>
    </row>
    <row r="27" ht="105" customHeight="1" spans="1:10">
      <c r="A27" s="72" t="s">
        <v>4166</v>
      </c>
      <c r="B27" s="72" t="s">
        <v>4167</v>
      </c>
      <c r="C27" s="73" t="s">
        <v>1585</v>
      </c>
      <c r="D27" s="72" t="s">
        <v>4168</v>
      </c>
      <c r="E27" s="72" t="s">
        <v>1663</v>
      </c>
      <c r="F27" s="72" t="s">
        <v>1588</v>
      </c>
      <c r="G27" s="72" t="s">
        <v>4169</v>
      </c>
      <c r="H27" s="72" t="s">
        <v>4170</v>
      </c>
      <c r="I27" s="73" t="s">
        <v>1129</v>
      </c>
      <c r="J27" s="72" t="s">
        <v>7</v>
      </c>
    </row>
    <row r="28" ht="45" customHeight="1" spans="1:10">
      <c r="A28" s="72" t="s">
        <v>4171</v>
      </c>
      <c r="B28" s="72" t="s">
        <v>4172</v>
      </c>
      <c r="C28" s="73" t="s">
        <v>1585</v>
      </c>
      <c r="D28" s="72" t="s">
        <v>4173</v>
      </c>
      <c r="E28" s="72" t="s">
        <v>1663</v>
      </c>
      <c r="F28" s="72" t="s">
        <v>1588</v>
      </c>
      <c r="G28" s="72" t="s">
        <v>4174</v>
      </c>
      <c r="H28" s="72" t="s">
        <v>4175</v>
      </c>
      <c r="I28" s="73" t="s">
        <v>1129</v>
      </c>
      <c r="J28" s="72" t="s">
        <v>7</v>
      </c>
    </row>
    <row r="29" ht="15.75" spans="1:10">
      <c r="A29" s="71" t="s">
        <v>4176</v>
      </c>
      <c r="B29" s="48"/>
      <c r="C29" s="48"/>
      <c r="D29" s="48"/>
      <c r="E29" s="48"/>
      <c r="F29" s="48"/>
      <c r="G29" s="48"/>
      <c r="H29" s="48"/>
      <c r="I29" s="48"/>
      <c r="J29" s="32"/>
    </row>
    <row r="30" ht="45" customHeight="1" spans="1:10">
      <c r="A30" s="72" t="s">
        <v>4177</v>
      </c>
      <c r="B30" s="72" t="s">
        <v>4178</v>
      </c>
      <c r="C30" s="73" t="s">
        <v>1569</v>
      </c>
      <c r="D30" s="72" t="s">
        <v>4179</v>
      </c>
      <c r="E30" s="72" t="s">
        <v>1663</v>
      </c>
      <c r="F30" s="72" t="s">
        <v>1588</v>
      </c>
      <c r="G30" s="72" t="s">
        <v>4180</v>
      </c>
      <c r="H30" s="72" t="s">
        <v>4181</v>
      </c>
      <c r="I30" s="73" t="s">
        <v>1129</v>
      </c>
      <c r="J30" s="72" t="s">
        <v>7</v>
      </c>
    </row>
  </sheetData>
  <mergeCells count="7">
    <mergeCell ref="A1:J1"/>
    <mergeCell ref="A8:E8"/>
    <mergeCell ref="A13:J13"/>
    <mergeCell ref="A18:J18"/>
    <mergeCell ref="A23:J23"/>
    <mergeCell ref="A26:J26"/>
    <mergeCell ref="A29:J29"/>
  </mergeCells>
  <conditionalFormatting sqref="I13:I30">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4"/>
  <sheetViews>
    <sheetView workbookViewId="0">
      <selection activeCell="A1" sqref="A1:K1"/>
    </sheetView>
  </sheetViews>
  <sheetFormatPr defaultColWidth="9" defaultRowHeight="15"/>
  <cols>
    <col min="1" max="1" width="7" customWidth="1"/>
    <col min="2" max="2" width="12" customWidth="1"/>
    <col min="3" max="3" width="30" customWidth="1"/>
    <col min="4" max="4" width="20" customWidth="1"/>
    <col min="5" max="5" width="36" customWidth="1"/>
    <col min="6" max="9" width="18" customWidth="1"/>
    <col min="10" max="10" width="10" customWidth="1"/>
    <col min="11" max="11" width="26" customWidth="1"/>
  </cols>
  <sheetData>
    <row r="1" ht="20.25" spans="1:11">
      <c r="A1" s="20" t="s">
        <v>1749</v>
      </c>
    </row>
    <row r="3" ht="28.5" spans="1:11">
      <c r="A3" s="49" t="s">
        <v>1008</v>
      </c>
      <c r="B3" s="49" t="s">
        <v>227</v>
      </c>
      <c r="D3" s="49" t="s">
        <v>1540</v>
      </c>
      <c r="E3" s="49" t="s">
        <v>7</v>
      </c>
    </row>
    <row r="4" ht="42.75" spans="1:11">
      <c r="A4" s="49" t="s">
        <v>1750</v>
      </c>
      <c r="B4" s="50" t="s">
        <v>1751</v>
      </c>
      <c r="D4" s="49" t="s">
        <v>1752</v>
      </c>
      <c r="E4" s="49" t="s">
        <v>1753</v>
      </c>
    </row>
    <row r="5" ht="42.75" spans="1:11">
      <c r="A5" s="49" t="s">
        <v>1754</v>
      </c>
      <c r="B5" s="49" t="s">
        <v>1755</v>
      </c>
      <c r="D5" s="49" t="s">
        <v>1543</v>
      </c>
      <c r="E5" s="49" t="s">
        <v>233</v>
      </c>
    </row>
    <row r="7" ht="15.75" spans="1:11">
      <c r="A7" s="51" t="s">
        <v>1756</v>
      </c>
    </row>
    <row r="8" spans="1:11">
      <c r="A8" s="52" t="s">
        <v>1757</v>
      </c>
      <c r="B8" s="32"/>
      <c r="C8" s="52" t="s">
        <v>1758</v>
      </c>
      <c r="D8" s="52" t="s">
        <v>1553</v>
      </c>
      <c r="E8" s="52" t="s">
        <v>1554</v>
      </c>
      <c r="F8" s="52" t="s">
        <v>1759</v>
      </c>
      <c r="G8" s="52" t="s">
        <v>1760</v>
      </c>
      <c r="H8" s="48"/>
      <c r="I8" s="48"/>
      <c r="J8" s="48"/>
      <c r="K8" s="32"/>
    </row>
    <row r="9" ht="32" customHeight="1" spans="1:11">
      <c r="A9" s="53" t="s">
        <v>1761</v>
      </c>
      <c r="B9" s="54"/>
      <c r="C9" s="55">
        <f>COUNTIF($B$15:$B$74,"Unit Test")-COUNTIFS($B$15:$B$74,"Unit Test",$J$15:$J$74,"Pending")</f>
        <v>25</v>
      </c>
      <c r="D9" s="55">
        <f>COUNTIFS($B$15:$B$74,"Unit Test",$J$15:$J$74,"Pass")</f>
        <v>22</v>
      </c>
      <c r="E9" s="55">
        <f>COUNTIFS($B$15:$B$74,"Unit Test",$J$15:$J$74,"Fail")</f>
        <v>3</v>
      </c>
      <c r="F9" s="56">
        <f>IFERROR(D9/C9,0)</f>
        <v>0.88</v>
      </c>
      <c r="G9" s="57" t="s">
        <v>3930</v>
      </c>
      <c r="H9" s="48"/>
      <c r="I9" s="48"/>
      <c r="J9" s="48"/>
      <c r="K9" s="32"/>
    </row>
    <row r="10" ht="32" customHeight="1" spans="1:11">
      <c r="A10" s="53" t="s">
        <v>1762</v>
      </c>
      <c r="B10" s="54"/>
      <c r="C10" s="55">
        <f>COUNTIF($B$15:$B$74,"API Test")-COUNTIFS($B$15:$B$74,"API Test",$J$15:$J$74,"Pending")</f>
        <v>13</v>
      </c>
      <c r="D10" s="55">
        <f>COUNTIFS($B$15:$B$74,"API Test",$J$15:$J$74,"Pass")</f>
        <v>12</v>
      </c>
      <c r="E10" s="55">
        <f>COUNTIFS($B$15:$B$74,"API Test",$J$15:$J$74,"Fail")</f>
        <v>1</v>
      </c>
      <c r="F10" s="56">
        <f>IFERROR(D10/C10,0)</f>
        <v>0.923076923076923</v>
      </c>
      <c r="G10" s="57" t="s">
        <v>1763</v>
      </c>
      <c r="H10" s="48"/>
      <c r="I10" s="48"/>
      <c r="J10" s="48"/>
      <c r="K10" s="32"/>
    </row>
    <row r="11" ht="32" customHeight="1" spans="1:11">
      <c r="A11" s="53" t="s">
        <v>1764</v>
      </c>
      <c r="B11" s="54"/>
      <c r="C11" s="55">
        <f>COUNTIF($B$15:$B$74,"UI Test")-COUNTIFS($B$15:$B$74,"UI Test",$J$15:$J$74,"Pending")</f>
        <v>19</v>
      </c>
      <c r="D11" s="55">
        <f>COUNTIFS($B$15:$B$74,"UI Test",$J$15:$J$74,"Pass")</f>
        <v>15</v>
      </c>
      <c r="E11" s="55">
        <f>COUNTIFS($B$15:$B$74,"UI Test",$J$15:$J$74,"Fail")</f>
        <v>4</v>
      </c>
      <c r="F11" s="56">
        <f>IFERROR(D11/C11,0)</f>
        <v>0.789473684210526</v>
      </c>
      <c r="G11" s="57" t="s">
        <v>4182</v>
      </c>
      <c r="H11" s="48"/>
      <c r="I11" s="48"/>
      <c r="J11" s="48"/>
      <c r="K11" s="32"/>
    </row>
    <row r="13" ht="28.5" spans="1:11">
      <c r="A13" s="25" t="s">
        <v>211</v>
      </c>
      <c r="B13" s="25" t="s">
        <v>1757</v>
      </c>
      <c r="C13" s="25" t="s">
        <v>1766</v>
      </c>
      <c r="D13" s="25" t="s">
        <v>1767</v>
      </c>
      <c r="E13" s="25" t="s">
        <v>1559</v>
      </c>
      <c r="F13" s="25" t="s">
        <v>1768</v>
      </c>
      <c r="G13" s="48"/>
      <c r="H13" s="48"/>
      <c r="I13" s="32"/>
      <c r="J13" s="25" t="s">
        <v>1564</v>
      </c>
      <c r="K13" s="25" t="s">
        <v>1565</v>
      </c>
    </row>
    <row r="15" ht="15.75" spans="1:11">
      <c r="A15" s="58" t="s">
        <v>1769</v>
      </c>
      <c r="B15" s="48"/>
      <c r="C15" s="48"/>
      <c r="D15" s="48"/>
      <c r="E15" s="48"/>
      <c r="F15" s="48"/>
      <c r="G15" s="48"/>
      <c r="H15" s="48"/>
      <c r="I15" s="48"/>
      <c r="J15" s="48"/>
      <c r="K15" s="48"/>
    </row>
    <row r="16" ht="75" customHeight="1" spans="1:11">
      <c r="A16" s="55">
        <v>1</v>
      </c>
      <c r="B16" s="55" t="s">
        <v>1770</v>
      </c>
      <c r="C16" s="59" t="s">
        <v>4183</v>
      </c>
      <c r="D16" s="59" t="s">
        <v>3965</v>
      </c>
      <c r="E16" s="59" t="s">
        <v>3968</v>
      </c>
      <c r="F16" s="60" t="s">
        <v>4184</v>
      </c>
      <c r="G16" s="48"/>
      <c r="H16" s="48"/>
      <c r="I16" s="32"/>
      <c r="J16" s="55" t="s">
        <v>1129</v>
      </c>
      <c r="K16" s="59" t="s">
        <v>7</v>
      </c>
    </row>
    <row r="17" ht="75" customHeight="1" spans="1:11">
      <c r="A17" s="55">
        <v>2</v>
      </c>
      <c r="B17" s="55" t="s">
        <v>1770</v>
      </c>
      <c r="C17" s="59" t="s">
        <v>4183</v>
      </c>
      <c r="D17" s="59" t="s">
        <v>3972</v>
      </c>
      <c r="E17" s="59" t="s">
        <v>3974</v>
      </c>
      <c r="F17" s="60" t="s">
        <v>4185</v>
      </c>
      <c r="G17" s="48"/>
      <c r="H17" s="48"/>
      <c r="I17" s="32"/>
      <c r="J17" s="55" t="s">
        <v>1129</v>
      </c>
      <c r="K17" s="59" t="s">
        <v>7</v>
      </c>
    </row>
    <row r="18" ht="105" customHeight="1" spans="1:11">
      <c r="A18" s="55">
        <v>3</v>
      </c>
      <c r="B18" s="55" t="s">
        <v>1770</v>
      </c>
      <c r="C18" s="59" t="s">
        <v>4183</v>
      </c>
      <c r="D18" s="59" t="s">
        <v>3978</v>
      </c>
      <c r="E18" s="59" t="s">
        <v>3980</v>
      </c>
      <c r="F18" s="60" t="s">
        <v>4186</v>
      </c>
      <c r="G18" s="48"/>
      <c r="H18" s="48"/>
      <c r="I18" s="32"/>
      <c r="J18" s="55" t="s">
        <v>1129</v>
      </c>
      <c r="K18" s="59" t="s">
        <v>7</v>
      </c>
    </row>
    <row r="19" ht="90" customHeight="1" spans="1:11">
      <c r="A19" s="55">
        <v>4</v>
      </c>
      <c r="B19" s="55" t="s">
        <v>1770</v>
      </c>
      <c r="C19" s="59" t="s">
        <v>4183</v>
      </c>
      <c r="D19" s="59" t="s">
        <v>3984</v>
      </c>
      <c r="E19" s="59" t="s">
        <v>3985</v>
      </c>
      <c r="F19" s="60" t="s">
        <v>4187</v>
      </c>
      <c r="G19" s="48"/>
      <c r="H19" s="48"/>
      <c r="I19" s="32"/>
      <c r="J19" s="55" t="s">
        <v>1129</v>
      </c>
      <c r="K19" s="59" t="s">
        <v>7</v>
      </c>
    </row>
    <row r="20" ht="90" customHeight="1" spans="1:11">
      <c r="A20" s="55">
        <v>5</v>
      </c>
      <c r="B20" s="55" t="s">
        <v>1770</v>
      </c>
      <c r="C20" s="59" t="s">
        <v>4183</v>
      </c>
      <c r="D20" s="59" t="s">
        <v>3989</v>
      </c>
      <c r="E20" s="59" t="s">
        <v>3991</v>
      </c>
      <c r="F20" s="60" t="s">
        <v>4188</v>
      </c>
      <c r="G20" s="48"/>
      <c r="H20" s="48"/>
      <c r="I20" s="32"/>
      <c r="J20" s="55" t="s">
        <v>1129</v>
      </c>
      <c r="K20" s="59" t="s">
        <v>7</v>
      </c>
    </row>
    <row r="21" ht="45" customHeight="1" spans="1:11">
      <c r="A21" s="55">
        <v>6</v>
      </c>
      <c r="B21" s="55" t="s">
        <v>1770</v>
      </c>
      <c r="C21" s="59" t="s">
        <v>4183</v>
      </c>
      <c r="D21" s="59" t="s">
        <v>3995</v>
      </c>
      <c r="E21" s="59" t="s">
        <v>3997</v>
      </c>
      <c r="F21" s="60" t="s">
        <v>4189</v>
      </c>
      <c r="G21" s="48"/>
      <c r="H21" s="48"/>
      <c r="I21" s="32"/>
      <c r="J21" s="55" t="s">
        <v>1129</v>
      </c>
      <c r="K21" s="59" t="s">
        <v>7</v>
      </c>
    </row>
    <row r="22" ht="75" customHeight="1" spans="1:11">
      <c r="A22" s="55">
        <v>7</v>
      </c>
      <c r="B22" s="55" t="s">
        <v>1770</v>
      </c>
      <c r="C22" s="59" t="s">
        <v>4183</v>
      </c>
      <c r="D22" s="59" t="s">
        <v>4001</v>
      </c>
      <c r="E22" s="59" t="s">
        <v>4003</v>
      </c>
      <c r="F22" s="60" t="s">
        <v>4190</v>
      </c>
      <c r="G22" s="48"/>
      <c r="H22" s="48"/>
      <c r="I22" s="32"/>
      <c r="J22" s="55" t="s">
        <v>1129</v>
      </c>
      <c r="K22" s="59" t="s">
        <v>7</v>
      </c>
    </row>
    <row r="23" ht="75" customHeight="1" spans="1:11">
      <c r="A23" s="55">
        <v>8</v>
      </c>
      <c r="B23" s="55" t="s">
        <v>1770</v>
      </c>
      <c r="C23" s="59" t="s">
        <v>4183</v>
      </c>
      <c r="D23" s="59" t="s">
        <v>4007</v>
      </c>
      <c r="E23" s="59" t="s">
        <v>4009</v>
      </c>
      <c r="F23" s="60" t="s">
        <v>4191</v>
      </c>
      <c r="G23" s="48"/>
      <c r="H23" s="48"/>
      <c r="I23" s="32"/>
      <c r="J23" s="55" t="s">
        <v>1129</v>
      </c>
      <c r="K23" s="59" t="s">
        <v>7</v>
      </c>
    </row>
    <row r="24" ht="90" customHeight="1" spans="1:11">
      <c r="A24" s="55">
        <v>9</v>
      </c>
      <c r="B24" s="55" t="s">
        <v>1770</v>
      </c>
      <c r="C24" s="59" t="s">
        <v>4183</v>
      </c>
      <c r="D24" s="59" t="s">
        <v>4013</v>
      </c>
      <c r="E24" s="59" t="s">
        <v>4015</v>
      </c>
      <c r="F24" s="60" t="s">
        <v>4192</v>
      </c>
      <c r="G24" s="48"/>
      <c r="H24" s="48"/>
      <c r="I24" s="32"/>
      <c r="J24" s="55" t="s">
        <v>1129</v>
      </c>
      <c r="K24" s="59" t="s">
        <v>7</v>
      </c>
    </row>
    <row r="25" ht="120" customHeight="1" spans="1:11">
      <c r="A25" s="55">
        <v>10</v>
      </c>
      <c r="B25" s="55" t="s">
        <v>1770</v>
      </c>
      <c r="C25" s="59" t="s">
        <v>4193</v>
      </c>
      <c r="D25" s="59" t="s">
        <v>4019</v>
      </c>
      <c r="E25" s="59" t="s">
        <v>4022</v>
      </c>
      <c r="F25" s="60" t="s">
        <v>4194</v>
      </c>
      <c r="G25" s="48"/>
      <c r="H25" s="48"/>
      <c r="I25" s="32"/>
      <c r="J25" s="55" t="s">
        <v>1129</v>
      </c>
      <c r="K25" s="59" t="s">
        <v>7</v>
      </c>
    </row>
    <row r="26" ht="90" customHeight="1" spans="1:11">
      <c r="A26" s="55">
        <v>11</v>
      </c>
      <c r="B26" s="55" t="s">
        <v>1770</v>
      </c>
      <c r="C26" s="59" t="s">
        <v>4193</v>
      </c>
      <c r="D26" s="59" t="s">
        <v>4026</v>
      </c>
      <c r="E26" s="59" t="s">
        <v>4028</v>
      </c>
      <c r="F26" s="60" t="s">
        <v>4195</v>
      </c>
      <c r="G26" s="48"/>
      <c r="H26" s="48"/>
      <c r="I26" s="32"/>
      <c r="J26" s="55" t="s">
        <v>1129</v>
      </c>
      <c r="K26" s="59" t="s">
        <v>7</v>
      </c>
    </row>
    <row r="27" ht="30" customHeight="1" spans="1:11">
      <c r="A27" s="55">
        <v>12</v>
      </c>
      <c r="B27" s="55" t="s">
        <v>1770</v>
      </c>
      <c r="C27" s="59" t="s">
        <v>4193</v>
      </c>
      <c r="D27" s="59" t="s">
        <v>4032</v>
      </c>
      <c r="E27" s="59" t="s">
        <v>4033</v>
      </c>
      <c r="F27" s="60" t="s">
        <v>4196</v>
      </c>
      <c r="G27" s="48"/>
      <c r="H27" s="48"/>
      <c r="I27" s="32"/>
      <c r="J27" s="55" t="s">
        <v>1129</v>
      </c>
      <c r="K27" s="59" t="s">
        <v>7</v>
      </c>
    </row>
    <row r="28" ht="105" customHeight="1" spans="1:11">
      <c r="A28" s="55">
        <v>13</v>
      </c>
      <c r="B28" s="55" t="s">
        <v>1770</v>
      </c>
      <c r="C28" s="59" t="s">
        <v>4193</v>
      </c>
      <c r="D28" s="59" t="s">
        <v>4037</v>
      </c>
      <c r="E28" s="59" t="s">
        <v>4038</v>
      </c>
      <c r="F28" s="60" t="s">
        <v>4197</v>
      </c>
      <c r="G28" s="48"/>
      <c r="H28" s="48"/>
      <c r="I28" s="32"/>
      <c r="J28" s="55" t="s">
        <v>1129</v>
      </c>
      <c r="K28" s="59" t="s">
        <v>7</v>
      </c>
    </row>
    <row r="29" ht="120" customHeight="1" spans="1:11">
      <c r="A29" s="55">
        <v>14</v>
      </c>
      <c r="B29" s="55" t="s">
        <v>1770</v>
      </c>
      <c r="C29" s="59" t="s">
        <v>4193</v>
      </c>
      <c r="D29" s="59" t="s">
        <v>4042</v>
      </c>
      <c r="E29" s="59" t="s">
        <v>4044</v>
      </c>
      <c r="F29" s="60" t="s">
        <v>4198</v>
      </c>
      <c r="G29" s="48"/>
      <c r="H29" s="48"/>
      <c r="I29" s="32"/>
      <c r="J29" s="55" t="s">
        <v>1129</v>
      </c>
      <c r="K29" s="59" t="s">
        <v>7</v>
      </c>
    </row>
    <row r="30" ht="60" customHeight="1" spans="1:11">
      <c r="A30" s="55">
        <v>15</v>
      </c>
      <c r="B30" s="55" t="s">
        <v>1770</v>
      </c>
      <c r="C30" s="59" t="s">
        <v>4193</v>
      </c>
      <c r="D30" s="59" t="s">
        <v>4048</v>
      </c>
      <c r="E30" s="59" t="s">
        <v>4050</v>
      </c>
      <c r="F30" s="60" t="s">
        <v>4199</v>
      </c>
      <c r="G30" s="48"/>
      <c r="H30" s="48"/>
      <c r="I30" s="32"/>
      <c r="J30" s="55" t="s">
        <v>1129</v>
      </c>
      <c r="K30" s="59" t="s">
        <v>7</v>
      </c>
    </row>
    <row r="31" ht="90" customHeight="1" spans="1:11">
      <c r="A31" s="55">
        <v>16</v>
      </c>
      <c r="B31" s="55" t="s">
        <v>1770</v>
      </c>
      <c r="C31" s="59" t="s">
        <v>4193</v>
      </c>
      <c r="D31" s="59" t="s">
        <v>4054</v>
      </c>
      <c r="E31" s="59" t="s">
        <v>4055</v>
      </c>
      <c r="F31" s="60" t="s">
        <v>4200</v>
      </c>
      <c r="G31" s="48"/>
      <c r="H31" s="48"/>
      <c r="I31" s="32"/>
      <c r="J31" s="55" t="s">
        <v>1129</v>
      </c>
      <c r="K31" s="59" t="s">
        <v>7</v>
      </c>
    </row>
    <row r="32" ht="75" customHeight="1" spans="1:11">
      <c r="A32" s="55">
        <v>17</v>
      </c>
      <c r="B32" s="55" t="s">
        <v>1770</v>
      </c>
      <c r="C32" s="59" t="s">
        <v>4193</v>
      </c>
      <c r="D32" s="59" t="s">
        <v>4059</v>
      </c>
      <c r="E32" s="59" t="s">
        <v>4061</v>
      </c>
      <c r="F32" s="60" t="s">
        <v>4201</v>
      </c>
      <c r="G32" s="48"/>
      <c r="H32" s="48"/>
      <c r="I32" s="32"/>
      <c r="J32" s="55" t="s">
        <v>1129</v>
      </c>
      <c r="K32" s="59" t="s">
        <v>7</v>
      </c>
    </row>
    <row r="33" ht="75" customHeight="1" spans="1:11">
      <c r="A33" s="55">
        <v>18</v>
      </c>
      <c r="B33" s="55" t="s">
        <v>1770</v>
      </c>
      <c r="C33" s="59" t="s">
        <v>4202</v>
      </c>
      <c r="D33" s="59" t="s">
        <v>4065</v>
      </c>
      <c r="E33" s="59" t="s">
        <v>4067</v>
      </c>
      <c r="F33" s="60" t="s">
        <v>4203</v>
      </c>
      <c r="G33" s="48"/>
      <c r="H33" s="48"/>
      <c r="I33" s="32"/>
      <c r="J33" s="55" t="s">
        <v>1129</v>
      </c>
      <c r="K33" s="59" t="s">
        <v>7</v>
      </c>
    </row>
    <row r="34" ht="75" customHeight="1" spans="1:11">
      <c r="A34" s="55">
        <v>19</v>
      </c>
      <c r="B34" s="55" t="s">
        <v>1770</v>
      </c>
      <c r="C34" s="59" t="s">
        <v>4202</v>
      </c>
      <c r="D34" s="59" t="s">
        <v>4072</v>
      </c>
      <c r="E34" s="59" t="s">
        <v>4073</v>
      </c>
      <c r="F34" s="60" t="s">
        <v>4204</v>
      </c>
      <c r="G34" s="48"/>
      <c r="H34" s="48"/>
      <c r="I34" s="32"/>
      <c r="J34" s="55" t="s">
        <v>1129</v>
      </c>
      <c r="K34" s="59" t="s">
        <v>7</v>
      </c>
    </row>
    <row r="35" ht="30" customHeight="1" spans="1:11">
      <c r="A35" s="55">
        <v>20</v>
      </c>
      <c r="B35" s="55" t="s">
        <v>1770</v>
      </c>
      <c r="C35" s="59" t="s">
        <v>4202</v>
      </c>
      <c r="D35" s="59" t="s">
        <v>4076</v>
      </c>
      <c r="E35" s="59" t="s">
        <v>4077</v>
      </c>
      <c r="F35" s="60" t="s">
        <v>4205</v>
      </c>
      <c r="G35" s="48"/>
      <c r="H35" s="48"/>
      <c r="I35" s="32"/>
      <c r="J35" s="55" t="s">
        <v>1129</v>
      </c>
      <c r="K35" s="59" t="s">
        <v>7</v>
      </c>
    </row>
    <row r="36" ht="75" customHeight="1" spans="1:11">
      <c r="A36" s="55">
        <v>21</v>
      </c>
      <c r="B36" s="55" t="s">
        <v>1770</v>
      </c>
      <c r="C36" s="59" t="s">
        <v>4202</v>
      </c>
      <c r="D36" s="59" t="s">
        <v>4080</v>
      </c>
      <c r="E36" s="59" t="s">
        <v>4081</v>
      </c>
      <c r="F36" s="60" t="s">
        <v>4206</v>
      </c>
      <c r="G36" s="48"/>
      <c r="H36" s="48"/>
      <c r="I36" s="32"/>
      <c r="J36" s="55" t="s">
        <v>1129</v>
      </c>
      <c r="K36" s="59" t="s">
        <v>7</v>
      </c>
    </row>
    <row r="37" ht="60" customHeight="1" spans="1:11">
      <c r="A37" s="55">
        <v>22</v>
      </c>
      <c r="B37" s="55" t="s">
        <v>1770</v>
      </c>
      <c r="C37" s="59" t="s">
        <v>4202</v>
      </c>
      <c r="D37" s="59" t="s">
        <v>4085</v>
      </c>
      <c r="E37" s="59" t="s">
        <v>4086</v>
      </c>
      <c r="F37" s="60" t="s">
        <v>4207</v>
      </c>
      <c r="G37" s="48"/>
      <c r="H37" s="48"/>
      <c r="I37" s="32"/>
      <c r="J37" s="55" t="s">
        <v>1129</v>
      </c>
      <c r="K37" s="59" t="s">
        <v>7</v>
      </c>
    </row>
    <row r="38" ht="30" customHeight="1" spans="1:11">
      <c r="A38" s="55">
        <v>23</v>
      </c>
      <c r="B38" s="55" t="s">
        <v>1770</v>
      </c>
      <c r="C38" s="59" t="s">
        <v>4208</v>
      </c>
      <c r="D38" s="59" t="s">
        <v>4090</v>
      </c>
      <c r="E38" s="59" t="s">
        <v>4093</v>
      </c>
      <c r="F38" s="60" t="s">
        <v>4209</v>
      </c>
      <c r="G38" s="48"/>
      <c r="H38" s="48"/>
      <c r="I38" s="32"/>
      <c r="J38" s="55" t="s">
        <v>1130</v>
      </c>
      <c r="K38" s="59" t="s">
        <v>7</v>
      </c>
    </row>
    <row r="39" ht="30" customHeight="1" spans="1:11">
      <c r="A39" s="55">
        <v>24</v>
      </c>
      <c r="B39" s="55" t="s">
        <v>1770</v>
      </c>
      <c r="C39" s="59" t="s">
        <v>4210</v>
      </c>
      <c r="D39" s="59" t="s">
        <v>4097</v>
      </c>
      <c r="E39" s="59" t="s">
        <v>4099</v>
      </c>
      <c r="F39" s="60" t="s">
        <v>4211</v>
      </c>
      <c r="G39" s="48"/>
      <c r="H39" s="48"/>
      <c r="I39" s="32"/>
      <c r="J39" s="55" t="s">
        <v>1130</v>
      </c>
      <c r="K39" s="59" t="s">
        <v>7</v>
      </c>
    </row>
    <row r="40" ht="30" customHeight="1" spans="1:11">
      <c r="A40" s="55">
        <v>25</v>
      </c>
      <c r="B40" s="55" t="s">
        <v>1770</v>
      </c>
      <c r="C40" s="59" t="s">
        <v>4210</v>
      </c>
      <c r="D40" s="59" t="s">
        <v>4103</v>
      </c>
      <c r="E40" s="59" t="s">
        <v>4104</v>
      </c>
      <c r="F40" s="60" t="s">
        <v>4212</v>
      </c>
      <c r="G40" s="48"/>
      <c r="H40" s="48"/>
      <c r="I40" s="32"/>
      <c r="J40" s="55" t="s">
        <v>1130</v>
      </c>
      <c r="K40" s="59" t="s">
        <v>7</v>
      </c>
    </row>
    <row r="41" ht="15.75" spans="1:11">
      <c r="A41" s="58" t="s">
        <v>1803</v>
      </c>
      <c r="B41" s="48"/>
      <c r="C41" s="48"/>
      <c r="D41" s="48"/>
      <c r="E41" s="48"/>
      <c r="F41" s="48"/>
      <c r="G41" s="48"/>
      <c r="H41" s="48"/>
      <c r="I41" s="48"/>
      <c r="J41" s="48"/>
      <c r="K41" s="48"/>
    </row>
    <row r="42" ht="60" customHeight="1" spans="1:11">
      <c r="A42" s="55">
        <v>26</v>
      </c>
      <c r="B42" s="55" t="s">
        <v>1804</v>
      </c>
      <c r="C42" s="59" t="s">
        <v>1548</v>
      </c>
      <c r="D42" s="59" t="s">
        <v>4115</v>
      </c>
      <c r="E42" s="59" t="s">
        <v>4117</v>
      </c>
      <c r="F42" s="60" t="s">
        <v>4213</v>
      </c>
      <c r="G42" s="48"/>
      <c r="H42" s="48"/>
      <c r="I42" s="32"/>
      <c r="J42" s="55" t="s">
        <v>1129</v>
      </c>
      <c r="K42" s="59" t="s">
        <v>7</v>
      </c>
    </row>
    <row r="43" ht="30" customHeight="1" spans="1:11">
      <c r="A43" s="55">
        <v>27</v>
      </c>
      <c r="B43" s="55" t="s">
        <v>1804</v>
      </c>
      <c r="C43" s="59" t="s">
        <v>1548</v>
      </c>
      <c r="D43" s="59" t="s">
        <v>4120</v>
      </c>
      <c r="E43" s="59" t="s">
        <v>4122</v>
      </c>
      <c r="F43" s="60" t="s">
        <v>1807</v>
      </c>
      <c r="G43" s="48"/>
      <c r="H43" s="48"/>
      <c r="I43" s="32"/>
      <c r="J43" s="55" t="s">
        <v>1129</v>
      </c>
      <c r="K43" s="59" t="s">
        <v>7</v>
      </c>
    </row>
    <row r="44" ht="45" customHeight="1" spans="1:11">
      <c r="A44" s="55">
        <v>28</v>
      </c>
      <c r="B44" s="55" t="s">
        <v>1804</v>
      </c>
      <c r="C44" s="59" t="s">
        <v>1548</v>
      </c>
      <c r="D44" s="59" t="s">
        <v>4125</v>
      </c>
      <c r="E44" s="59" t="s">
        <v>4127</v>
      </c>
      <c r="F44" s="60" t="s">
        <v>4214</v>
      </c>
      <c r="G44" s="48"/>
      <c r="H44" s="48"/>
      <c r="I44" s="32"/>
      <c r="J44" s="55" t="s">
        <v>1129</v>
      </c>
      <c r="K44" s="59" t="s">
        <v>7</v>
      </c>
    </row>
    <row r="45" ht="30" customHeight="1" spans="1:11">
      <c r="A45" s="55">
        <v>29</v>
      </c>
      <c r="B45" s="55" t="s">
        <v>1804</v>
      </c>
      <c r="C45" s="59" t="s">
        <v>1548</v>
      </c>
      <c r="D45" s="59" t="s">
        <v>4130</v>
      </c>
      <c r="E45" s="59" t="s">
        <v>4132</v>
      </c>
      <c r="F45" s="60" t="s">
        <v>1807</v>
      </c>
      <c r="G45" s="48"/>
      <c r="H45" s="48"/>
      <c r="I45" s="32"/>
      <c r="J45" s="55" t="s">
        <v>1130</v>
      </c>
      <c r="K45" s="59" t="s">
        <v>7</v>
      </c>
    </row>
    <row r="46" ht="60" customHeight="1" spans="1:11">
      <c r="A46" s="55">
        <v>30</v>
      </c>
      <c r="B46" s="55" t="s">
        <v>1804</v>
      </c>
      <c r="C46" s="59" t="s">
        <v>1548</v>
      </c>
      <c r="D46" s="59" t="s">
        <v>4136</v>
      </c>
      <c r="E46" s="59" t="s">
        <v>4138</v>
      </c>
      <c r="F46" s="60" t="s">
        <v>4215</v>
      </c>
      <c r="G46" s="48"/>
      <c r="H46" s="48"/>
      <c r="I46" s="32"/>
      <c r="J46" s="55" t="s">
        <v>1129</v>
      </c>
      <c r="K46" s="59" t="s">
        <v>7</v>
      </c>
    </row>
    <row r="47" ht="30" customHeight="1" spans="1:11">
      <c r="A47" s="55">
        <v>31</v>
      </c>
      <c r="B47" s="55" t="s">
        <v>1804</v>
      </c>
      <c r="C47" s="59" t="s">
        <v>1548</v>
      </c>
      <c r="D47" s="59" t="s">
        <v>4142</v>
      </c>
      <c r="E47" s="59" t="s">
        <v>4143</v>
      </c>
      <c r="F47" s="60" t="s">
        <v>1807</v>
      </c>
      <c r="G47" s="48"/>
      <c r="H47" s="48"/>
      <c r="I47" s="32"/>
      <c r="J47" s="55" t="s">
        <v>1129</v>
      </c>
      <c r="K47" s="59" t="s">
        <v>7</v>
      </c>
    </row>
    <row r="48" ht="30" customHeight="1" spans="1:11">
      <c r="A48" s="55">
        <v>32</v>
      </c>
      <c r="B48" s="55" t="s">
        <v>1804</v>
      </c>
      <c r="C48" s="59" t="s">
        <v>1548</v>
      </c>
      <c r="D48" s="59" t="s">
        <v>4147</v>
      </c>
      <c r="E48" s="59" t="s">
        <v>4149</v>
      </c>
      <c r="F48" s="60" t="s">
        <v>1807</v>
      </c>
      <c r="G48" s="48"/>
      <c r="H48" s="48"/>
      <c r="I48" s="32"/>
      <c r="J48" s="55" t="s">
        <v>1129</v>
      </c>
      <c r="K48" s="59" t="s">
        <v>7</v>
      </c>
    </row>
    <row r="49" ht="30" customHeight="1" spans="1:11">
      <c r="A49" s="55">
        <v>33</v>
      </c>
      <c r="B49" s="55" t="s">
        <v>1804</v>
      </c>
      <c r="C49" s="59" t="s">
        <v>1548</v>
      </c>
      <c r="D49" s="59" t="s">
        <v>4152</v>
      </c>
      <c r="E49" s="59" t="s">
        <v>4154</v>
      </c>
      <c r="F49" s="60" t="s">
        <v>1807</v>
      </c>
      <c r="G49" s="48"/>
      <c r="H49" s="48"/>
      <c r="I49" s="32"/>
      <c r="J49" s="55" t="s">
        <v>1129</v>
      </c>
      <c r="K49" s="59" t="s">
        <v>7</v>
      </c>
    </row>
    <row r="50" ht="30" customHeight="1" spans="1:11">
      <c r="A50" s="55">
        <v>34</v>
      </c>
      <c r="B50" s="55" t="s">
        <v>1804</v>
      </c>
      <c r="C50" s="59" t="s">
        <v>1548</v>
      </c>
      <c r="D50" s="59" t="s">
        <v>4158</v>
      </c>
      <c r="E50" s="59" t="s">
        <v>4159</v>
      </c>
      <c r="F50" s="60" t="s">
        <v>1807</v>
      </c>
      <c r="G50" s="48"/>
      <c r="H50" s="48"/>
      <c r="I50" s="32"/>
      <c r="J50" s="55" t="s">
        <v>1129</v>
      </c>
      <c r="K50" s="59" t="s">
        <v>7</v>
      </c>
    </row>
    <row r="51" ht="30" customHeight="1" spans="1:11">
      <c r="A51" s="55">
        <v>35</v>
      </c>
      <c r="B51" s="55" t="s">
        <v>1804</v>
      </c>
      <c r="C51" s="59" t="s">
        <v>1548</v>
      </c>
      <c r="D51" s="59" t="s">
        <v>4162</v>
      </c>
      <c r="E51" s="59" t="s">
        <v>4163</v>
      </c>
      <c r="F51" s="60" t="s">
        <v>1807</v>
      </c>
      <c r="G51" s="48"/>
      <c r="H51" s="48"/>
      <c r="I51" s="32"/>
      <c r="J51" s="55" t="s">
        <v>1129</v>
      </c>
      <c r="K51" s="59" t="s">
        <v>7</v>
      </c>
    </row>
    <row r="52" ht="60" customHeight="1" spans="1:11">
      <c r="A52" s="55">
        <v>36</v>
      </c>
      <c r="B52" s="55" t="s">
        <v>1804</v>
      </c>
      <c r="C52" s="59" t="s">
        <v>1548</v>
      </c>
      <c r="D52" s="59" t="s">
        <v>4166</v>
      </c>
      <c r="E52" s="59" t="s">
        <v>4168</v>
      </c>
      <c r="F52" s="60" t="s">
        <v>4216</v>
      </c>
      <c r="G52" s="48"/>
      <c r="H52" s="48"/>
      <c r="I52" s="32"/>
      <c r="J52" s="55" t="s">
        <v>1129</v>
      </c>
      <c r="K52" s="59" t="s">
        <v>7</v>
      </c>
    </row>
    <row r="53" ht="60" customHeight="1" spans="1:11">
      <c r="A53" s="55">
        <v>37</v>
      </c>
      <c r="B53" s="55" t="s">
        <v>1804</v>
      </c>
      <c r="C53" s="59" t="s">
        <v>1548</v>
      </c>
      <c r="D53" s="59" t="s">
        <v>4171</v>
      </c>
      <c r="E53" s="59" t="s">
        <v>4173</v>
      </c>
      <c r="F53" s="60" t="s">
        <v>4217</v>
      </c>
      <c r="G53" s="48"/>
      <c r="H53" s="48"/>
      <c r="I53" s="32"/>
      <c r="J53" s="55" t="s">
        <v>1129</v>
      </c>
      <c r="K53" s="59" t="s">
        <v>7</v>
      </c>
    </row>
    <row r="54" ht="30" customHeight="1" spans="1:11">
      <c r="A54" s="55">
        <v>38</v>
      </c>
      <c r="B54" s="55" t="s">
        <v>1804</v>
      </c>
      <c r="C54" s="59" t="s">
        <v>1548</v>
      </c>
      <c r="D54" s="59" t="s">
        <v>4177</v>
      </c>
      <c r="E54" s="59" t="s">
        <v>4179</v>
      </c>
      <c r="F54" s="60" t="s">
        <v>1807</v>
      </c>
      <c r="G54" s="48"/>
      <c r="H54" s="48"/>
      <c r="I54" s="32"/>
      <c r="J54" s="55" t="s">
        <v>1129</v>
      </c>
      <c r="K54" s="59" t="s">
        <v>7</v>
      </c>
    </row>
    <row r="55" ht="15.75" spans="1:11">
      <c r="A55" s="58" t="s">
        <v>1818</v>
      </c>
      <c r="B55" s="48"/>
      <c r="C55" s="48"/>
      <c r="D55" s="48"/>
      <c r="E55" s="48"/>
      <c r="F55" s="48"/>
      <c r="G55" s="48"/>
      <c r="H55" s="48"/>
      <c r="I55" s="48"/>
      <c r="J55" s="48"/>
      <c r="K55" s="48"/>
    </row>
    <row r="56" ht="30" customHeight="1" spans="1:11">
      <c r="A56" s="55">
        <v>39</v>
      </c>
      <c r="B56" s="55" t="s">
        <v>1819</v>
      </c>
      <c r="C56" s="59" t="s">
        <v>4218</v>
      </c>
      <c r="D56" s="59" t="s">
        <v>3823</v>
      </c>
      <c r="E56" s="59" t="s">
        <v>3824</v>
      </c>
      <c r="F56" s="60" t="s">
        <v>3826</v>
      </c>
      <c r="G56" s="48"/>
      <c r="H56" s="48"/>
      <c r="I56" s="32"/>
      <c r="J56" s="55" t="s">
        <v>1129</v>
      </c>
      <c r="K56" s="59" t="s">
        <v>7</v>
      </c>
    </row>
    <row r="57" ht="30" customHeight="1" spans="1:11">
      <c r="A57" s="55">
        <v>40</v>
      </c>
      <c r="B57" s="55" t="s">
        <v>1819</v>
      </c>
      <c r="C57" s="59" t="s">
        <v>4218</v>
      </c>
      <c r="D57" s="59" t="s">
        <v>3828</v>
      </c>
      <c r="E57" s="59" t="s">
        <v>3829</v>
      </c>
      <c r="F57" s="60" t="s">
        <v>3831</v>
      </c>
      <c r="G57" s="48"/>
      <c r="H57" s="48"/>
      <c r="I57" s="32"/>
      <c r="J57" s="55" t="s">
        <v>1130</v>
      </c>
      <c r="K57" s="59" t="s">
        <v>7</v>
      </c>
    </row>
    <row r="58" ht="30" customHeight="1" spans="1:11">
      <c r="A58" s="55">
        <v>41</v>
      </c>
      <c r="B58" s="55" t="s">
        <v>1819</v>
      </c>
      <c r="C58" s="59" t="s">
        <v>4218</v>
      </c>
      <c r="D58" s="59" t="s">
        <v>3834</v>
      </c>
      <c r="E58" s="59" t="s">
        <v>3835</v>
      </c>
      <c r="F58" s="60" t="s">
        <v>3837</v>
      </c>
      <c r="G58" s="48"/>
      <c r="H58" s="48"/>
      <c r="I58" s="32"/>
      <c r="J58" s="55" t="s">
        <v>1129</v>
      </c>
      <c r="K58" s="59" t="s">
        <v>7</v>
      </c>
    </row>
    <row r="59" ht="30" customHeight="1" spans="1:11">
      <c r="A59" s="55">
        <v>42</v>
      </c>
      <c r="B59" s="55" t="s">
        <v>1819</v>
      </c>
      <c r="C59" s="59" t="s">
        <v>4218</v>
      </c>
      <c r="D59" s="59" t="s">
        <v>3840</v>
      </c>
      <c r="E59" s="59" t="s">
        <v>3841</v>
      </c>
      <c r="F59" s="60" t="s">
        <v>3843</v>
      </c>
      <c r="G59" s="48"/>
      <c r="H59" s="48"/>
      <c r="I59" s="32"/>
      <c r="J59" s="55" t="s">
        <v>1130</v>
      </c>
      <c r="K59" s="59" t="s">
        <v>7</v>
      </c>
    </row>
    <row r="60" ht="30" customHeight="1" spans="1:11">
      <c r="A60" s="55">
        <v>43</v>
      </c>
      <c r="B60" s="55" t="s">
        <v>1819</v>
      </c>
      <c r="C60" s="59" t="s">
        <v>4218</v>
      </c>
      <c r="D60" s="59" t="s">
        <v>3846</v>
      </c>
      <c r="E60" s="59" t="s">
        <v>3847</v>
      </c>
      <c r="F60" s="60" t="s">
        <v>3849</v>
      </c>
      <c r="G60" s="48"/>
      <c r="H60" s="48"/>
      <c r="I60" s="32"/>
      <c r="J60" s="55" t="s">
        <v>1129</v>
      </c>
      <c r="K60" s="59" t="s">
        <v>7</v>
      </c>
    </row>
    <row r="61" ht="30" customHeight="1" spans="1:11">
      <c r="A61" s="55">
        <v>44</v>
      </c>
      <c r="B61" s="55" t="s">
        <v>1819</v>
      </c>
      <c r="C61" s="59" t="s">
        <v>4218</v>
      </c>
      <c r="D61" s="59" t="s">
        <v>3852</v>
      </c>
      <c r="E61" s="59" t="s">
        <v>3853</v>
      </c>
      <c r="F61" s="60" t="s">
        <v>3855</v>
      </c>
      <c r="G61" s="48"/>
      <c r="H61" s="48"/>
      <c r="I61" s="32"/>
      <c r="J61" s="55" t="s">
        <v>1129</v>
      </c>
      <c r="K61" s="59" t="s">
        <v>7</v>
      </c>
    </row>
    <row r="62" ht="45" customHeight="1" spans="1:11">
      <c r="A62" s="55">
        <v>45</v>
      </c>
      <c r="B62" s="55" t="s">
        <v>1819</v>
      </c>
      <c r="C62" s="59" t="s">
        <v>4218</v>
      </c>
      <c r="D62" s="59" t="s">
        <v>3859</v>
      </c>
      <c r="E62" s="59" t="s">
        <v>3860</v>
      </c>
      <c r="F62" s="60" t="s">
        <v>3862</v>
      </c>
      <c r="G62" s="48"/>
      <c r="H62" s="48"/>
      <c r="I62" s="32"/>
      <c r="J62" s="55" t="s">
        <v>1129</v>
      </c>
      <c r="K62" s="59" t="s">
        <v>7</v>
      </c>
    </row>
    <row r="63" ht="45" customHeight="1" spans="1:11">
      <c r="A63" s="55">
        <v>46</v>
      </c>
      <c r="B63" s="55" t="s">
        <v>1819</v>
      </c>
      <c r="C63" s="59" t="s">
        <v>4218</v>
      </c>
      <c r="D63" s="59" t="s">
        <v>3864</v>
      </c>
      <c r="E63" s="59" t="s">
        <v>3865</v>
      </c>
      <c r="F63" s="60" t="s">
        <v>3867</v>
      </c>
      <c r="G63" s="48"/>
      <c r="H63" s="48"/>
      <c r="I63" s="32"/>
      <c r="J63" s="55" t="s">
        <v>1129</v>
      </c>
      <c r="K63" s="59" t="s">
        <v>7</v>
      </c>
    </row>
    <row r="64" ht="45" customHeight="1" spans="1:11">
      <c r="A64" s="55">
        <v>47</v>
      </c>
      <c r="B64" s="55" t="s">
        <v>1819</v>
      </c>
      <c r="C64" s="59" t="s">
        <v>4218</v>
      </c>
      <c r="D64" s="59" t="s">
        <v>3869</v>
      </c>
      <c r="E64" s="59" t="s">
        <v>3870</v>
      </c>
      <c r="F64" s="60" t="s">
        <v>3872</v>
      </c>
      <c r="G64" s="48"/>
      <c r="H64" s="48"/>
      <c r="I64" s="32"/>
      <c r="J64" s="55" t="s">
        <v>1129</v>
      </c>
      <c r="K64" s="59" t="s">
        <v>7</v>
      </c>
    </row>
    <row r="65" ht="45" customHeight="1" spans="1:11">
      <c r="A65" s="55">
        <v>48</v>
      </c>
      <c r="B65" s="55" t="s">
        <v>1819</v>
      </c>
      <c r="C65" s="59" t="s">
        <v>4218</v>
      </c>
      <c r="D65" s="59" t="s">
        <v>3873</v>
      </c>
      <c r="E65" s="59" t="s">
        <v>3874</v>
      </c>
      <c r="F65" s="60" t="s">
        <v>3876</v>
      </c>
      <c r="G65" s="48"/>
      <c r="H65" s="48"/>
      <c r="I65" s="32"/>
      <c r="J65" s="55" t="s">
        <v>1130</v>
      </c>
      <c r="K65" s="59" t="s">
        <v>7</v>
      </c>
    </row>
    <row r="66" ht="45" customHeight="1" spans="1:11">
      <c r="A66" s="55">
        <v>49</v>
      </c>
      <c r="B66" s="55" t="s">
        <v>1819</v>
      </c>
      <c r="C66" s="59" t="s">
        <v>4218</v>
      </c>
      <c r="D66" s="59" t="s">
        <v>3879</v>
      </c>
      <c r="E66" s="59" t="s">
        <v>3880</v>
      </c>
      <c r="F66" s="60" t="s">
        <v>3882</v>
      </c>
      <c r="G66" s="48"/>
      <c r="H66" s="48"/>
      <c r="I66" s="32"/>
      <c r="J66" s="55" t="s">
        <v>1129</v>
      </c>
      <c r="K66" s="59" t="s">
        <v>7</v>
      </c>
    </row>
    <row r="67" ht="45" customHeight="1" spans="1:11">
      <c r="A67" s="55">
        <v>50</v>
      </c>
      <c r="B67" s="55" t="s">
        <v>1819</v>
      </c>
      <c r="C67" s="59" t="s">
        <v>4218</v>
      </c>
      <c r="D67" s="59" t="s">
        <v>3884</v>
      </c>
      <c r="E67" s="59" t="s">
        <v>3885</v>
      </c>
      <c r="F67" s="60" t="s">
        <v>3887</v>
      </c>
      <c r="G67" s="48"/>
      <c r="H67" s="48"/>
      <c r="I67" s="32"/>
      <c r="J67" s="55" t="s">
        <v>1129</v>
      </c>
      <c r="K67" s="59" t="s">
        <v>7</v>
      </c>
    </row>
    <row r="68" ht="45" customHeight="1" spans="1:11">
      <c r="A68" s="55">
        <v>51</v>
      </c>
      <c r="B68" s="55" t="s">
        <v>1819</v>
      </c>
      <c r="C68" s="59" t="s">
        <v>4218</v>
      </c>
      <c r="D68" s="59" t="s">
        <v>3890</v>
      </c>
      <c r="E68" s="59" t="s">
        <v>3891</v>
      </c>
      <c r="F68" s="60" t="s">
        <v>3893</v>
      </c>
      <c r="G68" s="48"/>
      <c r="H68" s="48"/>
      <c r="I68" s="32"/>
      <c r="J68" s="55" t="s">
        <v>1130</v>
      </c>
      <c r="K68" s="59" t="s">
        <v>7</v>
      </c>
    </row>
    <row r="69" ht="30" customHeight="1" spans="1:11">
      <c r="A69" s="55">
        <v>52</v>
      </c>
      <c r="B69" s="55" t="s">
        <v>1819</v>
      </c>
      <c r="C69" s="59" t="s">
        <v>4218</v>
      </c>
      <c r="D69" s="59" t="s">
        <v>3897</v>
      </c>
      <c r="E69" s="59" t="s">
        <v>3898</v>
      </c>
      <c r="F69" s="60" t="s">
        <v>3900</v>
      </c>
      <c r="G69" s="48"/>
      <c r="H69" s="48"/>
      <c r="I69" s="32"/>
      <c r="J69" s="55" t="s">
        <v>1129</v>
      </c>
      <c r="K69" s="59" t="s">
        <v>7</v>
      </c>
    </row>
    <row r="70" ht="30" customHeight="1" spans="1:11">
      <c r="A70" s="55">
        <v>53</v>
      </c>
      <c r="B70" s="55" t="s">
        <v>1819</v>
      </c>
      <c r="C70" s="59" t="s">
        <v>4218</v>
      </c>
      <c r="D70" s="59" t="s">
        <v>3902</v>
      </c>
      <c r="E70" s="59" t="s">
        <v>3903</v>
      </c>
      <c r="F70" s="60" t="s">
        <v>3905</v>
      </c>
      <c r="G70" s="48"/>
      <c r="H70" s="48"/>
      <c r="I70" s="32"/>
      <c r="J70" s="55" t="s">
        <v>1129</v>
      </c>
      <c r="K70" s="59" t="s">
        <v>7</v>
      </c>
    </row>
    <row r="71" ht="30" customHeight="1" spans="1:11">
      <c r="A71" s="55">
        <v>54</v>
      </c>
      <c r="B71" s="55" t="s">
        <v>1819</v>
      </c>
      <c r="C71" s="59" t="s">
        <v>4218</v>
      </c>
      <c r="D71" s="59" t="s">
        <v>3908</v>
      </c>
      <c r="E71" s="59" t="s">
        <v>3909</v>
      </c>
      <c r="F71" s="60" t="s">
        <v>3911</v>
      </c>
      <c r="G71" s="48"/>
      <c r="H71" s="48"/>
      <c r="I71" s="32"/>
      <c r="J71" s="55" t="s">
        <v>1129</v>
      </c>
      <c r="K71" s="59" t="s">
        <v>7</v>
      </c>
    </row>
    <row r="72" ht="30" customHeight="1" spans="1:11">
      <c r="A72" s="55">
        <v>55</v>
      </c>
      <c r="B72" s="55" t="s">
        <v>1819</v>
      </c>
      <c r="C72" s="59" t="s">
        <v>4218</v>
      </c>
      <c r="D72" s="59" t="s">
        <v>3913</v>
      </c>
      <c r="E72" s="59" t="s">
        <v>3914</v>
      </c>
      <c r="F72" s="60" t="s">
        <v>3916</v>
      </c>
      <c r="G72" s="48"/>
      <c r="H72" s="48"/>
      <c r="I72" s="32"/>
      <c r="J72" s="55" t="s">
        <v>1129</v>
      </c>
      <c r="K72" s="59" t="s">
        <v>7</v>
      </c>
    </row>
    <row r="73" ht="30" customHeight="1" spans="1:11">
      <c r="A73" s="55">
        <v>56</v>
      </c>
      <c r="B73" s="55" t="s">
        <v>1819</v>
      </c>
      <c r="C73" s="59" t="s">
        <v>4218</v>
      </c>
      <c r="D73" s="59" t="s">
        <v>3918</v>
      </c>
      <c r="E73" s="59" t="s">
        <v>3919</v>
      </c>
      <c r="F73" s="60" t="s">
        <v>3921</v>
      </c>
      <c r="G73" s="48"/>
      <c r="H73" s="48"/>
      <c r="I73" s="32"/>
      <c r="J73" s="55" t="s">
        <v>1129</v>
      </c>
      <c r="K73" s="59" t="s">
        <v>7</v>
      </c>
    </row>
    <row r="74" ht="45" customHeight="1" spans="1:11">
      <c r="A74" s="55">
        <v>57</v>
      </c>
      <c r="B74" s="55" t="s">
        <v>1819</v>
      </c>
      <c r="C74" s="59" t="s">
        <v>4218</v>
      </c>
      <c r="D74" s="59" t="s">
        <v>3923</v>
      </c>
      <c r="E74" s="59" t="s">
        <v>3924</v>
      </c>
      <c r="F74" s="60" t="s">
        <v>3925</v>
      </c>
      <c r="G74" s="48"/>
      <c r="H74" s="48"/>
      <c r="I74" s="32"/>
      <c r="J74" s="55" t="s">
        <v>1129</v>
      </c>
      <c r="K74" s="59" t="s">
        <v>7</v>
      </c>
    </row>
  </sheetData>
  <mergeCells count="74">
    <mergeCell ref="A1:K1"/>
    <mergeCell ref="B3:C3"/>
    <mergeCell ref="B4:C4"/>
    <mergeCell ref="B5:C5"/>
    <mergeCell ref="A7:K7"/>
    <mergeCell ref="A8:B8"/>
    <mergeCell ref="G8:K8"/>
    <mergeCell ref="A9:B9"/>
    <mergeCell ref="G9:K9"/>
    <mergeCell ref="A10:B10"/>
    <mergeCell ref="G10:K10"/>
    <mergeCell ref="A11:B11"/>
    <mergeCell ref="G11:K11"/>
    <mergeCell ref="F13:I13"/>
    <mergeCell ref="A15:K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35:I35"/>
    <mergeCell ref="F36:I36"/>
    <mergeCell ref="F37:I37"/>
    <mergeCell ref="F38:I38"/>
    <mergeCell ref="F39:I39"/>
    <mergeCell ref="F40:I40"/>
    <mergeCell ref="A41:K41"/>
    <mergeCell ref="F42:I42"/>
    <mergeCell ref="F43:I43"/>
    <mergeCell ref="F44:I44"/>
    <mergeCell ref="F45:I45"/>
    <mergeCell ref="F46:I46"/>
    <mergeCell ref="F47:I47"/>
    <mergeCell ref="F48:I48"/>
    <mergeCell ref="F49:I49"/>
    <mergeCell ref="F50:I50"/>
    <mergeCell ref="F51:I51"/>
    <mergeCell ref="F52:I52"/>
    <mergeCell ref="F53:I53"/>
    <mergeCell ref="F54:I54"/>
    <mergeCell ref="A55:K55"/>
    <mergeCell ref="F56:I56"/>
    <mergeCell ref="F57:I57"/>
    <mergeCell ref="F58:I58"/>
    <mergeCell ref="F59:I59"/>
    <mergeCell ref="F60:I60"/>
    <mergeCell ref="F61:I61"/>
    <mergeCell ref="F62:I62"/>
    <mergeCell ref="F63:I63"/>
    <mergeCell ref="F64:I64"/>
    <mergeCell ref="F65:I65"/>
    <mergeCell ref="F66:I66"/>
    <mergeCell ref="F67:I67"/>
    <mergeCell ref="F68:I68"/>
    <mergeCell ref="F69:I69"/>
    <mergeCell ref="F70:I70"/>
    <mergeCell ref="F71:I71"/>
    <mergeCell ref="F72:I72"/>
    <mergeCell ref="F73:I73"/>
    <mergeCell ref="F74:I74"/>
  </mergeCells>
  <conditionalFormatting sqref="J15:J74">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2"/>
  <sheetViews>
    <sheetView workbookViewId="0">
      <selection activeCell="A1" sqref="A1:H1"/>
    </sheetView>
  </sheetViews>
  <sheetFormatPr defaultColWidth="9" defaultRowHeight="15"/>
  <cols>
    <col min="1" max="1" width="9" customWidth="1"/>
    <col min="2" max="2" width="14" customWidth="1"/>
    <col min="3" max="3" width="40" customWidth="1"/>
    <col min="4" max="4" width="30" customWidth="1"/>
    <col min="5" max="5" width="10" customWidth="1"/>
    <col min="6" max="6" width="9" customWidth="1"/>
    <col min="7" max="12" width="10" customWidth="1"/>
    <col min="13" max="13" width="12" customWidth="1"/>
    <col min="14" max="15" width="10" customWidth="1"/>
  </cols>
  <sheetData>
    <row r="1" ht="20.25" spans="1:4">
      <c r="A1" s="159" t="s">
        <v>4219</v>
      </c>
    </row>
    <row r="3" ht="28.5" spans="1:4">
      <c r="A3" s="21" t="s">
        <v>1822</v>
      </c>
      <c r="B3" s="22" t="s">
        <v>1823</v>
      </c>
    </row>
    <row r="4" ht="28.5" spans="1:4">
      <c r="A4" s="21" t="s">
        <v>1544</v>
      </c>
      <c r="B4" s="23" t="s">
        <v>4220</v>
      </c>
    </row>
    <row r="5" ht="42.75" spans="1:4">
      <c r="A5" s="21" t="s">
        <v>1825</v>
      </c>
      <c r="B5" s="23" t="s">
        <v>1826</v>
      </c>
    </row>
    <row r="7" ht="15.75" spans="1:4">
      <c r="A7" s="24" t="s">
        <v>1827</v>
      </c>
    </row>
    <row r="8" ht="28.5" spans="1:4">
      <c r="A8" s="25" t="s">
        <v>211</v>
      </c>
      <c r="B8" s="25" t="s">
        <v>1828</v>
      </c>
      <c r="C8" s="25" t="s">
        <v>1829</v>
      </c>
      <c r="D8" s="25" t="s">
        <v>1830</v>
      </c>
    </row>
    <row r="9" ht="30" customHeight="1" spans="1:4">
      <c r="A9" s="26">
        <v>1</v>
      </c>
      <c r="B9" s="27" t="s">
        <v>1831</v>
      </c>
      <c r="C9" s="28" t="s">
        <v>4221</v>
      </c>
      <c r="D9" s="29" t="s">
        <v>1833</v>
      </c>
    </row>
    <row r="10" ht="30" customHeight="1" spans="1:4">
      <c r="A10" s="26">
        <v>2</v>
      </c>
      <c r="B10" s="27" t="s">
        <v>1834</v>
      </c>
      <c r="C10" s="28" t="s">
        <v>4222</v>
      </c>
      <c r="D10" s="29" t="s">
        <v>1836</v>
      </c>
    </row>
    <row r="12" ht="15.75" spans="1:4">
      <c r="A12" s="30" t="s">
        <v>1837</v>
      </c>
    </row>
    <row r="13" spans="1:4">
      <c r="A13" s="31" t="s">
        <v>1838</v>
      </c>
      <c r="B13" s="32"/>
      <c r="C13" s="31" t="s">
        <v>1839</v>
      </c>
      <c r="D13" s="32"/>
    </row>
    <row r="14" customHeight="1" spans="1:4">
      <c r="A14" s="33" t="s">
        <v>1840</v>
      </c>
      <c r="B14" s="32"/>
      <c r="C14" s="34" t="s">
        <v>1841</v>
      </c>
      <c r="D14" s="32"/>
    </row>
    <row r="15" customHeight="1" spans="1:4">
      <c r="A15" s="33" t="s">
        <v>1842</v>
      </c>
      <c r="B15" s="32"/>
      <c r="C15" s="34" t="s">
        <v>1843</v>
      </c>
      <c r="D15" s="32"/>
    </row>
    <row r="16" customHeight="1" spans="1:4">
      <c r="A16" s="33" t="s">
        <v>1844</v>
      </c>
      <c r="B16" s="32"/>
      <c r="C16" s="34" t="s">
        <v>1845</v>
      </c>
      <c r="D16" s="32"/>
    </row>
    <row r="17" customHeight="1" spans="1:15">
      <c r="A17" s="33" t="s">
        <v>1846</v>
      </c>
      <c r="B17" s="32"/>
      <c r="C17" s="34" t="s">
        <v>1847</v>
      </c>
      <c r="D17" s="32"/>
    </row>
    <row r="18" customHeight="1" spans="1:15">
      <c r="A18" s="33" t="s">
        <v>1848</v>
      </c>
      <c r="B18" s="32"/>
      <c r="C18" s="34" t="s">
        <v>1849</v>
      </c>
      <c r="D18" s="32"/>
    </row>
    <row r="19" ht="30" customHeight="1" spans="1:15">
      <c r="A19" s="33" t="s">
        <v>1850</v>
      </c>
      <c r="B19" s="32"/>
      <c r="C19" s="34" t="s">
        <v>1851</v>
      </c>
      <c r="D19" s="32"/>
    </row>
    <row r="20" ht="30" customHeight="1" spans="1:15">
      <c r="A20" s="33" t="s">
        <v>1852</v>
      </c>
      <c r="B20" s="32"/>
      <c r="C20" s="34" t="s">
        <v>1853</v>
      </c>
      <c r="D20" s="32"/>
    </row>
    <row r="21" customHeight="1" spans="1:15">
      <c r="A21" s="33" t="s">
        <v>1854</v>
      </c>
      <c r="B21" s="32"/>
      <c r="C21" s="34" t="s">
        <v>1855</v>
      </c>
      <c r="D21" s="32"/>
    </row>
    <row r="23" ht="15.75" spans="1:15">
      <c r="A23" s="24" t="s">
        <v>1856</v>
      </c>
    </row>
    <row r="24" ht="28.5" spans="1:15">
      <c r="A24" s="31" t="s">
        <v>211</v>
      </c>
      <c r="B24" s="31" t="s">
        <v>1857</v>
      </c>
      <c r="C24" s="32"/>
      <c r="D24" s="31" t="s">
        <v>1858</v>
      </c>
    </row>
    <row r="25" customHeight="1" spans="1:15">
      <c r="A25" s="35">
        <v>1</v>
      </c>
      <c r="B25" s="162" t="s">
        <v>4223</v>
      </c>
      <c r="C25" s="32"/>
      <c r="D25" s="34" t="s">
        <v>4224</v>
      </c>
    </row>
    <row r="26" customHeight="1" spans="1:15">
      <c r="A26" s="35">
        <v>2</v>
      </c>
      <c r="B26" s="162" t="s">
        <v>4225</v>
      </c>
      <c r="C26" s="32"/>
      <c r="D26" s="34" t="s">
        <v>4226</v>
      </c>
    </row>
    <row r="28" spans="1:15">
      <c r="A28" s="36" t="s">
        <v>1863</v>
      </c>
      <c r="B28" s="37"/>
      <c r="C28" s="37"/>
      <c r="D28" s="37"/>
      <c r="E28" s="37"/>
      <c r="F28" s="37"/>
      <c r="G28" s="37"/>
      <c r="H28" s="37"/>
      <c r="I28" s="37"/>
      <c r="J28" s="37"/>
      <c r="K28" s="37"/>
      <c r="L28" s="37"/>
      <c r="M28" s="37"/>
      <c r="N28" s="37"/>
      <c r="O28" s="37"/>
    </row>
    <row r="29" ht="32" customHeight="1" spans="1:15">
      <c r="A29" s="38" t="s">
        <v>211</v>
      </c>
      <c r="B29" s="38" t="s">
        <v>1828</v>
      </c>
      <c r="C29" s="38" t="s">
        <v>1864</v>
      </c>
      <c r="D29" s="38" t="s">
        <v>1865</v>
      </c>
      <c r="E29" s="38" t="s">
        <v>1866</v>
      </c>
      <c r="F29" s="38" t="s">
        <v>1867</v>
      </c>
      <c r="G29" s="38" t="s">
        <v>1868</v>
      </c>
      <c r="H29" s="38" t="s">
        <v>1869</v>
      </c>
      <c r="I29" s="38" t="s">
        <v>1870</v>
      </c>
      <c r="J29" s="38" t="s">
        <v>1871</v>
      </c>
      <c r="K29" s="38" t="s">
        <v>1872</v>
      </c>
      <c r="L29" s="38" t="s">
        <v>1873</v>
      </c>
      <c r="M29" s="38" t="s">
        <v>1874</v>
      </c>
      <c r="N29" s="38" t="s">
        <v>1875</v>
      </c>
      <c r="O29" s="38" t="s">
        <v>1876</v>
      </c>
    </row>
    <row r="30" ht="30" customHeight="1" spans="1:15">
      <c r="A30" s="39">
        <v>1</v>
      </c>
      <c r="B30" s="39" t="s">
        <v>1831</v>
      </c>
      <c r="C30" s="40" t="s">
        <v>4227</v>
      </c>
      <c r="D30" s="39" t="s">
        <v>1878</v>
      </c>
      <c r="E30" s="39">
        <v>20</v>
      </c>
      <c r="F30" s="39">
        <v>30</v>
      </c>
      <c r="G30" s="39">
        <v>14</v>
      </c>
      <c r="H30" s="39">
        <v>50279</v>
      </c>
      <c r="I30" s="39">
        <v>12</v>
      </c>
      <c r="J30" s="39">
        <v>15</v>
      </c>
      <c r="K30" s="39">
        <v>2</v>
      </c>
      <c r="L30" s="39">
        <v>36</v>
      </c>
      <c r="M30" s="39">
        <v>1675.4</v>
      </c>
      <c r="N30" s="41">
        <v>0</v>
      </c>
      <c r="O30" s="39" t="s">
        <v>1385</v>
      </c>
    </row>
    <row r="31" ht="30" customHeight="1" spans="1:15">
      <c r="A31" s="39">
        <v>2</v>
      </c>
      <c r="B31" s="39" t="s">
        <v>1831</v>
      </c>
      <c r="C31" s="40" t="s">
        <v>4228</v>
      </c>
      <c r="D31" s="39" t="s">
        <v>1878</v>
      </c>
      <c r="E31" s="39">
        <v>20</v>
      </c>
      <c r="F31" s="39">
        <v>30</v>
      </c>
      <c r="G31" s="39">
        <v>16</v>
      </c>
      <c r="H31" s="39">
        <v>45863</v>
      </c>
      <c r="I31" s="39">
        <v>13</v>
      </c>
      <c r="J31" s="39">
        <v>17</v>
      </c>
      <c r="K31" s="39">
        <v>2</v>
      </c>
      <c r="L31" s="39">
        <v>215</v>
      </c>
      <c r="M31" s="39">
        <v>1528.3</v>
      </c>
      <c r="N31" s="41">
        <v>0</v>
      </c>
      <c r="O31" s="39" t="s">
        <v>1385</v>
      </c>
    </row>
    <row r="32" ht="30" customHeight="1" spans="1:15">
      <c r="A32" s="39">
        <v>3</v>
      </c>
      <c r="B32" s="39" t="s">
        <v>1834</v>
      </c>
      <c r="C32" s="40" t="s">
        <v>4229</v>
      </c>
      <c r="D32" s="39" t="s">
        <v>1881</v>
      </c>
      <c r="E32" s="39">
        <v>50</v>
      </c>
      <c r="F32" s="39">
        <v>30</v>
      </c>
      <c r="G32" s="39">
        <v>35</v>
      </c>
      <c r="H32" s="39">
        <v>49906</v>
      </c>
      <c r="I32" s="39">
        <v>30</v>
      </c>
      <c r="J32" s="39">
        <v>37</v>
      </c>
      <c r="K32" s="39">
        <v>1</v>
      </c>
      <c r="L32" s="39">
        <v>53</v>
      </c>
      <c r="M32" s="39">
        <v>1662.2</v>
      </c>
      <c r="N32" s="41">
        <v>0</v>
      </c>
      <c r="O32" s="39" t="s">
        <v>1385</v>
      </c>
    </row>
    <row r="33" spans="1:15">
      <c r="A33" s="42" t="s">
        <v>1882</v>
      </c>
      <c r="B33" s="42" t="s">
        <v>1883</v>
      </c>
      <c r="C33" s="42" t="s">
        <v>1884</v>
      </c>
      <c r="D33" s="42" t="s">
        <v>1885</v>
      </c>
      <c r="H33" s="43">
        <f>SUM(H30:H32)</f>
        <v>146048</v>
      </c>
      <c r="I33" s="44">
        <f>IFERROR(SUMPRODUCT(H30:H32,I30:I32)/H33,0)</f>
        <v>18.4647992440841</v>
      </c>
      <c r="N33" s="45">
        <f>IFERROR(SUMPRODUCT(H30:H32,N30:N32)/H33,0)</f>
        <v>0</v>
      </c>
      <c r="O33" s="43" t="str">
        <f>IF(COUNTIF(O30:O32,"FAIL")=0,"PASS","FAIL")</f>
        <v>PASS</v>
      </c>
    </row>
    <row r="35" spans="1:15">
      <c r="A35" s="46" t="s">
        <v>1886</v>
      </c>
      <c r="B35" s="16"/>
      <c r="C35" s="16"/>
      <c r="D35" s="16"/>
      <c r="E35" s="17"/>
    </row>
    <row r="36" ht="30" spans="1:15">
      <c r="A36" s="38" t="s">
        <v>1887</v>
      </c>
      <c r="B36" s="38" t="s">
        <v>332</v>
      </c>
      <c r="C36" s="38" t="s">
        <v>1888</v>
      </c>
      <c r="D36" s="38" t="s">
        <v>1889</v>
      </c>
      <c r="E36" s="38" t="s">
        <v>430</v>
      </c>
    </row>
    <row r="37" ht="30" customHeight="1" spans="1:15">
      <c r="A37" s="47" t="s">
        <v>1831</v>
      </c>
      <c r="B37" s="47" t="s">
        <v>1878</v>
      </c>
      <c r="C37" s="47" t="s">
        <v>1890</v>
      </c>
      <c r="D37" s="47" t="s">
        <v>1891</v>
      </c>
      <c r="E37" s="47" t="s">
        <v>4227</v>
      </c>
    </row>
    <row r="38" ht="30" customHeight="1" spans="1:15">
      <c r="A38" s="47" t="s">
        <v>1831</v>
      </c>
      <c r="B38" s="47" t="s">
        <v>1878</v>
      </c>
      <c r="C38" s="47" t="s">
        <v>1890</v>
      </c>
      <c r="D38" s="47" t="s">
        <v>1891</v>
      </c>
      <c r="E38" s="47" t="s">
        <v>4228</v>
      </c>
    </row>
    <row r="39" ht="30" customHeight="1" spans="1:15">
      <c r="A39" s="47" t="s">
        <v>1834</v>
      </c>
      <c r="B39" s="47" t="s">
        <v>1881</v>
      </c>
      <c r="C39" s="47" t="s">
        <v>1892</v>
      </c>
      <c r="D39" s="47" t="s">
        <v>1891</v>
      </c>
      <c r="E39" s="47" t="s">
        <v>4229</v>
      </c>
    </row>
    <row r="41" spans="1:15">
      <c r="A41" s="46" t="s">
        <v>1893</v>
      </c>
      <c r="B41" s="16"/>
      <c r="C41" s="16"/>
      <c r="D41" s="16"/>
      <c r="E41" s="16"/>
      <c r="F41" s="16"/>
      <c r="G41" s="16"/>
      <c r="H41" s="16"/>
      <c r="I41" s="16"/>
      <c r="J41" s="16"/>
      <c r="K41" s="16"/>
      <c r="L41" s="16"/>
      <c r="M41" s="16"/>
      <c r="N41" s="16"/>
      <c r="O41" s="17"/>
    </row>
    <row r="42" customHeight="1" spans="1:15">
      <c r="A42" s="47" t="s">
        <v>1894</v>
      </c>
      <c r="B42" s="48"/>
      <c r="C42" s="48"/>
      <c r="D42" s="48"/>
      <c r="E42" s="48"/>
      <c r="F42" s="48"/>
      <c r="G42" s="48"/>
      <c r="H42" s="48"/>
      <c r="I42" s="48"/>
      <c r="J42" s="48"/>
      <c r="K42" s="48"/>
      <c r="L42" s="48"/>
      <c r="M42" s="48"/>
      <c r="N42" s="48"/>
      <c r="O42" s="32"/>
    </row>
  </sheetData>
  <mergeCells count="32">
    <mergeCell ref="A1:H1"/>
    <mergeCell ref="B3:H3"/>
    <mergeCell ref="B4:H4"/>
    <mergeCell ref="B5:H5"/>
    <mergeCell ref="A7:D7"/>
    <mergeCell ref="A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3:D23"/>
    <mergeCell ref="B24:C24"/>
    <mergeCell ref="B25:C25"/>
    <mergeCell ref="B26:C26"/>
    <mergeCell ref="A28:O28"/>
    <mergeCell ref="A35:E35"/>
    <mergeCell ref="A41:O41"/>
    <mergeCell ref="A42:O42"/>
  </mergeCells>
  <conditionalFormatting sqref="O30:O33">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workbookViewId="0">
      <selection activeCell="A1" sqref="A1:G1"/>
    </sheetView>
  </sheetViews>
  <sheetFormatPr defaultColWidth="9" defaultRowHeight="15" outlineLevelCol="6"/>
  <cols>
    <col min="1" max="1" width="34" customWidth="1"/>
    <col min="2" max="2" width="14" customWidth="1"/>
    <col min="3" max="6" width="13" customWidth="1"/>
    <col min="7" max="7" width="44" customWidth="1"/>
  </cols>
  <sheetData>
    <row r="1" ht="19.5" spans="1:7">
      <c r="A1" s="1" t="s">
        <v>1895</v>
      </c>
    </row>
    <row r="2" spans="1:7">
      <c r="A2" s="2" t="s">
        <v>226</v>
      </c>
      <c r="C2" s="2" t="s">
        <v>227</v>
      </c>
    </row>
    <row r="3" spans="1:7">
      <c r="A3" s="2" t="s">
        <v>528</v>
      </c>
      <c r="C3" s="2" t="s">
        <v>231</v>
      </c>
    </row>
    <row r="4" spans="1:7">
      <c r="A4" s="2" t="s">
        <v>1896</v>
      </c>
      <c r="C4" s="2" t="s">
        <v>48</v>
      </c>
    </row>
    <row r="5" spans="1:7">
      <c r="A5" s="2" t="s">
        <v>1897</v>
      </c>
      <c r="C5" s="2" t="s">
        <v>7</v>
      </c>
    </row>
    <row r="6" spans="1:7">
      <c r="A6" s="2" t="s">
        <v>1898</v>
      </c>
      <c r="C6" s="2" t="s">
        <v>233</v>
      </c>
    </row>
    <row r="7" spans="1:7">
      <c r="A7" s="2" t="s">
        <v>1899</v>
      </c>
      <c r="C7" s="2">
        <f>B16</f>
        <v>57</v>
      </c>
    </row>
    <row r="8" spans="1:7">
      <c r="A8" s="2" t="s">
        <v>1900</v>
      </c>
      <c r="C8" s="3" t="s">
        <v>1901</v>
      </c>
    </row>
    <row r="10" spans="1:7">
      <c r="A10" s="4" t="s">
        <v>1902</v>
      </c>
      <c r="B10" s="5"/>
      <c r="C10" s="5"/>
      <c r="D10" s="5"/>
      <c r="E10" s="5"/>
      <c r="F10" s="5"/>
      <c r="G10" s="6"/>
    </row>
    <row r="11" ht="32" customHeight="1" spans="1:7">
      <c r="A11" s="7" t="s">
        <v>1903</v>
      </c>
      <c r="B11" s="7" t="s">
        <v>1904</v>
      </c>
      <c r="C11" s="7" t="s">
        <v>1553</v>
      </c>
      <c r="D11" s="7" t="s">
        <v>1554</v>
      </c>
      <c r="E11" s="7" t="s">
        <v>1905</v>
      </c>
      <c r="F11" s="7" t="s">
        <v>1759</v>
      </c>
      <c r="G11" s="7" t="s">
        <v>1906</v>
      </c>
    </row>
    <row r="12" customHeight="1" spans="1:7">
      <c r="A12" s="8" t="s">
        <v>1907</v>
      </c>
      <c r="B12" s="9">
        <f>'PH4-Kiểm thử giao diện'!C14</f>
        <v>19</v>
      </c>
      <c r="C12" s="9">
        <f>'PH4-Kiểm thử giao diện'!E14</f>
        <v>15</v>
      </c>
      <c r="D12" s="9">
        <f>'PH4-Kiểm thử giao diện'!F14</f>
        <v>4</v>
      </c>
      <c r="E12" s="9">
        <f>'PH4-Kiểm thử giao diện'!D14</f>
        <v>0</v>
      </c>
      <c r="F12" s="10">
        <f>IFERROR(C12/B12,0)</f>
        <v>0.789473684210526</v>
      </c>
      <c r="G12" s="11" t="s">
        <v>1908</v>
      </c>
    </row>
    <row r="13" ht="30" customHeight="1" spans="1:7">
      <c r="A13" s="8" t="s">
        <v>1909</v>
      </c>
      <c r="B13" s="9">
        <f>'PH4-Kiểm thử API(Postman)'!A10</f>
        <v>13</v>
      </c>
      <c r="C13" s="9">
        <f>'PH4-Kiểm thử API(Postman)'!B10</f>
        <v>12</v>
      </c>
      <c r="D13" s="9">
        <f>'PH4-Kiểm thử API(Postman)'!C10</f>
        <v>1</v>
      </c>
      <c r="E13" s="9">
        <v>0</v>
      </c>
      <c r="F13" s="10">
        <f>IFERROR(C13/B13,0)</f>
        <v>0.923076923076923</v>
      </c>
      <c r="G13" s="11" t="s">
        <v>4230</v>
      </c>
    </row>
    <row r="14" ht="30" customHeight="1" spans="1:7">
      <c r="A14" s="8" t="s">
        <v>1911</v>
      </c>
      <c r="B14" s="9">
        <f>'PH4-Unit test'!B73</f>
        <v>25</v>
      </c>
      <c r="C14" s="9">
        <f>'PH4-Unit test'!B74</f>
        <v>22</v>
      </c>
      <c r="D14" s="9">
        <f>'PH4-Unit test'!B75</f>
        <v>3</v>
      </c>
      <c r="E14" s="9">
        <v>0</v>
      </c>
      <c r="F14" s="10">
        <f>IFERROR(C14/B14,0)</f>
        <v>0.88</v>
      </c>
      <c r="G14" s="11" t="s">
        <v>4231</v>
      </c>
    </row>
    <row r="15" ht="30" customHeight="1" spans="1:7">
      <c r="A15" s="8" t="s">
        <v>1913</v>
      </c>
      <c r="B15" s="9">
        <f>COUNTA('PH4-Kiểm thử hiệu năng'!O30:O32)</f>
        <v>3</v>
      </c>
      <c r="C15" s="9">
        <f>COUNTIF('PH4-Kiểm thử hiệu năng'!O30:O32,"PASS")</f>
        <v>3</v>
      </c>
      <c r="D15" s="9">
        <f>COUNTIF('PH4-Kiểm thử hiệu năng'!O30:O32,"FAIL")</f>
        <v>0</v>
      </c>
      <c r="E15" s="9">
        <v>0</v>
      </c>
      <c r="F15" s="10">
        <f>IFERROR(C15/B15,0)</f>
        <v>1</v>
      </c>
      <c r="G15" s="11" t="s">
        <v>1894</v>
      </c>
    </row>
    <row r="16" spans="1:7">
      <c r="A16" s="12" t="s">
        <v>1914</v>
      </c>
      <c r="B16" s="7">
        <f>SUMIF($A$12:$A$15,"&lt;&gt;Kiểm thử Hiệu năng*",B12:B15)</f>
        <v>57</v>
      </c>
      <c r="C16" s="7">
        <f>SUMIF($A$12:$A$15,"&lt;&gt;Kiểm thử Hiệu năng*",C12:C15)</f>
        <v>49</v>
      </c>
      <c r="D16" s="7">
        <f>SUMIF($A$12:$A$15,"&lt;&gt;Kiểm thử Hiệu năng*",D12:D15)</f>
        <v>8</v>
      </c>
      <c r="E16" s="7">
        <f>SUMIF($A$12:$A$15,"&lt;&gt;Kiểm thử Hiệu năng*",E12:E15)</f>
        <v>0</v>
      </c>
      <c r="F16" s="13">
        <f>IFERROR(C16/B16,0)</f>
        <v>0.859649122807018</v>
      </c>
      <c r="G16" s="12" t="s">
        <v>7</v>
      </c>
    </row>
    <row r="18" ht="375" customHeight="1" spans="1:7">
      <c r="A18" s="14" t="s">
        <v>1915</v>
      </c>
      <c r="B18" s="15" t="s">
        <v>4232</v>
      </c>
      <c r="C18" s="16"/>
      <c r="D18" s="16"/>
      <c r="E18" s="16"/>
      <c r="F18" s="16"/>
      <c r="G18" s="17"/>
    </row>
    <row r="19" ht="400" customHeight="1" spans="1:7">
      <c r="A19" s="18" t="s">
        <v>1917</v>
      </c>
      <c r="B19" s="15" t="s">
        <v>4233</v>
      </c>
      <c r="C19" s="16"/>
      <c r="D19" s="16"/>
      <c r="E19" s="17"/>
      <c r="F19" s="15" t="s">
        <v>4234</v>
      </c>
      <c r="G19" s="17"/>
    </row>
    <row r="20" ht="195" customHeight="1" spans="1:7">
      <c r="A20" s="14" t="s">
        <v>1920</v>
      </c>
      <c r="B20" s="15" t="s">
        <v>3810</v>
      </c>
      <c r="C20" s="16"/>
      <c r="D20" s="16"/>
      <c r="E20" s="16"/>
      <c r="F20" s="16"/>
      <c r="G20" s="17"/>
    </row>
    <row r="21" ht="45" customHeight="1" spans="1:7">
      <c r="A21" s="14" t="s">
        <v>1921</v>
      </c>
      <c r="B21" s="15" t="s">
        <v>4235</v>
      </c>
      <c r="C21" s="16"/>
      <c r="D21" s="16"/>
      <c r="E21" s="16"/>
      <c r="F21" s="16"/>
      <c r="G21" s="17"/>
    </row>
    <row r="22" ht="32" customHeight="1" spans="1:7">
      <c r="A22" s="19" t="s">
        <v>1923</v>
      </c>
    </row>
  </sheetData>
  <mergeCells count="21">
    <mergeCell ref="A1:G1"/>
    <mergeCell ref="A2:B2"/>
    <mergeCell ref="C2:F2"/>
    <mergeCell ref="A3:B3"/>
    <mergeCell ref="C3:F3"/>
    <mergeCell ref="A4:B4"/>
    <mergeCell ref="C4:F4"/>
    <mergeCell ref="A5:B5"/>
    <mergeCell ref="C5:F5"/>
    <mergeCell ref="A6:B6"/>
    <mergeCell ref="C6:F6"/>
    <mergeCell ref="A7:B7"/>
    <mergeCell ref="C7:F7"/>
    <mergeCell ref="A8:B8"/>
    <mergeCell ref="C8:F8"/>
    <mergeCell ref="A10:G10"/>
    <mergeCell ref="B18:G18"/>
    <mergeCell ref="B19:E19"/>
    <mergeCell ref="F19:G19"/>
    <mergeCell ref="B20:G20"/>
    <mergeCell ref="B21:G21"/>
  </mergeCell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
  <sheetViews>
    <sheetView workbookViewId="0">
      <pane xSplit="1" ySplit="13" topLeftCell="B14" activePane="bottomRight" state="frozen"/>
      <selection/>
      <selection pane="topRight"/>
      <selection pane="bottomLeft"/>
      <selection pane="bottomRight" activeCell="A1" sqref="A1:F1"/>
    </sheetView>
  </sheetViews>
  <sheetFormatPr defaultColWidth="9" defaultRowHeight="15" outlineLevelCol="5"/>
  <cols>
    <col min="1" max="1" width="57.7142857142857" customWidth="1"/>
    <col min="2" max="2" width="11.1428571428571" customWidth="1"/>
    <col min="3" max="3" width="13.5714285714286" customWidth="1"/>
    <col min="4" max="4" width="13" customWidth="1"/>
    <col min="5" max="5" width="38.5714285714286" customWidth="1"/>
    <col min="6" max="6" width="13" customWidth="1"/>
  </cols>
  <sheetData>
    <row r="1" ht="24" customHeight="1" spans="1:6">
      <c r="A1" s="144" t="s">
        <v>69</v>
      </c>
    </row>
    <row r="3" customHeight="1" spans="1:6">
      <c r="A3" s="145" t="s">
        <v>226</v>
      </c>
      <c r="B3" s="146" t="s">
        <v>227</v>
      </c>
      <c r="C3" s="147"/>
      <c r="D3" s="147"/>
      <c r="E3" s="147"/>
      <c r="F3" s="147"/>
    </row>
    <row r="4" customHeight="1" spans="1:6">
      <c r="A4" s="145" t="s">
        <v>528</v>
      </c>
      <c r="B4" s="146" t="s">
        <v>231</v>
      </c>
      <c r="C4" s="147"/>
      <c r="D4" s="147"/>
      <c r="E4" s="147"/>
      <c r="F4" s="147"/>
    </row>
    <row r="5" customHeight="1" spans="1:6">
      <c r="A5" s="145" t="s">
        <v>529</v>
      </c>
      <c r="B5" s="146" t="s">
        <v>49</v>
      </c>
      <c r="C5" s="147"/>
      <c r="D5" s="147"/>
      <c r="E5" s="147"/>
      <c r="F5" s="147"/>
    </row>
    <row r="6" customHeight="1" spans="1:6">
      <c r="A6" s="145" t="s">
        <v>422</v>
      </c>
      <c r="B6" s="146" t="s">
        <v>60</v>
      </c>
      <c r="C6" s="147"/>
      <c r="D6" s="147"/>
      <c r="E6" s="147"/>
      <c r="F6" s="147"/>
    </row>
    <row r="7" customHeight="1" spans="1:6">
      <c r="A7" s="145" t="s">
        <v>238</v>
      </c>
      <c r="B7" s="146" t="s">
        <v>7</v>
      </c>
      <c r="C7" s="147"/>
      <c r="D7" s="147"/>
      <c r="E7" s="147"/>
      <c r="F7" s="147"/>
    </row>
    <row r="8" customHeight="1" spans="1:6">
      <c r="A8" s="145" t="s">
        <v>421</v>
      </c>
      <c r="B8" s="146" t="s">
        <v>233</v>
      </c>
      <c r="C8" s="147"/>
      <c r="D8" s="147"/>
      <c r="E8" s="147"/>
      <c r="F8" s="147"/>
    </row>
    <row r="9" ht="45" customHeight="1" spans="1:6">
      <c r="A9" s="145" t="s">
        <v>423</v>
      </c>
      <c r="B9" s="148" t="s">
        <v>4236</v>
      </c>
      <c r="C9" s="147"/>
      <c r="D9" s="147"/>
      <c r="E9" s="147"/>
      <c r="F9" s="147"/>
    </row>
    <row r="10" customHeight="1" spans="1:6">
      <c r="A10" s="145" t="s">
        <v>532</v>
      </c>
      <c r="B10" s="146" t="s">
        <v>103</v>
      </c>
      <c r="C10" s="147"/>
      <c r="D10" s="147"/>
      <c r="E10" s="147"/>
      <c r="F10" s="147"/>
    </row>
    <row r="11" ht="60" customHeight="1" spans="1:6">
      <c r="A11" s="145" t="s">
        <v>935</v>
      </c>
      <c r="B11" s="148" t="s">
        <v>4237</v>
      </c>
      <c r="C11" s="147"/>
      <c r="D11" s="147"/>
      <c r="E11" s="147"/>
      <c r="F11" s="147"/>
    </row>
    <row r="13" spans="1:6">
      <c r="A13" s="149" t="s">
        <v>426</v>
      </c>
      <c r="B13" s="150" t="s">
        <v>427</v>
      </c>
      <c r="C13" s="150" t="s">
        <v>428</v>
      </c>
      <c r="D13" s="150" t="s">
        <v>429</v>
      </c>
      <c r="E13" s="150" t="s">
        <v>430</v>
      </c>
      <c r="F13" s="150" t="s">
        <v>431</v>
      </c>
    </row>
    <row r="14" spans="1:6">
      <c r="A14" s="149" t="s">
        <v>432</v>
      </c>
      <c r="B14" s="149"/>
      <c r="C14" s="149"/>
      <c r="D14" s="149"/>
      <c r="E14" s="149"/>
      <c r="F14" s="149"/>
    </row>
    <row r="15" ht="75" customHeight="1" spans="1:6">
      <c r="A15" s="151" t="s">
        <v>433</v>
      </c>
      <c r="B15" s="152"/>
      <c r="C15" s="152" t="s">
        <v>434</v>
      </c>
      <c r="D15" s="152"/>
      <c r="E15" s="151" t="s">
        <v>4238</v>
      </c>
      <c r="F15" s="152" t="s">
        <v>436</v>
      </c>
    </row>
    <row r="16" ht="60" customHeight="1" spans="1:6">
      <c r="A16" s="151" t="s">
        <v>437</v>
      </c>
      <c r="B16" s="152"/>
      <c r="C16" s="152" t="s">
        <v>434</v>
      </c>
      <c r="D16" s="152"/>
      <c r="E16" s="151" t="s">
        <v>4239</v>
      </c>
      <c r="F16" s="152" t="s">
        <v>436</v>
      </c>
    </row>
    <row r="17" ht="75" customHeight="1" spans="1:6">
      <c r="A17" s="151" t="s">
        <v>535</v>
      </c>
      <c r="B17" s="152"/>
      <c r="C17" s="152" t="s">
        <v>434</v>
      </c>
      <c r="D17" s="152"/>
      <c r="E17" s="151" t="s">
        <v>4240</v>
      </c>
      <c r="F17" s="152" t="s">
        <v>436</v>
      </c>
    </row>
    <row r="18" ht="45" customHeight="1" spans="1:6">
      <c r="A18" s="151" t="s">
        <v>537</v>
      </c>
      <c r="B18" s="152"/>
      <c r="C18" s="152" t="s">
        <v>434</v>
      </c>
      <c r="D18" s="152"/>
      <c r="E18" s="151" t="s">
        <v>4241</v>
      </c>
      <c r="F18" s="152" t="s">
        <v>436</v>
      </c>
    </row>
    <row r="19" ht="30" customHeight="1" spans="1:6">
      <c r="A19" s="151" t="s">
        <v>539</v>
      </c>
      <c r="B19" s="152"/>
      <c r="C19" s="152" t="s">
        <v>434</v>
      </c>
      <c r="D19" s="152"/>
      <c r="E19" s="151" t="s">
        <v>4242</v>
      </c>
      <c r="F19" s="152" t="s">
        <v>436</v>
      </c>
    </row>
    <row r="20" ht="30" customHeight="1" spans="1:6">
      <c r="A20" s="151" t="s">
        <v>541</v>
      </c>
      <c r="B20" s="152"/>
      <c r="C20" s="152" t="s">
        <v>434</v>
      </c>
      <c r="D20" s="152"/>
      <c r="E20" s="151" t="s">
        <v>4243</v>
      </c>
      <c r="F20" s="152" t="s">
        <v>436</v>
      </c>
    </row>
    <row r="21" ht="60" customHeight="1" spans="1:6">
      <c r="A21" s="151" t="s">
        <v>543</v>
      </c>
      <c r="B21" s="152"/>
      <c r="C21" s="152" t="s">
        <v>434</v>
      </c>
      <c r="D21" s="152"/>
      <c r="E21" s="151" t="s">
        <v>4244</v>
      </c>
      <c r="F21" s="152" t="s">
        <v>436</v>
      </c>
    </row>
    <row r="22" ht="30" customHeight="1" spans="1:6">
      <c r="A22" s="151" t="s">
        <v>449</v>
      </c>
      <c r="B22" s="152"/>
      <c r="C22" s="152"/>
      <c r="D22" s="152" t="s">
        <v>434</v>
      </c>
      <c r="E22" s="151" t="s">
        <v>4245</v>
      </c>
      <c r="F22" s="152" t="s">
        <v>436</v>
      </c>
    </row>
    <row r="23" ht="30" customHeight="1" spans="1:6">
      <c r="A23" s="151" t="s">
        <v>451</v>
      </c>
      <c r="B23" s="152"/>
      <c r="C23" s="152"/>
      <c r="D23" s="152" t="s">
        <v>434</v>
      </c>
      <c r="E23" s="151" t="s">
        <v>4246</v>
      </c>
      <c r="F23" s="152" t="s">
        <v>436</v>
      </c>
    </row>
    <row r="24" spans="1:6">
      <c r="A24" s="149" t="s">
        <v>547</v>
      </c>
      <c r="B24" s="149"/>
      <c r="C24" s="149"/>
      <c r="D24" s="149"/>
      <c r="E24" s="149"/>
      <c r="F24" s="149"/>
    </row>
    <row r="25" ht="60" customHeight="1" spans="1:6">
      <c r="A25" s="151" t="s">
        <v>548</v>
      </c>
      <c r="B25" s="152"/>
      <c r="C25" s="152" t="s">
        <v>434</v>
      </c>
      <c r="D25" s="152"/>
      <c r="E25" s="151" t="s">
        <v>4247</v>
      </c>
      <c r="F25" s="152" t="s">
        <v>436</v>
      </c>
    </row>
    <row r="26" ht="75" customHeight="1" spans="1:6">
      <c r="A26" s="151" t="s">
        <v>550</v>
      </c>
      <c r="B26" s="152" t="s">
        <v>434</v>
      </c>
      <c r="C26" s="152"/>
      <c r="D26" s="152"/>
      <c r="E26" s="151" t="s">
        <v>4248</v>
      </c>
      <c r="F26" s="152" t="s">
        <v>436</v>
      </c>
    </row>
    <row r="27" ht="90" customHeight="1" spans="1:6">
      <c r="A27" s="151" t="s">
        <v>552</v>
      </c>
      <c r="B27" s="152"/>
      <c r="C27" s="152" t="s">
        <v>434</v>
      </c>
      <c r="D27" s="152"/>
      <c r="E27" s="151" t="s">
        <v>4249</v>
      </c>
      <c r="F27" s="152" t="s">
        <v>436</v>
      </c>
    </row>
    <row r="28" ht="45" customHeight="1" spans="1:6">
      <c r="A28" s="151" t="s">
        <v>554</v>
      </c>
      <c r="B28" s="152"/>
      <c r="C28" s="152" t="s">
        <v>434</v>
      </c>
      <c r="D28" s="152"/>
      <c r="E28" s="151" t="s">
        <v>4250</v>
      </c>
      <c r="F28" s="152" t="s">
        <v>436</v>
      </c>
    </row>
    <row r="29" ht="30" customHeight="1" spans="1:6">
      <c r="A29" s="151" t="s">
        <v>556</v>
      </c>
      <c r="B29" s="152"/>
      <c r="C29" s="152"/>
      <c r="D29" s="152" t="s">
        <v>434</v>
      </c>
      <c r="E29" s="151" t="s">
        <v>4251</v>
      </c>
      <c r="F29" s="152" t="s">
        <v>7</v>
      </c>
    </row>
    <row r="30" ht="30" customHeight="1" spans="1:6">
      <c r="A30" s="151" t="s">
        <v>224</v>
      </c>
      <c r="B30" s="152"/>
      <c r="C30" s="152"/>
      <c r="D30" s="152" t="s">
        <v>434</v>
      </c>
      <c r="E30" s="151" t="s">
        <v>4251</v>
      </c>
      <c r="F30" s="152" t="s">
        <v>7</v>
      </c>
    </row>
    <row r="31" ht="30" customHeight="1" spans="1:6">
      <c r="A31" s="151" t="s">
        <v>558</v>
      </c>
      <c r="B31" s="152"/>
      <c r="C31" s="152"/>
      <c r="D31" s="152" t="s">
        <v>434</v>
      </c>
      <c r="E31" s="151" t="s">
        <v>4251</v>
      </c>
      <c r="F31" s="152" t="s">
        <v>7</v>
      </c>
    </row>
    <row r="32" ht="30" customHeight="1" spans="1:6">
      <c r="A32" s="151" t="s">
        <v>246</v>
      </c>
      <c r="B32" s="152"/>
      <c r="C32" s="152"/>
      <c r="D32" s="152" t="s">
        <v>434</v>
      </c>
      <c r="E32" s="151" t="s">
        <v>4251</v>
      </c>
      <c r="F32" s="152" t="s">
        <v>7</v>
      </c>
    </row>
    <row r="33" ht="75" customHeight="1" spans="1:6">
      <c r="A33" s="151" t="s">
        <v>559</v>
      </c>
      <c r="B33" s="152" t="s">
        <v>434</v>
      </c>
      <c r="C33" s="152"/>
      <c r="D33" s="152"/>
      <c r="E33" s="151" t="s">
        <v>4252</v>
      </c>
      <c r="F33" s="152" t="s">
        <v>436</v>
      </c>
    </row>
    <row r="34" ht="30" customHeight="1" spans="1:6">
      <c r="A34" s="151" t="s">
        <v>561</v>
      </c>
      <c r="B34" s="152"/>
      <c r="C34" s="152" t="s">
        <v>434</v>
      </c>
      <c r="D34" s="152"/>
      <c r="E34" s="151" t="s">
        <v>4253</v>
      </c>
      <c r="F34" s="152" t="s">
        <v>436</v>
      </c>
    </row>
    <row r="35" spans="1:6">
      <c r="A35" s="149" t="s">
        <v>563</v>
      </c>
      <c r="B35" s="149"/>
      <c r="C35" s="149"/>
      <c r="D35" s="149"/>
      <c r="E35" s="149"/>
      <c r="F35" s="149"/>
    </row>
    <row r="36" ht="60" customHeight="1" spans="1:6">
      <c r="A36" s="151" t="s">
        <v>564</v>
      </c>
      <c r="B36" s="152" t="s">
        <v>434</v>
      </c>
      <c r="C36" s="152"/>
      <c r="D36" s="152"/>
      <c r="E36" s="151" t="s">
        <v>4254</v>
      </c>
      <c r="F36" s="152" t="s">
        <v>436</v>
      </c>
    </row>
    <row r="37" ht="60" customHeight="1" spans="1:6">
      <c r="A37" s="151" t="s">
        <v>566</v>
      </c>
      <c r="B37" s="152" t="s">
        <v>434</v>
      </c>
      <c r="C37" s="152"/>
      <c r="D37" s="152"/>
      <c r="E37" s="151" t="s">
        <v>4255</v>
      </c>
      <c r="F37" s="152" t="s">
        <v>436</v>
      </c>
    </row>
    <row r="38" ht="45" customHeight="1" spans="1:6">
      <c r="A38" s="151" t="s">
        <v>568</v>
      </c>
      <c r="B38" s="152"/>
      <c r="C38" s="152" t="s">
        <v>434</v>
      </c>
      <c r="D38" s="152"/>
      <c r="E38" s="151" t="s">
        <v>4256</v>
      </c>
      <c r="F38" s="152" t="s">
        <v>436</v>
      </c>
    </row>
    <row r="39" ht="60" customHeight="1" spans="1:6">
      <c r="A39" s="151" t="s">
        <v>570</v>
      </c>
      <c r="B39" s="152" t="s">
        <v>434</v>
      </c>
      <c r="C39" s="152"/>
      <c r="D39" s="152"/>
      <c r="E39" s="151" t="s">
        <v>4257</v>
      </c>
      <c r="F39" s="152" t="s">
        <v>436</v>
      </c>
    </row>
    <row r="40" ht="150" customHeight="1" spans="1:6">
      <c r="A40" s="151" t="s">
        <v>572</v>
      </c>
      <c r="B40" s="152"/>
      <c r="C40" s="152" t="s">
        <v>434</v>
      </c>
      <c r="D40" s="152"/>
      <c r="E40" s="151" t="s">
        <v>4258</v>
      </c>
      <c r="F40" s="152" t="s">
        <v>436</v>
      </c>
    </row>
    <row r="41" ht="90" customHeight="1" spans="1:6">
      <c r="A41" s="151" t="s">
        <v>574</v>
      </c>
      <c r="B41" s="152" t="s">
        <v>434</v>
      </c>
      <c r="C41" s="152"/>
      <c r="D41" s="152"/>
      <c r="E41" s="151" t="s">
        <v>4259</v>
      </c>
      <c r="F41" s="152" t="s">
        <v>7</v>
      </c>
    </row>
    <row r="42" ht="45" customHeight="1" spans="1:6">
      <c r="A42" s="151" t="s">
        <v>576</v>
      </c>
      <c r="B42" s="152" t="s">
        <v>434</v>
      </c>
      <c r="C42" s="152"/>
      <c r="D42" s="152"/>
      <c r="E42" s="151" t="s">
        <v>4260</v>
      </c>
      <c r="F42" s="152" t="s">
        <v>7</v>
      </c>
    </row>
    <row r="43" ht="60" customHeight="1" spans="1:6">
      <c r="A43" s="151" t="s">
        <v>578</v>
      </c>
      <c r="B43" s="152" t="s">
        <v>434</v>
      </c>
      <c r="C43" s="152"/>
      <c r="D43" s="152"/>
      <c r="E43" s="151" t="s">
        <v>4261</v>
      </c>
      <c r="F43" s="152" t="s">
        <v>7</v>
      </c>
    </row>
    <row r="44" ht="45" customHeight="1" spans="1:6">
      <c r="A44" s="151" t="s">
        <v>580</v>
      </c>
      <c r="B44" s="152"/>
      <c r="C44" s="152" t="s">
        <v>434</v>
      </c>
      <c r="D44" s="152"/>
      <c r="E44" s="151" t="s">
        <v>4262</v>
      </c>
      <c r="F44" s="152" t="s">
        <v>436</v>
      </c>
    </row>
    <row r="45" ht="60" customHeight="1" spans="1:6">
      <c r="A45" s="151" t="s">
        <v>582</v>
      </c>
      <c r="B45" s="152" t="s">
        <v>434</v>
      </c>
      <c r="C45" s="152"/>
      <c r="D45" s="152"/>
      <c r="E45" s="151" t="s">
        <v>4263</v>
      </c>
      <c r="F45" s="152" t="s">
        <v>7</v>
      </c>
    </row>
    <row r="46" ht="60" customHeight="1" spans="1:6">
      <c r="A46" s="151" t="s">
        <v>584</v>
      </c>
      <c r="B46" s="152"/>
      <c r="C46" s="152" t="s">
        <v>434</v>
      </c>
      <c r="D46" s="152"/>
      <c r="E46" s="151" t="s">
        <v>4264</v>
      </c>
      <c r="F46" s="152" t="s">
        <v>7</v>
      </c>
    </row>
    <row r="47" spans="1:6">
      <c r="A47" s="153" t="s">
        <v>586</v>
      </c>
      <c r="B47" s="149"/>
      <c r="C47" s="149"/>
      <c r="D47" s="149"/>
      <c r="E47" s="149"/>
      <c r="F47" s="149"/>
    </row>
    <row r="48" ht="30" customHeight="1" spans="1:6">
      <c r="A48" s="151" t="s">
        <v>962</v>
      </c>
      <c r="B48" s="152"/>
      <c r="C48" s="152" t="s">
        <v>434</v>
      </c>
      <c r="D48" s="152"/>
      <c r="E48" s="151" t="s">
        <v>4265</v>
      </c>
      <c r="F48" s="152" t="s">
        <v>436</v>
      </c>
    </row>
    <row r="49" ht="75" customHeight="1" spans="1:6">
      <c r="A49" s="151" t="s">
        <v>589</v>
      </c>
      <c r="B49" s="152"/>
      <c r="C49" s="152" t="s">
        <v>434</v>
      </c>
      <c r="D49" s="152"/>
      <c r="E49" s="151" t="s">
        <v>4266</v>
      </c>
      <c r="F49" s="152" t="s">
        <v>436</v>
      </c>
    </row>
    <row r="50" ht="45" customHeight="1" spans="1:6">
      <c r="A50" s="151" t="s">
        <v>591</v>
      </c>
      <c r="B50" s="152"/>
      <c r="C50" s="152" t="s">
        <v>434</v>
      </c>
      <c r="D50" s="152"/>
      <c r="E50" s="151" t="s">
        <v>4267</v>
      </c>
      <c r="F50" s="152" t="s">
        <v>436</v>
      </c>
    </row>
    <row r="51" ht="45" customHeight="1" spans="1:6">
      <c r="A51" s="151" t="s">
        <v>593</v>
      </c>
      <c r="B51" s="152"/>
      <c r="C51" s="152" t="s">
        <v>434</v>
      </c>
      <c r="D51" s="152"/>
      <c r="E51" s="151" t="s">
        <v>4268</v>
      </c>
      <c r="F51" s="152" t="s">
        <v>436</v>
      </c>
    </row>
    <row r="52" ht="75" customHeight="1" spans="1:6">
      <c r="A52" s="151" t="s">
        <v>595</v>
      </c>
      <c r="B52" s="152"/>
      <c r="C52" s="152" t="s">
        <v>434</v>
      </c>
      <c r="D52" s="152"/>
      <c r="E52" s="151" t="s">
        <v>4269</v>
      </c>
      <c r="F52" s="152" t="s">
        <v>7</v>
      </c>
    </row>
    <row r="53" ht="45" customHeight="1" spans="1:6">
      <c r="A53" s="151" t="s">
        <v>597</v>
      </c>
      <c r="B53" s="152"/>
      <c r="C53" s="152" t="s">
        <v>434</v>
      </c>
      <c r="D53" s="152"/>
      <c r="E53" s="151" t="s">
        <v>4270</v>
      </c>
      <c r="F53" s="152" t="s">
        <v>436</v>
      </c>
    </row>
    <row r="54" ht="75" customHeight="1" spans="1:6">
      <c r="A54" s="151" t="s">
        <v>599</v>
      </c>
      <c r="B54" s="152"/>
      <c r="C54" s="152" t="s">
        <v>434</v>
      </c>
      <c r="D54" s="152"/>
      <c r="E54" s="151" t="s">
        <v>4271</v>
      </c>
      <c r="F54" s="152" t="s">
        <v>7</v>
      </c>
    </row>
    <row r="55" ht="75" customHeight="1" spans="1:6">
      <c r="A55" s="151" t="s">
        <v>601</v>
      </c>
      <c r="B55" s="152" t="s">
        <v>434</v>
      </c>
      <c r="C55" s="152"/>
      <c r="D55" s="152"/>
      <c r="E55" s="151" t="s">
        <v>4272</v>
      </c>
      <c r="F55" s="152" t="s">
        <v>7</v>
      </c>
    </row>
    <row r="56" ht="75" customHeight="1" spans="1:6">
      <c r="A56" s="151" t="s">
        <v>603</v>
      </c>
      <c r="B56" s="152"/>
      <c r="C56" s="152" t="s">
        <v>434</v>
      </c>
      <c r="D56" s="152"/>
      <c r="E56" s="151" t="s">
        <v>4273</v>
      </c>
      <c r="F56" s="152" t="s">
        <v>7</v>
      </c>
    </row>
    <row r="57" ht="60" customHeight="1" spans="1:6">
      <c r="A57" s="151" t="s">
        <v>605</v>
      </c>
      <c r="B57" s="152"/>
      <c r="C57" s="152" t="s">
        <v>434</v>
      </c>
      <c r="D57" s="152"/>
      <c r="E57" s="151" t="s">
        <v>4274</v>
      </c>
      <c r="F57" s="152" t="s">
        <v>7</v>
      </c>
    </row>
    <row r="58" ht="75" customHeight="1" spans="1:6">
      <c r="A58" s="151" t="s">
        <v>607</v>
      </c>
      <c r="B58" s="152"/>
      <c r="C58" s="152" t="s">
        <v>434</v>
      </c>
      <c r="D58" s="152"/>
      <c r="E58" s="151" t="s">
        <v>4275</v>
      </c>
      <c r="F58" s="152" t="s">
        <v>7</v>
      </c>
    </row>
    <row r="59" ht="90" customHeight="1" spans="1:6">
      <c r="A59" s="151" t="s">
        <v>609</v>
      </c>
      <c r="B59" s="152" t="s">
        <v>434</v>
      </c>
      <c r="C59" s="152"/>
      <c r="D59" s="152"/>
      <c r="E59" s="151" t="s">
        <v>4276</v>
      </c>
      <c r="F59" s="152" t="s">
        <v>7</v>
      </c>
    </row>
    <row r="60" spans="1:6">
      <c r="A60" s="153" t="s">
        <v>611</v>
      </c>
      <c r="B60" s="149"/>
      <c r="C60" s="149"/>
      <c r="D60" s="149"/>
      <c r="E60" s="149"/>
      <c r="F60" s="149"/>
    </row>
    <row r="61" ht="60" customHeight="1" spans="1:6">
      <c r="A61" s="151" t="s">
        <v>612</v>
      </c>
      <c r="B61" s="152" t="s">
        <v>434</v>
      </c>
      <c r="C61" s="152"/>
      <c r="D61" s="152"/>
      <c r="E61" s="151" t="s">
        <v>4277</v>
      </c>
      <c r="F61" s="152" t="s">
        <v>436</v>
      </c>
    </row>
    <row r="62" ht="60" customHeight="1" spans="1:6">
      <c r="A62" s="151" t="s">
        <v>614</v>
      </c>
      <c r="B62" s="152" t="s">
        <v>434</v>
      </c>
      <c r="C62" s="152"/>
      <c r="D62" s="152"/>
      <c r="E62" s="151" t="s">
        <v>4278</v>
      </c>
      <c r="F62" s="152" t="s">
        <v>436</v>
      </c>
    </row>
    <row r="63" ht="60" customHeight="1" spans="1:6">
      <c r="A63" s="151" t="s">
        <v>616</v>
      </c>
      <c r="B63" s="152" t="s">
        <v>434</v>
      </c>
      <c r="C63" s="152"/>
      <c r="D63" s="152"/>
      <c r="E63" s="151" t="s">
        <v>4279</v>
      </c>
      <c r="F63" s="152" t="s">
        <v>7</v>
      </c>
    </row>
    <row r="64" ht="75" customHeight="1" spans="1:6">
      <c r="A64" s="151" t="s">
        <v>978</v>
      </c>
      <c r="B64" s="152" t="s">
        <v>434</v>
      </c>
      <c r="C64" s="152"/>
      <c r="D64" s="152"/>
      <c r="E64" s="151" t="s">
        <v>4280</v>
      </c>
      <c r="F64" s="152" t="s">
        <v>436</v>
      </c>
    </row>
    <row r="65" ht="75" customHeight="1" spans="1:6">
      <c r="A65" s="151" t="s">
        <v>620</v>
      </c>
      <c r="B65" s="152"/>
      <c r="C65" s="152" t="s">
        <v>434</v>
      </c>
      <c r="D65" s="152"/>
      <c r="E65" s="151" t="s">
        <v>4281</v>
      </c>
      <c r="F65" s="152" t="s">
        <v>7</v>
      </c>
    </row>
    <row r="66" ht="45" customHeight="1" spans="1:6">
      <c r="A66" s="151" t="s">
        <v>622</v>
      </c>
      <c r="B66" s="152" t="s">
        <v>434</v>
      </c>
      <c r="C66" s="152"/>
      <c r="D66" s="152"/>
      <c r="E66" s="151" t="s">
        <v>4282</v>
      </c>
      <c r="F66" s="152" t="s">
        <v>7</v>
      </c>
    </row>
    <row r="67" ht="25.5" spans="1:6">
      <c r="A67" s="153" t="s">
        <v>624</v>
      </c>
      <c r="B67" s="149"/>
      <c r="C67" s="149"/>
      <c r="D67" s="149"/>
      <c r="E67" s="149"/>
      <c r="F67" s="149"/>
    </row>
    <row r="68" ht="45" customHeight="1" spans="1:6">
      <c r="A68" s="151" t="s">
        <v>625</v>
      </c>
      <c r="B68" s="152" t="s">
        <v>434</v>
      </c>
      <c r="C68" s="152"/>
      <c r="D68" s="152"/>
      <c r="E68" s="151" t="s">
        <v>4283</v>
      </c>
      <c r="F68" s="152" t="s">
        <v>436</v>
      </c>
    </row>
    <row r="69" ht="75" customHeight="1" spans="1:6">
      <c r="A69" s="151" t="s">
        <v>627</v>
      </c>
      <c r="B69" s="152" t="s">
        <v>434</v>
      </c>
      <c r="C69" s="152"/>
      <c r="D69" s="152"/>
      <c r="E69" s="151" t="s">
        <v>4284</v>
      </c>
      <c r="F69" s="152" t="s">
        <v>7</v>
      </c>
    </row>
    <row r="70" ht="30" customHeight="1" spans="1:6">
      <c r="A70" s="151" t="s">
        <v>629</v>
      </c>
      <c r="B70" s="152"/>
      <c r="C70" s="152" t="s">
        <v>434</v>
      </c>
      <c r="D70" s="152"/>
      <c r="E70" s="151" t="s">
        <v>4285</v>
      </c>
      <c r="F70" s="152" t="s">
        <v>7</v>
      </c>
    </row>
    <row r="71" ht="30" customHeight="1" spans="1:6">
      <c r="A71" s="151" t="s">
        <v>631</v>
      </c>
      <c r="B71" s="152"/>
      <c r="C71" s="152" t="s">
        <v>434</v>
      </c>
      <c r="D71" s="152"/>
      <c r="E71" s="151" t="s">
        <v>4286</v>
      </c>
      <c r="F71" s="152" t="s">
        <v>7</v>
      </c>
    </row>
    <row r="72" ht="45" customHeight="1" spans="1:6">
      <c r="A72" s="151" t="s">
        <v>633</v>
      </c>
      <c r="B72" s="152"/>
      <c r="C72" s="152" t="s">
        <v>434</v>
      </c>
      <c r="D72" s="152"/>
      <c r="E72" s="151" t="s">
        <v>4287</v>
      </c>
      <c r="F72" s="152" t="s">
        <v>7</v>
      </c>
    </row>
    <row r="73" ht="30" customHeight="1" spans="1:6">
      <c r="A73" s="151" t="s">
        <v>635</v>
      </c>
      <c r="B73" s="152"/>
      <c r="C73" s="152" t="s">
        <v>434</v>
      </c>
      <c r="D73" s="152"/>
      <c r="E73" s="151" t="s">
        <v>4288</v>
      </c>
      <c r="F73" s="152" t="s">
        <v>7</v>
      </c>
    </row>
    <row r="74" ht="30" customHeight="1" spans="1:6">
      <c r="A74" s="151" t="s">
        <v>637</v>
      </c>
      <c r="B74" s="152"/>
      <c r="C74" s="152" t="s">
        <v>434</v>
      </c>
      <c r="D74" s="152"/>
      <c r="E74" s="151" t="s">
        <v>4289</v>
      </c>
      <c r="F74" s="152" t="s">
        <v>436</v>
      </c>
    </row>
    <row r="75" ht="45" customHeight="1" spans="1:6">
      <c r="A75" s="151" t="s">
        <v>639</v>
      </c>
      <c r="B75" s="152"/>
      <c r="C75" s="152" t="s">
        <v>434</v>
      </c>
      <c r="D75" s="152"/>
      <c r="E75" s="151" t="s">
        <v>4290</v>
      </c>
      <c r="F75" s="152" t="s">
        <v>7</v>
      </c>
    </row>
    <row r="76" ht="45" customHeight="1" spans="1:6">
      <c r="A76" s="151" t="s">
        <v>641</v>
      </c>
      <c r="B76" s="152" t="s">
        <v>434</v>
      </c>
      <c r="C76" s="152"/>
      <c r="D76" s="152"/>
      <c r="E76" s="151" t="s">
        <v>4291</v>
      </c>
      <c r="F76" s="152" t="s">
        <v>436</v>
      </c>
    </row>
    <row r="77" ht="45" customHeight="1" spans="1:6">
      <c r="A77" s="151" t="s">
        <v>643</v>
      </c>
      <c r="B77" s="152" t="s">
        <v>434</v>
      </c>
      <c r="C77" s="152"/>
      <c r="D77" s="152"/>
      <c r="E77" s="151" t="s">
        <v>4292</v>
      </c>
      <c r="F77" s="152" t="s">
        <v>7</v>
      </c>
    </row>
    <row r="78" ht="45" customHeight="1" spans="1:6">
      <c r="A78" s="151" t="s">
        <v>645</v>
      </c>
      <c r="B78" s="152" t="s">
        <v>434</v>
      </c>
      <c r="C78" s="152"/>
      <c r="D78" s="152"/>
      <c r="E78" s="151" t="s">
        <v>4293</v>
      </c>
      <c r="F78" s="152" t="s">
        <v>436</v>
      </c>
    </row>
    <row r="79" customHeight="1" spans="1:6">
      <c r="A79" s="151" t="s">
        <v>647</v>
      </c>
      <c r="B79" s="152"/>
      <c r="C79" s="152"/>
      <c r="D79" s="152" t="s">
        <v>434</v>
      </c>
      <c r="E79" s="151" t="s">
        <v>4294</v>
      </c>
      <c r="F79" s="152" t="s">
        <v>7</v>
      </c>
    </row>
    <row r="80" ht="30" customHeight="1" spans="1:6">
      <c r="A80" s="151" t="s">
        <v>649</v>
      </c>
      <c r="B80" s="152" t="s">
        <v>434</v>
      </c>
      <c r="C80" s="152"/>
      <c r="D80" s="152"/>
      <c r="E80" s="151" t="s">
        <v>4295</v>
      </c>
      <c r="F80" s="152" t="s">
        <v>7</v>
      </c>
    </row>
    <row r="81" ht="60" customHeight="1" spans="1:6">
      <c r="A81" s="151" t="s">
        <v>650</v>
      </c>
      <c r="B81" s="152" t="s">
        <v>434</v>
      </c>
      <c r="C81" s="152"/>
      <c r="D81" s="152"/>
      <c r="E81" s="151" t="s">
        <v>4296</v>
      </c>
      <c r="F81" s="152" t="s">
        <v>436</v>
      </c>
    </row>
    <row r="82" ht="105" customHeight="1" spans="1:6">
      <c r="A82" s="151" t="s">
        <v>652</v>
      </c>
      <c r="B82" s="152" t="s">
        <v>434</v>
      </c>
      <c r="C82" s="152"/>
      <c r="D82" s="152"/>
      <c r="E82" s="151" t="s">
        <v>4297</v>
      </c>
      <c r="F82" s="152" t="s">
        <v>436</v>
      </c>
    </row>
    <row r="83" ht="45" customHeight="1" spans="1:6">
      <c r="A83" s="151" t="s">
        <v>654</v>
      </c>
      <c r="B83" s="152" t="s">
        <v>434</v>
      </c>
      <c r="C83" s="152"/>
      <c r="D83" s="152"/>
      <c r="E83" s="151" t="s">
        <v>4298</v>
      </c>
      <c r="F83" s="152" t="s">
        <v>7</v>
      </c>
    </row>
    <row r="84" ht="30" customHeight="1" spans="1:6">
      <c r="A84" s="151" t="s">
        <v>656</v>
      </c>
      <c r="B84" s="152"/>
      <c r="C84" s="152" t="s">
        <v>434</v>
      </c>
      <c r="D84" s="152"/>
      <c r="E84" s="151" t="s">
        <v>4299</v>
      </c>
      <c r="F84" s="152" t="s">
        <v>7</v>
      </c>
    </row>
    <row r="85" ht="30" customHeight="1" spans="1:6">
      <c r="A85" s="151" t="s">
        <v>658</v>
      </c>
      <c r="B85" s="152" t="s">
        <v>434</v>
      </c>
      <c r="C85" s="152"/>
      <c r="D85" s="152"/>
      <c r="E85" s="151" t="s">
        <v>4300</v>
      </c>
      <c r="F85" s="152" t="s">
        <v>7</v>
      </c>
    </row>
    <row r="86" ht="60" customHeight="1" spans="1:6">
      <c r="A86" s="151" t="s">
        <v>660</v>
      </c>
      <c r="B86" s="152"/>
      <c r="C86" s="152" t="s">
        <v>434</v>
      </c>
      <c r="D86" s="152"/>
      <c r="E86" s="151" t="s">
        <v>4301</v>
      </c>
      <c r="F86" s="152" t="s">
        <v>436</v>
      </c>
    </row>
    <row r="87" ht="45" customHeight="1" spans="1:6">
      <c r="A87" s="151" t="s">
        <v>662</v>
      </c>
      <c r="B87" s="152"/>
      <c r="C87" s="152" t="s">
        <v>434</v>
      </c>
      <c r="D87" s="152"/>
      <c r="E87" s="151" t="s">
        <v>4302</v>
      </c>
      <c r="F87" s="152" t="s">
        <v>7</v>
      </c>
    </row>
    <row r="88" customHeight="1" spans="1:6">
      <c r="A88" s="151" t="s">
        <v>660</v>
      </c>
      <c r="B88" s="152"/>
      <c r="C88" s="152"/>
      <c r="D88" s="152" t="s">
        <v>434</v>
      </c>
      <c r="E88" s="151" t="s">
        <v>4303</v>
      </c>
      <c r="F88" s="152" t="s">
        <v>436</v>
      </c>
    </row>
    <row r="89" ht="45" customHeight="1" spans="1:6">
      <c r="A89" s="151" t="s">
        <v>665</v>
      </c>
      <c r="B89" s="152" t="s">
        <v>434</v>
      </c>
      <c r="C89" s="152"/>
      <c r="D89" s="152"/>
      <c r="E89" s="151" t="s">
        <v>4304</v>
      </c>
      <c r="F89" s="152" t="s">
        <v>7</v>
      </c>
    </row>
    <row r="90" ht="45" customHeight="1" spans="1:6">
      <c r="A90" s="151" t="s">
        <v>660</v>
      </c>
      <c r="B90" s="152"/>
      <c r="C90" s="152" t="s">
        <v>434</v>
      </c>
      <c r="D90" s="152"/>
      <c r="E90" s="151" t="s">
        <v>4305</v>
      </c>
      <c r="F90" s="152" t="s">
        <v>436</v>
      </c>
    </row>
    <row r="91" spans="1:6">
      <c r="A91" s="149" t="s">
        <v>519</v>
      </c>
      <c r="B91" s="150">
        <f>COUNTIF(B14:B90,"x")</f>
        <v>27</v>
      </c>
      <c r="C91" s="150">
        <f>COUNTIF(C14:C90,"x")</f>
        <v>36</v>
      </c>
      <c r="D91" s="150">
        <f>COUNTIF(D14:D90,"x")</f>
        <v>8</v>
      </c>
    </row>
    <row r="93" spans="1:6">
      <c r="A93" s="149" t="s">
        <v>1004</v>
      </c>
      <c r="B93" s="154"/>
      <c r="C93" s="154"/>
      <c r="D93" s="154"/>
      <c r="E93" s="154"/>
      <c r="F93" s="155"/>
    </row>
    <row r="94" ht="60" customHeight="1" spans="1:6">
      <c r="A94" s="151" t="s">
        <v>4306</v>
      </c>
      <c r="B94" s="156"/>
      <c r="C94" s="156"/>
      <c r="D94" s="156"/>
      <c r="E94" s="156"/>
      <c r="F94" s="157"/>
    </row>
    <row r="95" spans="1:6">
      <c r="A95" s="149" t="s">
        <v>522</v>
      </c>
      <c r="B95" s="154"/>
      <c r="C95" s="154"/>
      <c r="D95" s="154"/>
      <c r="E95" s="154"/>
      <c r="F95" s="155"/>
    </row>
    <row r="96" ht="135" customHeight="1" spans="1:6">
      <c r="A96" s="151" t="s">
        <v>4307</v>
      </c>
      <c r="B96" s="156"/>
      <c r="C96" s="156"/>
      <c r="D96" s="156"/>
      <c r="E96" s="156"/>
      <c r="F96" s="157"/>
    </row>
    <row r="97" spans="1:6">
      <c r="A97" s="158" t="s">
        <v>524</v>
      </c>
      <c r="B97" s="156"/>
      <c r="C97" s="156"/>
      <c r="D97" s="156"/>
      <c r="E97" s="156"/>
      <c r="F97" s="157"/>
    </row>
    <row r="98" spans="1:6">
      <c r="A98" s="158" t="s">
        <v>525</v>
      </c>
      <c r="B98" s="156"/>
      <c r="C98" s="156"/>
      <c r="D98" s="156"/>
      <c r="E98" s="156"/>
      <c r="F98" s="157"/>
    </row>
    <row r="99" spans="1:6">
      <c r="A99" s="158" t="s">
        <v>526</v>
      </c>
      <c r="B99" s="156"/>
      <c r="C99" s="156"/>
      <c r="D99" s="156"/>
      <c r="E99" s="156"/>
      <c r="F99" s="157"/>
    </row>
  </sheetData>
  <mergeCells count="17">
    <mergeCell ref="A1:F1"/>
    <mergeCell ref="B3:F3"/>
    <mergeCell ref="B4:F4"/>
    <mergeCell ref="B5:F5"/>
    <mergeCell ref="B6:F6"/>
    <mergeCell ref="B7:F7"/>
    <mergeCell ref="B8:F8"/>
    <mergeCell ref="B9:F9"/>
    <mergeCell ref="B10:F10"/>
    <mergeCell ref="B11:F11"/>
    <mergeCell ref="A93:F93"/>
    <mergeCell ref="A94:F94"/>
    <mergeCell ref="A95:F95"/>
    <mergeCell ref="A96:F96"/>
    <mergeCell ref="A97:F97"/>
    <mergeCell ref="A98:F98"/>
    <mergeCell ref="A99:F99"/>
  </mergeCell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9"/>
  <sheetViews>
    <sheetView workbookViewId="0">
      <pane xSplit="1" ySplit="12" topLeftCell="B13" activePane="bottomRight" state="frozen"/>
      <selection/>
      <selection pane="topRight"/>
      <selection pane="bottomLeft"/>
      <selection pane="bottomRight" activeCell="A1" sqref="A1:F1"/>
    </sheetView>
  </sheetViews>
  <sheetFormatPr defaultColWidth="9" defaultRowHeight="15" outlineLevelCol="5"/>
  <cols>
    <col min="1" max="1" width="64.2857142857143" customWidth="1"/>
    <col min="2" max="2" width="7.42857142857143" customWidth="1"/>
    <col min="3" max="3" width="6.71428571428571" customWidth="1"/>
    <col min="4" max="4" width="4" customWidth="1"/>
    <col min="5" max="5" width="53.8571428571429" customWidth="1"/>
    <col min="6" max="6" width="9.14285714285714" customWidth="1"/>
  </cols>
  <sheetData>
    <row r="1" ht="24" customHeight="1" spans="1:6">
      <c r="A1" s="128" t="s">
        <v>1007</v>
      </c>
      <c r="B1" s="129"/>
      <c r="C1" s="129"/>
      <c r="D1" s="129"/>
      <c r="E1" s="129"/>
      <c r="F1" s="130"/>
    </row>
    <row r="3" customHeight="1" spans="1:6">
      <c r="A3" s="131" t="s">
        <v>1008</v>
      </c>
      <c r="B3" s="132" t="s">
        <v>227</v>
      </c>
      <c r="C3" s="133"/>
      <c r="D3" s="133"/>
      <c r="E3" s="133"/>
      <c r="F3" s="134"/>
    </row>
    <row r="4" ht="30" customHeight="1" spans="1:6">
      <c r="A4" s="131" t="s">
        <v>1009</v>
      </c>
      <c r="B4" s="135" t="s">
        <v>4308</v>
      </c>
      <c r="C4" s="133"/>
      <c r="D4" s="133"/>
      <c r="E4" s="133"/>
      <c r="F4" s="134"/>
    </row>
    <row r="5" customHeight="1" spans="1:6">
      <c r="A5" s="131" t="s">
        <v>1011</v>
      </c>
      <c r="B5" s="132" t="s">
        <v>231</v>
      </c>
      <c r="C5" s="133"/>
      <c r="D5" s="133"/>
      <c r="E5" s="133"/>
      <c r="F5" s="134"/>
    </row>
    <row r="6" customHeight="1" spans="1:6">
      <c r="A6" s="131" t="s">
        <v>1012</v>
      </c>
      <c r="B6" s="132" t="s">
        <v>60</v>
      </c>
      <c r="C6" s="133"/>
      <c r="D6" s="133"/>
      <c r="E6" s="133"/>
      <c r="F6" s="134"/>
    </row>
    <row r="7" customHeight="1" spans="1:6">
      <c r="A7" s="131" t="s">
        <v>1013</v>
      </c>
      <c r="B7" s="132" t="s">
        <v>7</v>
      </c>
      <c r="C7" s="133"/>
      <c r="D7" s="133"/>
      <c r="E7" s="133"/>
      <c r="F7" s="134"/>
    </row>
    <row r="8" customHeight="1" spans="1:6">
      <c r="A8" s="131" t="s">
        <v>1014</v>
      </c>
      <c r="B8" s="132" t="s">
        <v>233</v>
      </c>
      <c r="C8" s="133"/>
      <c r="D8" s="133"/>
      <c r="E8" s="133"/>
      <c r="F8" s="134"/>
    </row>
    <row r="9" ht="90" customHeight="1" spans="1:6">
      <c r="A9" s="131" t="s">
        <v>1015</v>
      </c>
      <c r="B9" s="135" t="s">
        <v>4309</v>
      </c>
      <c r="C9" s="133"/>
      <c r="D9" s="133"/>
      <c r="E9" s="133"/>
      <c r="F9" s="134"/>
    </row>
    <row r="10" customHeight="1" spans="1:6">
      <c r="A10" s="131" t="s">
        <v>1017</v>
      </c>
      <c r="B10" s="132" t="s">
        <v>103</v>
      </c>
      <c r="C10" s="133"/>
      <c r="D10" s="133"/>
      <c r="E10" s="133"/>
      <c r="F10" s="134"/>
    </row>
    <row r="12" spans="1:6">
      <c r="A12" s="136" t="s">
        <v>426</v>
      </c>
      <c r="B12" s="137" t="s">
        <v>427</v>
      </c>
      <c r="C12" s="137" t="s">
        <v>428</v>
      </c>
      <c r="D12" s="137" t="s">
        <v>429</v>
      </c>
      <c r="E12" s="137" t="s">
        <v>430</v>
      </c>
    </row>
    <row r="13" spans="1:6">
      <c r="A13" s="136" t="s">
        <v>1018</v>
      </c>
      <c r="B13" s="136"/>
      <c r="C13" s="136"/>
      <c r="D13" s="136"/>
      <c r="E13" s="136"/>
    </row>
    <row r="14" ht="75" customHeight="1" spans="1:6">
      <c r="A14" s="138" t="s">
        <v>1019</v>
      </c>
      <c r="B14" s="139" t="s">
        <v>434</v>
      </c>
      <c r="C14" s="139"/>
      <c r="D14" s="139"/>
      <c r="E14" s="138" t="s">
        <v>4310</v>
      </c>
    </row>
    <row r="15" spans="1:6">
      <c r="A15" s="136" t="s">
        <v>1021</v>
      </c>
      <c r="B15" s="136"/>
      <c r="C15" s="136"/>
      <c r="D15" s="136"/>
      <c r="E15" s="136"/>
    </row>
    <row r="16" ht="60" customHeight="1" spans="1:6">
      <c r="A16" s="138" t="s">
        <v>1022</v>
      </c>
      <c r="B16" s="139"/>
      <c r="C16" s="139" t="s">
        <v>434</v>
      </c>
      <c r="D16" s="139"/>
      <c r="E16" s="138" t="s">
        <v>4311</v>
      </c>
    </row>
    <row r="17" ht="60" customHeight="1" spans="1:5">
      <c r="A17" s="138" t="s">
        <v>1024</v>
      </c>
      <c r="B17" s="139" t="s">
        <v>434</v>
      </c>
      <c r="C17" s="139"/>
      <c r="D17" s="139"/>
      <c r="E17" s="138" t="s">
        <v>4312</v>
      </c>
    </row>
    <row r="18" ht="45" customHeight="1" spans="1:5">
      <c r="A18" s="138" t="s">
        <v>1026</v>
      </c>
      <c r="B18" s="139" t="s">
        <v>434</v>
      </c>
      <c r="C18" s="139"/>
      <c r="D18" s="139"/>
      <c r="E18" s="138" t="s">
        <v>4313</v>
      </c>
    </row>
    <row r="19" ht="30" customHeight="1" spans="1:5">
      <c r="A19" s="138" t="s">
        <v>1028</v>
      </c>
      <c r="B19" s="139" t="s">
        <v>434</v>
      </c>
      <c r="C19" s="139"/>
      <c r="D19" s="139"/>
      <c r="E19" s="138" t="s">
        <v>4314</v>
      </c>
    </row>
    <row r="20" ht="45" customHeight="1" spans="1:5">
      <c r="A20" s="138" t="s">
        <v>1030</v>
      </c>
      <c r="B20" s="139"/>
      <c r="C20" s="139" t="s">
        <v>434</v>
      </c>
      <c r="D20" s="139"/>
      <c r="E20" s="138" t="s">
        <v>4315</v>
      </c>
    </row>
    <row r="21" ht="75" customHeight="1" spans="1:5">
      <c r="A21" s="138" t="s">
        <v>1032</v>
      </c>
      <c r="B21" s="139"/>
      <c r="C21" s="139" t="s">
        <v>434</v>
      </c>
      <c r="D21" s="139"/>
      <c r="E21" s="138" t="s">
        <v>4316</v>
      </c>
    </row>
    <row r="22" ht="75" customHeight="1" spans="1:5">
      <c r="A22" s="138" t="s">
        <v>1034</v>
      </c>
      <c r="B22" s="139" t="s">
        <v>434</v>
      </c>
      <c r="C22" s="139"/>
      <c r="D22" s="139"/>
      <c r="E22" s="138" t="s">
        <v>4317</v>
      </c>
    </row>
    <row r="23" ht="60" customHeight="1" spans="1:5">
      <c r="A23" s="138" t="s">
        <v>1036</v>
      </c>
      <c r="B23" s="139"/>
      <c r="C23" s="139" t="s">
        <v>434</v>
      </c>
      <c r="D23" s="139"/>
      <c r="E23" s="138" t="s">
        <v>4318</v>
      </c>
    </row>
    <row r="24" ht="75" customHeight="1" spans="1:5">
      <c r="A24" s="138" t="s">
        <v>1038</v>
      </c>
      <c r="B24" s="139" t="s">
        <v>434</v>
      </c>
      <c r="C24" s="139"/>
      <c r="D24" s="139"/>
      <c r="E24" s="138" t="s">
        <v>4319</v>
      </c>
    </row>
    <row r="25" ht="30" customHeight="1" spans="1:5">
      <c r="A25" s="138" t="s">
        <v>1040</v>
      </c>
      <c r="B25" s="139"/>
      <c r="C25" s="139"/>
      <c r="D25" s="139" t="s">
        <v>434</v>
      </c>
      <c r="E25" s="138" t="s">
        <v>4320</v>
      </c>
    </row>
    <row r="26" ht="75" customHeight="1" spans="1:5">
      <c r="A26" s="138" t="s">
        <v>1042</v>
      </c>
      <c r="B26" s="139"/>
      <c r="C26" s="139" t="s">
        <v>434</v>
      </c>
      <c r="D26" s="139"/>
      <c r="E26" s="138" t="s">
        <v>4321</v>
      </c>
    </row>
    <row r="27" ht="75" customHeight="1" spans="1:5">
      <c r="A27" s="138" t="s">
        <v>1044</v>
      </c>
      <c r="B27" s="139" t="s">
        <v>434</v>
      </c>
      <c r="C27" s="139"/>
      <c r="D27" s="139"/>
      <c r="E27" s="138" t="s">
        <v>4322</v>
      </c>
    </row>
    <row r="28" ht="75" customHeight="1" spans="1:5">
      <c r="A28" s="138" t="s">
        <v>1046</v>
      </c>
      <c r="B28" s="139" t="s">
        <v>434</v>
      </c>
      <c r="C28" s="139"/>
      <c r="D28" s="139"/>
      <c r="E28" s="138" t="s">
        <v>4323</v>
      </c>
    </row>
    <row r="29" ht="60" customHeight="1" spans="1:5">
      <c r="A29" s="138" t="s">
        <v>1048</v>
      </c>
      <c r="B29" s="139" t="s">
        <v>434</v>
      </c>
      <c r="C29" s="139"/>
      <c r="D29" s="139"/>
      <c r="E29" s="138" t="s">
        <v>4324</v>
      </c>
    </row>
    <row r="30" spans="1:5">
      <c r="A30" s="136" t="s">
        <v>1050</v>
      </c>
      <c r="B30" s="136"/>
      <c r="C30" s="136"/>
      <c r="D30" s="136"/>
      <c r="E30" s="136"/>
    </row>
    <row r="31" ht="60" customHeight="1" spans="1:5">
      <c r="A31" s="138" t="s">
        <v>1051</v>
      </c>
      <c r="B31" s="139" t="s">
        <v>434</v>
      </c>
      <c r="C31" s="139"/>
      <c r="D31" s="139"/>
      <c r="E31" s="138" t="s">
        <v>4325</v>
      </c>
    </row>
    <row r="32" ht="90" customHeight="1" spans="1:5">
      <c r="A32" s="138" t="s">
        <v>1053</v>
      </c>
      <c r="B32" s="139" t="s">
        <v>434</v>
      </c>
      <c r="C32" s="139"/>
      <c r="D32" s="139"/>
      <c r="E32" s="138" t="s">
        <v>4326</v>
      </c>
    </row>
    <row r="33" ht="90" customHeight="1" spans="1:5">
      <c r="A33" s="138" t="s">
        <v>1055</v>
      </c>
      <c r="B33" s="139"/>
      <c r="C33" s="139" t="s">
        <v>434</v>
      </c>
      <c r="D33" s="139"/>
      <c r="E33" s="138" t="s">
        <v>4327</v>
      </c>
    </row>
    <row r="34" spans="1:5">
      <c r="A34" s="136" t="s">
        <v>1057</v>
      </c>
      <c r="B34" s="136"/>
      <c r="C34" s="136"/>
      <c r="D34" s="136"/>
      <c r="E34" s="136"/>
    </row>
    <row r="35" ht="60" customHeight="1" spans="1:5">
      <c r="A35" s="138" t="s">
        <v>1058</v>
      </c>
      <c r="B35" s="139" t="s">
        <v>434</v>
      </c>
      <c r="C35" s="139"/>
      <c r="D35" s="139"/>
      <c r="E35" s="138" t="s">
        <v>4328</v>
      </c>
    </row>
    <row r="36" ht="75" customHeight="1" spans="1:5">
      <c r="A36" s="138" t="s">
        <v>1060</v>
      </c>
      <c r="B36" s="139" t="s">
        <v>434</v>
      </c>
      <c r="C36" s="139"/>
      <c r="D36" s="139"/>
      <c r="E36" s="138" t="s">
        <v>4329</v>
      </c>
    </row>
    <row r="37" ht="45" customHeight="1" spans="1:5">
      <c r="A37" s="138" t="s">
        <v>1062</v>
      </c>
      <c r="B37" s="139"/>
      <c r="C37" s="139" t="s">
        <v>434</v>
      </c>
      <c r="D37" s="139"/>
      <c r="E37" s="138" t="s">
        <v>4330</v>
      </c>
    </row>
    <row r="38" spans="1:5">
      <c r="A38" s="136" t="s">
        <v>1064</v>
      </c>
      <c r="B38" s="136"/>
      <c r="C38" s="136"/>
      <c r="D38" s="136"/>
      <c r="E38" s="136"/>
    </row>
    <row r="39" ht="45" customHeight="1" spans="1:5">
      <c r="A39" s="138" t="s">
        <v>1065</v>
      </c>
      <c r="B39" s="139" t="s">
        <v>434</v>
      </c>
      <c r="C39" s="139"/>
      <c r="D39" s="139"/>
      <c r="E39" s="138" t="s">
        <v>4331</v>
      </c>
    </row>
    <row r="40" ht="90" customHeight="1" spans="1:5">
      <c r="A40" s="138" t="s">
        <v>1067</v>
      </c>
      <c r="B40" s="139"/>
      <c r="C40" s="139" t="s">
        <v>434</v>
      </c>
      <c r="D40" s="139"/>
      <c r="E40" s="138" t="s">
        <v>4332</v>
      </c>
    </row>
    <row r="41" ht="75" customHeight="1" spans="1:5">
      <c r="A41" s="138" t="s">
        <v>1069</v>
      </c>
      <c r="B41" s="139" t="s">
        <v>434</v>
      </c>
      <c r="C41" s="139"/>
      <c r="D41" s="139"/>
      <c r="E41" s="138" t="s">
        <v>4333</v>
      </c>
    </row>
    <row r="42" ht="90" customHeight="1" spans="1:5">
      <c r="A42" s="138" t="s">
        <v>1071</v>
      </c>
      <c r="B42" s="139" t="s">
        <v>434</v>
      </c>
      <c r="C42" s="139"/>
      <c r="D42" s="139"/>
      <c r="E42" s="138" t="s">
        <v>4334</v>
      </c>
    </row>
    <row r="43" spans="1:5">
      <c r="A43" s="136" t="s">
        <v>1073</v>
      </c>
      <c r="B43" s="136"/>
      <c r="C43" s="136"/>
      <c r="D43" s="136"/>
      <c r="E43" s="136"/>
    </row>
    <row r="44" ht="45" customHeight="1" spans="1:5">
      <c r="A44" s="138" t="s">
        <v>1074</v>
      </c>
      <c r="B44" s="139" t="s">
        <v>434</v>
      </c>
      <c r="C44" s="139"/>
      <c r="D44" s="139"/>
      <c r="E44" s="138" t="s">
        <v>4335</v>
      </c>
    </row>
    <row r="45" ht="90" customHeight="1" spans="1:5">
      <c r="A45" s="138" t="s">
        <v>1076</v>
      </c>
      <c r="B45" s="139" t="s">
        <v>434</v>
      </c>
      <c r="C45" s="139"/>
      <c r="D45" s="139"/>
      <c r="E45" s="138" t="s">
        <v>4336</v>
      </c>
    </row>
    <row r="46" ht="45" customHeight="1" spans="1:5">
      <c r="A46" s="138" t="s">
        <v>1078</v>
      </c>
      <c r="B46" s="139" t="s">
        <v>434</v>
      </c>
      <c r="C46" s="139"/>
      <c r="D46" s="139"/>
      <c r="E46" s="138" t="s">
        <v>4337</v>
      </c>
    </row>
    <row r="47" spans="1:5">
      <c r="A47" s="136" t="s">
        <v>1080</v>
      </c>
      <c r="B47" s="136"/>
      <c r="C47" s="136"/>
      <c r="D47" s="136"/>
      <c r="E47" s="136"/>
    </row>
    <row r="48" ht="60" customHeight="1" spans="1:5">
      <c r="A48" s="138" t="s">
        <v>1081</v>
      </c>
      <c r="B48" s="139" t="s">
        <v>434</v>
      </c>
      <c r="C48" s="139"/>
      <c r="D48" s="139"/>
      <c r="E48" s="138" t="s">
        <v>4338</v>
      </c>
    </row>
    <row r="49" ht="90" customHeight="1" spans="1:6">
      <c r="A49" s="138" t="s">
        <v>1083</v>
      </c>
      <c r="B49" s="139" t="s">
        <v>434</v>
      </c>
      <c r="C49" s="139"/>
      <c r="D49" s="139"/>
      <c r="E49" s="138" t="s">
        <v>4339</v>
      </c>
    </row>
    <row r="50" ht="45" customHeight="1" spans="1:6">
      <c r="A50" s="138" t="s">
        <v>1085</v>
      </c>
      <c r="B50" s="139"/>
      <c r="C50" s="139" t="s">
        <v>434</v>
      </c>
      <c r="D50" s="139"/>
      <c r="E50" s="138" t="s">
        <v>4340</v>
      </c>
    </row>
    <row r="51" spans="1:6">
      <c r="A51" s="136" t="s">
        <v>1087</v>
      </c>
      <c r="B51" s="136"/>
      <c r="C51" s="136"/>
      <c r="D51" s="136"/>
      <c r="E51" s="136"/>
    </row>
    <row r="52" ht="105" customHeight="1" spans="1:6">
      <c r="A52" s="138" t="s">
        <v>1088</v>
      </c>
      <c r="B52" s="139"/>
      <c r="C52" s="139" t="s">
        <v>434</v>
      </c>
      <c r="D52" s="139"/>
      <c r="E52" s="138" t="s">
        <v>4341</v>
      </c>
    </row>
    <row r="53" ht="45" customHeight="1" spans="1:6">
      <c r="A53" s="138" t="s">
        <v>1090</v>
      </c>
      <c r="B53" s="139"/>
      <c r="C53" s="139"/>
      <c r="D53" s="139" t="s">
        <v>434</v>
      </c>
      <c r="E53" s="138" t="s">
        <v>4342</v>
      </c>
    </row>
    <row r="54" ht="45" customHeight="1" spans="1:6">
      <c r="A54" s="138" t="s">
        <v>1092</v>
      </c>
      <c r="B54" s="139" t="s">
        <v>434</v>
      </c>
      <c r="C54" s="139"/>
      <c r="D54" s="139"/>
      <c r="E54" s="138" t="s">
        <v>4343</v>
      </c>
    </row>
    <row r="55" ht="60" customHeight="1" spans="1:6">
      <c r="A55" s="138" t="s">
        <v>1094</v>
      </c>
      <c r="B55" s="139" t="s">
        <v>434</v>
      </c>
      <c r="C55" s="139"/>
      <c r="D55" s="139"/>
      <c r="E55" s="138" t="s">
        <v>4344</v>
      </c>
    </row>
    <row r="56" ht="75" customHeight="1" spans="1:6">
      <c r="A56" s="138" t="s">
        <v>4345</v>
      </c>
      <c r="B56" s="139"/>
      <c r="C56" s="139" t="s">
        <v>434</v>
      </c>
      <c r="D56" s="139"/>
      <c r="E56" s="138" t="s">
        <v>4346</v>
      </c>
    </row>
    <row r="57" ht="90" customHeight="1" spans="1:6">
      <c r="A57" s="138" t="s">
        <v>4347</v>
      </c>
      <c r="B57" s="139" t="s">
        <v>434</v>
      </c>
      <c r="C57" s="139"/>
      <c r="D57" s="139"/>
      <c r="E57" s="138" t="s">
        <v>4348</v>
      </c>
    </row>
    <row r="58" ht="60" customHeight="1" spans="1:6">
      <c r="A58" s="138" t="s">
        <v>4349</v>
      </c>
      <c r="B58" s="139"/>
      <c r="C58" s="139" t="s">
        <v>434</v>
      </c>
      <c r="D58" s="139"/>
      <c r="E58" s="138" t="s">
        <v>4350</v>
      </c>
    </row>
    <row r="59" ht="60" customHeight="1" spans="1:6">
      <c r="A59" s="138" t="s">
        <v>4351</v>
      </c>
      <c r="B59" s="139"/>
      <c r="C59" s="139" t="s">
        <v>434</v>
      </c>
      <c r="D59" s="139"/>
      <c r="E59" s="138" t="s">
        <v>4352</v>
      </c>
    </row>
    <row r="60" ht="30" customHeight="1" spans="1:6">
      <c r="A60" s="138" t="s">
        <v>4353</v>
      </c>
      <c r="B60" s="139"/>
      <c r="C60" s="139" t="s">
        <v>434</v>
      </c>
      <c r="D60" s="139"/>
      <c r="E60" s="138" t="s">
        <v>4354</v>
      </c>
    </row>
    <row r="61" spans="1:6">
      <c r="A61" s="136" t="s">
        <v>519</v>
      </c>
      <c r="B61" s="137">
        <f>COUNTIF(B13:B60,"x")</f>
        <v>24</v>
      </c>
      <c r="C61" s="137">
        <f>COUNTIF(C13:C60,"x")</f>
        <v>14</v>
      </c>
      <c r="D61" s="137">
        <f>COUNTIF(D13:D60,"x")</f>
        <v>2</v>
      </c>
    </row>
    <row r="63" spans="1:6">
      <c r="A63" s="136" t="s">
        <v>1004</v>
      </c>
      <c r="B63" s="140"/>
      <c r="C63" s="140"/>
      <c r="D63" s="140"/>
      <c r="E63" s="140"/>
      <c r="F63" s="141"/>
    </row>
    <row r="64" ht="120" customHeight="1" spans="1:6">
      <c r="A64" s="138" t="s">
        <v>4355</v>
      </c>
      <c r="B64" s="140"/>
      <c r="C64" s="140"/>
      <c r="D64" s="140"/>
      <c r="E64" s="140"/>
      <c r="F64" s="142"/>
    </row>
    <row r="65" spans="1:6">
      <c r="A65" s="136" t="s">
        <v>522</v>
      </c>
      <c r="B65" s="140"/>
      <c r="C65" s="140"/>
      <c r="D65" s="140"/>
      <c r="E65" s="140"/>
      <c r="F65" s="141"/>
    </row>
    <row r="66" ht="120" customHeight="1" spans="1:6">
      <c r="A66" s="138" t="s">
        <v>4356</v>
      </c>
      <c r="B66" s="140"/>
      <c r="C66" s="140"/>
      <c r="D66" s="140"/>
      <c r="E66" s="140"/>
      <c r="F66" s="142"/>
    </row>
    <row r="67" spans="1:6">
      <c r="A67" s="143" t="s">
        <v>524</v>
      </c>
      <c r="B67" s="140"/>
      <c r="C67" s="140"/>
      <c r="D67" s="140"/>
      <c r="E67" s="140"/>
      <c r="F67" s="142"/>
    </row>
    <row r="68" spans="1:6">
      <c r="A68" s="143" t="s">
        <v>525</v>
      </c>
      <c r="B68" s="140"/>
      <c r="C68" s="140"/>
      <c r="D68" s="140"/>
      <c r="E68" s="140"/>
      <c r="F68" s="142"/>
    </row>
    <row r="69" spans="1:6">
      <c r="A69" s="143" t="s">
        <v>526</v>
      </c>
      <c r="B69" s="140"/>
      <c r="C69" s="140"/>
      <c r="D69" s="140"/>
      <c r="E69" s="140"/>
      <c r="F69" s="142"/>
    </row>
  </sheetData>
  <mergeCells count="16">
    <mergeCell ref="A1:F1"/>
    <mergeCell ref="B3:F3"/>
    <mergeCell ref="B4:F4"/>
    <mergeCell ref="B5:F5"/>
    <mergeCell ref="B6:F6"/>
    <mergeCell ref="B7:F7"/>
    <mergeCell ref="B8:F8"/>
    <mergeCell ref="B9:F9"/>
    <mergeCell ref="B10:F10"/>
    <mergeCell ref="A63:F63"/>
    <mergeCell ref="A64:F64"/>
    <mergeCell ref="A65:F65"/>
    <mergeCell ref="A66:F66"/>
    <mergeCell ref="A67:F67"/>
    <mergeCell ref="A68:F68"/>
    <mergeCell ref="A69:F69"/>
  </mergeCells>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4"/>
  <sheetViews>
    <sheetView workbookViewId="0">
      <selection activeCell="A1" sqref="A1:C1"/>
    </sheetView>
  </sheetViews>
  <sheetFormatPr defaultColWidth="9" defaultRowHeight="15"/>
  <cols>
    <col min="1" max="1" width="18" customWidth="1"/>
    <col min="2" max="2" width="34" customWidth="1"/>
    <col min="3" max="3" width="13" customWidth="1"/>
    <col min="4" max="4" width="26" customWidth="1"/>
    <col min="5" max="6" width="40" customWidth="1"/>
    <col min="7" max="7" width="10" customWidth="1"/>
    <col min="8" max="8" width="9" customWidth="1"/>
    <col min="9" max="9" width="36" customWidth="1"/>
  </cols>
  <sheetData>
    <row r="1" spans="1:14">
      <c r="A1" s="107" t="s">
        <v>1108</v>
      </c>
      <c r="B1" s="16"/>
      <c r="C1" s="17"/>
    </row>
    <row r="2" ht="15.75" spans="1:14">
      <c r="A2" s="108" t="s">
        <v>1109</v>
      </c>
      <c r="B2" s="108" t="s">
        <v>13</v>
      </c>
      <c r="C2" s="108" t="s">
        <v>1110</v>
      </c>
    </row>
    <row r="3" ht="15.75" spans="1:14">
      <c r="A3" s="127" t="s">
        <v>4357</v>
      </c>
      <c r="B3" s="16"/>
      <c r="C3" s="17"/>
    </row>
    <row r="4" ht="105" customHeight="1" spans="1:14">
      <c r="A4" s="110" t="s">
        <v>1112</v>
      </c>
      <c r="B4" s="110" t="s">
        <v>4358</v>
      </c>
      <c r="C4" s="111" t="s">
        <v>4359</v>
      </c>
    </row>
    <row r="5" ht="120" customHeight="1" spans="1:14">
      <c r="A5" s="110" t="s">
        <v>1115</v>
      </c>
      <c r="B5" s="110" t="s">
        <v>4360</v>
      </c>
      <c r="C5" s="111" t="s">
        <v>4361</v>
      </c>
    </row>
    <row r="6" ht="105" customHeight="1" spans="1:14">
      <c r="A6" s="110" t="s">
        <v>1118</v>
      </c>
      <c r="B6" s="110" t="s">
        <v>4362</v>
      </c>
      <c r="C6" s="111" t="s">
        <v>4363</v>
      </c>
    </row>
    <row r="9" ht="15.75" spans="1:14">
      <c r="A9" s="112" t="s">
        <v>1124</v>
      </c>
      <c r="B9" s="16"/>
      <c r="C9" s="16"/>
      <c r="D9" s="16"/>
      <c r="E9" s="16"/>
      <c r="F9" s="16"/>
      <c r="G9" s="16"/>
      <c r="H9" s="16"/>
      <c r="I9" s="16"/>
      <c r="J9" s="16"/>
      <c r="K9" s="16"/>
      <c r="L9" s="16"/>
      <c r="M9" s="16"/>
      <c r="N9" s="17"/>
    </row>
    <row r="10" ht="45" customHeight="1" spans="1:14">
      <c r="A10" s="113" t="s">
        <v>1125</v>
      </c>
      <c r="B10" s="113" t="s">
        <v>1126</v>
      </c>
      <c r="C10" s="113" t="s">
        <v>1127</v>
      </c>
      <c r="D10" s="113" t="s">
        <v>1128</v>
      </c>
      <c r="E10" s="113" t="s">
        <v>1129</v>
      </c>
      <c r="F10" s="113" t="s">
        <v>1130</v>
      </c>
      <c r="G10" s="113" t="s">
        <v>1131</v>
      </c>
      <c r="H10" s="113" t="s">
        <v>1132</v>
      </c>
      <c r="I10" s="113" t="s">
        <v>1133</v>
      </c>
      <c r="J10" s="113" t="s">
        <v>1134</v>
      </c>
      <c r="K10" s="113" t="s">
        <v>1135</v>
      </c>
      <c r="L10" s="113" t="s">
        <v>1136</v>
      </c>
      <c r="M10" s="113" t="s">
        <v>1137</v>
      </c>
      <c r="N10" s="113" t="s">
        <v>1138</v>
      </c>
    </row>
    <row r="11" ht="30" customHeight="1" spans="1:14">
      <c r="A11" s="114" t="s">
        <v>1112</v>
      </c>
      <c r="B11" s="114" t="s">
        <v>4358</v>
      </c>
      <c r="C11" s="115">
        <f>COUNTIF($A$51:$A$74,"UI_PH5_FR01_*")</f>
        <v>6</v>
      </c>
      <c r="D11" s="115">
        <f>COUNTIFS($A$51:$A$74,"UI_PH5_FR01_*",$G$51:$G$74,"Pending")</f>
        <v>0</v>
      </c>
      <c r="E11" s="115">
        <f>COUNTIFS($A$51:$A$74,"UI_PH5_FR01_*",$G$51:$G$74,"Pass")</f>
        <v>6</v>
      </c>
      <c r="F11" s="115">
        <f>COUNTIFS($A$51:$A$74,"UI_PH5_FR01_*",$G$51:$G$74,"Fail")</f>
        <v>0</v>
      </c>
      <c r="G11" s="115">
        <f>SUMIFS($H$51:$H$74,$A$51:$A$74,"UI_PH5_FR01_*")</f>
        <v>0</v>
      </c>
      <c r="H11" s="116">
        <f>IFERROR(E11/C11,0)</f>
        <v>1</v>
      </c>
      <c r="I11" s="115">
        <f>COUNTIFS($A$51:$A$74,"UI_PH5_FR01_*",$C$51:$C$74,"UI/UX")</f>
        <v>2</v>
      </c>
      <c r="J11" s="115">
        <f>COUNTIFS($A$51:$A$74,"UI_PH5_FR01_*",$C$51:$C$74,"Function")</f>
        <v>4</v>
      </c>
      <c r="K11" s="115">
        <f>COUNTIFS($A$51:$A$74,"UI_PH5_FR01_*",$C$51:$C$74,"Negative")</f>
        <v>0</v>
      </c>
      <c r="L11" s="115">
        <f>SUMIFS($H$51:$H$74,$A$51:$A$74,"UI_PH5_FR01_*",$C$51:$C$74,"UI/UX")</f>
        <v>0</v>
      </c>
      <c r="M11" s="115">
        <f>SUMIFS($H$51:$H$74,$A$51:$A$74,"UI_PH5_FR01_*",$C$51:$C$74,"Function")</f>
        <v>0</v>
      </c>
      <c r="N11" s="115">
        <f>SUMIFS($H$51:$H$74,$A$51:$A$74,"UI_PH5_FR01_*",$C$51:$C$74,"Negative")</f>
        <v>0</v>
      </c>
    </row>
    <row r="12" customHeight="1" spans="1:14">
      <c r="A12" s="114" t="s">
        <v>1115</v>
      </c>
      <c r="B12" s="114" t="s">
        <v>4360</v>
      </c>
      <c r="C12" s="115">
        <f>COUNTIF($A$51:$A$74,"UI_PH5_FR02_*")</f>
        <v>7</v>
      </c>
      <c r="D12" s="115">
        <f>COUNTIFS($A$51:$A$74,"UI_PH5_FR02_*",$G$51:$G$74,"Pending")</f>
        <v>0</v>
      </c>
      <c r="E12" s="115">
        <f>COUNTIFS($A$51:$A$74,"UI_PH5_FR02_*",$G$51:$G$74,"Pass")</f>
        <v>5</v>
      </c>
      <c r="F12" s="115">
        <f>COUNTIFS($A$51:$A$74,"UI_PH5_FR02_*",$G$51:$G$74,"Fail")</f>
        <v>2</v>
      </c>
      <c r="G12" s="115">
        <f>SUMIFS($H$51:$H$74,$A$51:$A$74,"UI_PH5_FR02_*")</f>
        <v>2</v>
      </c>
      <c r="H12" s="116">
        <f>IFERROR(E12/C12,0)</f>
        <v>0.714285714285714</v>
      </c>
      <c r="I12" s="115">
        <f>COUNTIFS($A$51:$A$74,"UI_PH5_FR02_*",$C$51:$C$74,"UI/UX")</f>
        <v>0</v>
      </c>
      <c r="J12" s="115">
        <f>COUNTIFS($A$51:$A$74,"UI_PH5_FR02_*",$C$51:$C$74,"Function")</f>
        <v>3</v>
      </c>
      <c r="K12" s="115">
        <f>COUNTIFS($A$51:$A$74,"UI_PH5_FR02_*",$C$51:$C$74,"Negative")</f>
        <v>4</v>
      </c>
      <c r="L12" s="115">
        <f>SUMIFS($H$51:$H$74,$A$51:$A$74,"UI_PH5_FR02_*",$C$51:$C$74,"UI/UX")</f>
        <v>0</v>
      </c>
      <c r="M12" s="115">
        <f>SUMIFS($H$51:$H$74,$A$51:$A$74,"UI_PH5_FR02_*",$C$51:$C$74,"Function")</f>
        <v>0</v>
      </c>
      <c r="N12" s="115">
        <f>SUMIFS($H$51:$H$74,$A$51:$A$74,"UI_PH5_FR02_*",$C$51:$C$74,"Negative")</f>
        <v>2</v>
      </c>
    </row>
    <row r="13" ht="30" customHeight="1" spans="1:14">
      <c r="A13" s="114" t="s">
        <v>1118</v>
      </c>
      <c r="B13" s="114" t="s">
        <v>4362</v>
      </c>
      <c r="C13" s="115">
        <f>COUNTIF($A$51:$A$74,"UI_PH5_FR03_*")</f>
        <v>8</v>
      </c>
      <c r="D13" s="115">
        <f>COUNTIFS($A$51:$A$74,"UI_PH5_FR03_*",$G$51:$G$74,"Pending")</f>
        <v>0</v>
      </c>
      <c r="E13" s="115">
        <f>COUNTIFS($A$51:$A$74,"UI_PH5_FR03_*",$G$51:$G$74,"Pass")</f>
        <v>6</v>
      </c>
      <c r="F13" s="115">
        <f>COUNTIFS($A$51:$A$74,"UI_PH5_FR03_*",$G$51:$G$74,"Fail")</f>
        <v>2</v>
      </c>
      <c r="G13" s="115">
        <f>SUMIFS($H$51:$H$74,$A$51:$A$74,"UI_PH5_FR03_*")</f>
        <v>2</v>
      </c>
      <c r="H13" s="116">
        <f>IFERROR(E13/C13,0)</f>
        <v>0.75</v>
      </c>
      <c r="I13" s="115">
        <f>COUNTIFS($A$51:$A$74,"UI_PH5_FR03_*",$C$51:$C$74,"UI/UX")</f>
        <v>1</v>
      </c>
      <c r="J13" s="115">
        <f>COUNTIFS($A$51:$A$74,"UI_PH5_FR03_*",$C$51:$C$74,"Function")</f>
        <v>3</v>
      </c>
      <c r="K13" s="115">
        <f>COUNTIFS($A$51:$A$74,"UI_PH5_FR03_*",$C$51:$C$74,"Negative")</f>
        <v>4</v>
      </c>
      <c r="L13" s="115">
        <f>SUMIFS($H$51:$H$74,$A$51:$A$74,"UI_PH5_FR03_*",$C$51:$C$74,"UI/UX")</f>
        <v>0</v>
      </c>
      <c r="M13" s="115">
        <f>SUMIFS($H$51:$H$74,$A$51:$A$74,"UI_PH5_FR03_*",$C$51:$C$74,"Function")</f>
        <v>1</v>
      </c>
      <c r="N13" s="115">
        <f>SUMIFS($H$51:$H$74,$A$51:$A$74,"UI_PH5_FR03_*",$C$51:$C$74,"Negative")</f>
        <v>1</v>
      </c>
    </row>
    <row r="14" ht="15.75" spans="1:14">
      <c r="A14" s="117" t="s">
        <v>1127</v>
      </c>
      <c r="B14" s="117" t="s">
        <v>7</v>
      </c>
      <c r="C14" s="118">
        <f>SUM(C11:C13)</f>
        <v>21</v>
      </c>
      <c r="D14" s="118">
        <f>SUM(D11:D13)</f>
        <v>0</v>
      </c>
      <c r="E14" s="118">
        <f>SUM(E11:E13)</f>
        <v>17</v>
      </c>
      <c r="F14" s="118">
        <f>SUM(F11:F13)</f>
        <v>4</v>
      </c>
      <c r="G14" s="118">
        <f>SUM(G11:G13)</f>
        <v>4</v>
      </c>
      <c r="H14" s="119">
        <f>IFERROR(E14/C14,0)</f>
        <v>0.80952380952381</v>
      </c>
      <c r="I14" s="118">
        <f t="shared" ref="I14:N14" si="0">SUM(I11:I13)</f>
        <v>3</v>
      </c>
      <c r="J14" s="118">
        <f t="shared" si="0"/>
        <v>10</v>
      </c>
      <c r="K14" s="118">
        <f t="shared" si="0"/>
        <v>8</v>
      </c>
      <c r="L14" s="118">
        <f t="shared" si="0"/>
        <v>0</v>
      </c>
      <c r="M14" s="118">
        <f t="shared" si="0"/>
        <v>1</v>
      </c>
      <c r="N14" s="118">
        <f t="shared" si="0"/>
        <v>3</v>
      </c>
    </row>
    <row r="17" ht="15.75" spans="1:5">
      <c r="A17" s="120" t="s">
        <v>1139</v>
      </c>
      <c r="B17" s="110" t="s">
        <v>1112</v>
      </c>
    </row>
    <row r="18" ht="31.5" spans="1:5">
      <c r="A18" s="120" t="s">
        <v>1140</v>
      </c>
      <c r="B18" s="110" t="s">
        <v>4358</v>
      </c>
    </row>
    <row r="19" ht="15.75" spans="1:5">
      <c r="A19" s="120" t="s">
        <v>1141</v>
      </c>
      <c r="B19" s="110" t="s">
        <v>7</v>
      </c>
    </row>
    <row r="20" ht="15.75" spans="1:5">
      <c r="A20" s="121" t="s">
        <v>1129</v>
      </c>
      <c r="B20" s="122">
        <f>E11</f>
        <v>6</v>
      </c>
      <c r="D20" s="121" t="s">
        <v>1133</v>
      </c>
      <c r="E20" s="122">
        <f>I11</f>
        <v>2</v>
      </c>
    </row>
    <row r="21" ht="15.75" spans="1:5">
      <c r="A21" s="121" t="s">
        <v>1130</v>
      </c>
      <c r="B21" s="122">
        <f>F11</f>
        <v>0</v>
      </c>
      <c r="D21" s="121" t="s">
        <v>1134</v>
      </c>
      <c r="E21" s="122">
        <f>J11</f>
        <v>4</v>
      </c>
    </row>
    <row r="22" ht="15.75" spans="1:5">
      <c r="A22" s="121" t="s">
        <v>1128</v>
      </c>
      <c r="B22" s="122">
        <f>D11</f>
        <v>0</v>
      </c>
      <c r="D22" s="121" t="s">
        <v>1135</v>
      </c>
      <c r="E22" s="122">
        <f>K11</f>
        <v>0</v>
      </c>
    </row>
    <row r="23" ht="15.75" spans="1:5">
      <c r="A23" s="121" t="s">
        <v>1131</v>
      </c>
      <c r="B23" s="122">
        <f>G11</f>
        <v>0</v>
      </c>
      <c r="D23" s="121" t="s">
        <v>1127</v>
      </c>
      <c r="E23" s="122">
        <f>C11</f>
        <v>6</v>
      </c>
    </row>
    <row r="24" ht="15.75" spans="1:5">
      <c r="A24" s="120" t="s">
        <v>1139</v>
      </c>
      <c r="B24" s="110" t="s">
        <v>1115</v>
      </c>
    </row>
    <row r="25" ht="15.75" spans="1:5">
      <c r="A25" s="120" t="s">
        <v>1140</v>
      </c>
      <c r="B25" s="110" t="s">
        <v>4360</v>
      </c>
    </row>
    <row r="26" ht="15.75" spans="1:5">
      <c r="A26" s="120" t="s">
        <v>1141</v>
      </c>
      <c r="B26" s="110" t="s">
        <v>7</v>
      </c>
    </row>
    <row r="27" ht="15.75" spans="1:5">
      <c r="A27" s="121" t="s">
        <v>1129</v>
      </c>
      <c r="B27" s="122">
        <f>E12</f>
        <v>5</v>
      </c>
      <c r="D27" s="121" t="s">
        <v>1133</v>
      </c>
      <c r="E27" s="122">
        <f>I12</f>
        <v>0</v>
      </c>
    </row>
    <row r="28" ht="15.75" spans="1:5">
      <c r="A28" s="121" t="s">
        <v>1130</v>
      </c>
      <c r="B28" s="122">
        <f>F12</f>
        <v>2</v>
      </c>
      <c r="D28" s="121" t="s">
        <v>1134</v>
      </c>
      <c r="E28" s="122">
        <f>J12</f>
        <v>3</v>
      </c>
    </row>
    <row r="29" ht="15.75" spans="1:5">
      <c r="A29" s="121" t="s">
        <v>1128</v>
      </c>
      <c r="B29" s="122">
        <f>D12</f>
        <v>0</v>
      </c>
      <c r="D29" s="121" t="s">
        <v>1135</v>
      </c>
      <c r="E29" s="122">
        <f>K12</f>
        <v>4</v>
      </c>
    </row>
    <row r="30" ht="15.75" spans="1:5">
      <c r="A30" s="121" t="s">
        <v>1131</v>
      </c>
      <c r="B30" s="122">
        <f>G12</f>
        <v>2</v>
      </c>
      <c r="D30" s="121" t="s">
        <v>1127</v>
      </c>
      <c r="E30" s="122">
        <f>C12</f>
        <v>7</v>
      </c>
    </row>
    <row r="31" ht="15.75" spans="1:5">
      <c r="A31" s="120" t="s">
        <v>1139</v>
      </c>
      <c r="B31" s="110" t="s">
        <v>1118</v>
      </c>
    </row>
    <row r="32" ht="15.75" spans="1:5">
      <c r="A32" s="120" t="s">
        <v>1140</v>
      </c>
      <c r="B32" s="110" t="s">
        <v>4362</v>
      </c>
    </row>
    <row r="33" ht="15.75" spans="1:9">
      <c r="A33" s="120" t="s">
        <v>1141</v>
      </c>
      <c r="B33" s="110" t="s">
        <v>7</v>
      </c>
    </row>
    <row r="34" ht="15.75" spans="1:9">
      <c r="A34" s="121" t="s">
        <v>1129</v>
      </c>
      <c r="B34" s="122">
        <f>E13</f>
        <v>6</v>
      </c>
      <c r="D34" s="121" t="s">
        <v>1133</v>
      </c>
      <c r="E34" s="122">
        <f>I13</f>
        <v>1</v>
      </c>
    </row>
    <row r="35" ht="15.75" spans="1:9">
      <c r="A35" s="121" t="s">
        <v>1130</v>
      </c>
      <c r="B35" s="122">
        <f>F13</f>
        <v>2</v>
      </c>
      <c r="D35" s="121" t="s">
        <v>1134</v>
      </c>
      <c r="E35" s="122">
        <f>J13</f>
        <v>3</v>
      </c>
    </row>
    <row r="36" ht="15.75" spans="1:9">
      <c r="A36" s="121" t="s">
        <v>1128</v>
      </c>
      <c r="B36" s="122">
        <f>D13</f>
        <v>0</v>
      </c>
      <c r="D36" s="121" t="s">
        <v>1135</v>
      </c>
      <c r="E36" s="122">
        <f>K13</f>
        <v>4</v>
      </c>
    </row>
    <row r="37" ht="15.75" spans="1:9">
      <c r="A37" s="121" t="s">
        <v>1131</v>
      </c>
      <c r="B37" s="122">
        <f>G13</f>
        <v>2</v>
      </c>
      <c r="D37" s="121" t="s">
        <v>1127</v>
      </c>
      <c r="E37" s="122">
        <f>C13</f>
        <v>8</v>
      </c>
    </row>
    <row r="38" ht="15.75" spans="1:9">
      <c r="A38" s="123" t="s">
        <v>1142</v>
      </c>
      <c r="B38" s="16"/>
      <c r="C38" s="16"/>
      <c r="D38" s="16"/>
      <c r="E38" s="16"/>
      <c r="F38" s="16"/>
      <c r="G38" s="16"/>
      <c r="H38" s="16"/>
      <c r="I38" s="17"/>
    </row>
    <row r="39" ht="15.75" spans="1:9">
      <c r="A39" s="124" t="s">
        <v>1143</v>
      </c>
      <c r="B39" s="16"/>
      <c r="C39" s="16"/>
      <c r="D39" s="16"/>
      <c r="E39" s="16"/>
      <c r="F39" s="16"/>
      <c r="G39" s="16"/>
      <c r="H39" s="16"/>
      <c r="I39" s="17"/>
    </row>
    <row r="40" ht="75" customHeight="1" spans="1:9">
      <c r="A40" s="310" t="s">
        <v>4364</v>
      </c>
      <c r="B40" s="16"/>
      <c r="C40" s="16"/>
      <c r="D40" s="16"/>
      <c r="E40" s="16"/>
      <c r="F40" s="16"/>
      <c r="G40" s="16"/>
      <c r="H40" s="16"/>
      <c r="I40" s="17"/>
    </row>
    <row r="41" ht="15.75" spans="1:9">
      <c r="A41" s="124" t="s">
        <v>1145</v>
      </c>
      <c r="B41" s="16"/>
      <c r="C41" s="16"/>
      <c r="D41" s="16"/>
      <c r="E41" s="16"/>
      <c r="F41" s="16"/>
      <c r="G41" s="16"/>
      <c r="H41" s="16"/>
      <c r="I41" s="17"/>
    </row>
    <row r="42" ht="135" customHeight="1" spans="1:9">
      <c r="A42" s="310" t="s">
        <v>4365</v>
      </c>
      <c r="B42" s="16"/>
      <c r="C42" s="16"/>
      <c r="D42" s="16"/>
      <c r="E42" s="16"/>
      <c r="F42" s="16"/>
      <c r="G42" s="16"/>
      <c r="H42" s="16"/>
      <c r="I42" s="17"/>
    </row>
    <row r="43" ht="15.75" spans="1:9">
      <c r="A43" s="124" t="s">
        <v>1147</v>
      </c>
      <c r="B43" s="16"/>
      <c r="C43" s="16"/>
      <c r="D43" s="16"/>
      <c r="E43" s="16"/>
      <c r="F43" s="16"/>
      <c r="G43" s="16"/>
      <c r="H43" s="16"/>
      <c r="I43" s="17"/>
    </row>
    <row r="44" ht="75" customHeight="1" spans="1:9">
      <c r="A44" s="310" t="s">
        <v>4366</v>
      </c>
      <c r="B44" s="16"/>
      <c r="C44" s="16"/>
      <c r="D44" s="16"/>
      <c r="E44" s="16"/>
      <c r="F44" s="16"/>
      <c r="G44" s="16"/>
      <c r="H44" s="16"/>
      <c r="I44" s="17"/>
    </row>
    <row r="45" ht="15.75" spans="1:9">
      <c r="A45" s="124" t="s">
        <v>1149</v>
      </c>
      <c r="B45" s="16"/>
      <c r="C45" s="16"/>
      <c r="D45" s="16"/>
      <c r="E45" s="16"/>
      <c r="F45" s="16"/>
      <c r="G45" s="16"/>
      <c r="H45" s="16"/>
      <c r="I45" s="17"/>
    </row>
    <row r="46" ht="60" customHeight="1" spans="1:9">
      <c r="A46" s="310" t="s">
        <v>4367</v>
      </c>
      <c r="B46" s="16"/>
      <c r="C46" s="16"/>
      <c r="D46" s="16"/>
      <c r="E46" s="16"/>
      <c r="F46" s="16"/>
      <c r="G46" s="16"/>
      <c r="H46" s="16"/>
      <c r="I46" s="17"/>
    </row>
    <row r="50" ht="15.75" spans="1:9">
      <c r="A50" s="126" t="s">
        <v>1109</v>
      </c>
      <c r="B50" s="126" t="s">
        <v>1151</v>
      </c>
      <c r="C50" s="126" t="s">
        <v>1152</v>
      </c>
      <c r="D50" s="126" t="s">
        <v>1153</v>
      </c>
      <c r="E50" s="126" t="s">
        <v>1154</v>
      </c>
      <c r="F50" s="126" t="s">
        <v>1155</v>
      </c>
      <c r="G50" s="126" t="s">
        <v>1156</v>
      </c>
      <c r="H50" s="126" t="s">
        <v>1131</v>
      </c>
      <c r="I50" s="126" t="s">
        <v>1157</v>
      </c>
    </row>
    <row r="51" ht="15.75" spans="1:9">
      <c r="A51" s="109" t="s">
        <v>4368</v>
      </c>
      <c r="B51" s="16"/>
      <c r="C51" s="16"/>
      <c r="D51" s="16"/>
      <c r="E51" s="16"/>
      <c r="F51" s="16"/>
      <c r="G51" s="16"/>
      <c r="H51" s="16"/>
      <c r="I51" s="17"/>
    </row>
    <row r="52" ht="45" customHeight="1" spans="1:9">
      <c r="A52" s="111" t="s">
        <v>4369</v>
      </c>
      <c r="B52" s="111" t="s">
        <v>4370</v>
      </c>
      <c r="C52" s="122" t="s">
        <v>1133</v>
      </c>
      <c r="D52" s="111" t="s">
        <v>3163</v>
      </c>
      <c r="E52" s="111" t="s">
        <v>4371</v>
      </c>
      <c r="F52" s="111" t="s">
        <v>4372</v>
      </c>
      <c r="G52" s="122" t="s">
        <v>1129</v>
      </c>
      <c r="H52" s="122"/>
      <c r="I52" s="111" t="s">
        <v>7</v>
      </c>
    </row>
    <row r="53" ht="180" customHeight="1" spans="1:9">
      <c r="A53" s="111" t="s">
        <v>4373</v>
      </c>
      <c r="B53" s="111" t="s">
        <v>4374</v>
      </c>
      <c r="C53" s="122" t="s">
        <v>1134</v>
      </c>
      <c r="D53" s="111" t="s">
        <v>4375</v>
      </c>
      <c r="E53" s="111" t="s">
        <v>4376</v>
      </c>
      <c r="F53" s="111" t="s">
        <v>4377</v>
      </c>
      <c r="G53" s="122" t="s">
        <v>1129</v>
      </c>
      <c r="H53" s="122"/>
      <c r="I53" s="111" t="s">
        <v>4378</v>
      </c>
    </row>
    <row r="54" ht="135" customHeight="1" spans="1:9">
      <c r="A54" s="111" t="s">
        <v>4379</v>
      </c>
      <c r="B54" s="111" t="s">
        <v>4380</v>
      </c>
      <c r="C54" s="122" t="s">
        <v>1134</v>
      </c>
      <c r="D54" s="111" t="s">
        <v>4381</v>
      </c>
      <c r="E54" s="111" t="s">
        <v>4382</v>
      </c>
      <c r="F54" s="111" t="s">
        <v>4383</v>
      </c>
      <c r="G54" s="122" t="s">
        <v>1129</v>
      </c>
      <c r="H54" s="122"/>
      <c r="I54" s="111" t="s">
        <v>4384</v>
      </c>
    </row>
    <row r="55" ht="45" customHeight="1" spans="1:9">
      <c r="A55" s="111" t="s">
        <v>4385</v>
      </c>
      <c r="B55" s="111" t="s">
        <v>4386</v>
      </c>
      <c r="C55" s="122" t="s">
        <v>1134</v>
      </c>
      <c r="D55" s="111" t="s">
        <v>4387</v>
      </c>
      <c r="E55" s="111" t="s">
        <v>4388</v>
      </c>
      <c r="F55" s="111" t="s">
        <v>4389</v>
      </c>
      <c r="G55" s="122" t="s">
        <v>1129</v>
      </c>
      <c r="H55" s="122"/>
      <c r="I55" s="111" t="s">
        <v>4390</v>
      </c>
    </row>
    <row r="56" ht="30" customHeight="1" spans="1:9">
      <c r="A56" s="111" t="s">
        <v>4391</v>
      </c>
      <c r="B56" s="111" t="s">
        <v>4392</v>
      </c>
      <c r="C56" s="122" t="s">
        <v>1134</v>
      </c>
      <c r="D56" s="111" t="s">
        <v>4393</v>
      </c>
      <c r="E56" s="111" t="s">
        <v>4394</v>
      </c>
      <c r="F56" s="111" t="s">
        <v>4395</v>
      </c>
      <c r="G56" s="122" t="s">
        <v>1129</v>
      </c>
      <c r="H56" s="122"/>
      <c r="I56" s="111" t="s">
        <v>4396</v>
      </c>
    </row>
    <row r="57" ht="45" customHeight="1" spans="1:9">
      <c r="A57" s="111" t="s">
        <v>4397</v>
      </c>
      <c r="B57" s="111" t="s">
        <v>4398</v>
      </c>
      <c r="C57" s="122" t="s">
        <v>1133</v>
      </c>
      <c r="D57" s="111" t="s">
        <v>1243</v>
      </c>
      <c r="E57" s="111" t="s">
        <v>4399</v>
      </c>
      <c r="F57" s="111" t="s">
        <v>4400</v>
      </c>
      <c r="G57" s="122" t="s">
        <v>1129</v>
      </c>
      <c r="H57" s="122"/>
      <c r="I57" s="111" t="s">
        <v>7</v>
      </c>
    </row>
    <row r="58" ht="15.75" spans="1:9">
      <c r="A58" s="127" t="s">
        <v>4401</v>
      </c>
      <c r="B58" s="16"/>
      <c r="C58" s="16"/>
      <c r="D58" s="16"/>
      <c r="E58" s="16"/>
      <c r="F58" s="16"/>
      <c r="G58" s="16"/>
      <c r="H58" s="16"/>
      <c r="I58" s="17"/>
    </row>
    <row r="59" ht="30" customHeight="1" spans="1:9">
      <c r="A59" s="111" t="s">
        <v>4402</v>
      </c>
      <c r="B59" s="111" t="s">
        <v>4403</v>
      </c>
      <c r="C59" s="122" t="s">
        <v>1134</v>
      </c>
      <c r="D59" s="111" t="s">
        <v>4404</v>
      </c>
      <c r="E59" s="111" t="s">
        <v>4405</v>
      </c>
      <c r="F59" s="111" t="s">
        <v>4406</v>
      </c>
      <c r="G59" s="122" t="s">
        <v>1129</v>
      </c>
      <c r="H59" s="122"/>
      <c r="I59" s="111" t="s">
        <v>7</v>
      </c>
    </row>
    <row r="60" ht="45" customHeight="1" spans="1:9">
      <c r="A60" s="111" t="s">
        <v>4407</v>
      </c>
      <c r="B60" s="111" t="s">
        <v>4408</v>
      </c>
      <c r="C60" s="122" t="s">
        <v>1134</v>
      </c>
      <c r="D60" s="111" t="s">
        <v>4409</v>
      </c>
      <c r="E60" s="111" t="s">
        <v>4410</v>
      </c>
      <c r="F60" s="111" t="s">
        <v>4411</v>
      </c>
      <c r="G60" s="122" t="s">
        <v>1129</v>
      </c>
      <c r="H60" s="122"/>
      <c r="I60" s="111" t="s">
        <v>7</v>
      </c>
    </row>
    <row r="61" ht="60" customHeight="1" spans="1:9">
      <c r="A61" s="111" t="s">
        <v>4412</v>
      </c>
      <c r="B61" s="111" t="s">
        <v>4413</v>
      </c>
      <c r="C61" s="122" t="s">
        <v>1134</v>
      </c>
      <c r="D61" s="111" t="s">
        <v>4414</v>
      </c>
      <c r="E61" s="111" t="s">
        <v>4415</v>
      </c>
      <c r="F61" s="111" t="s">
        <v>4416</v>
      </c>
      <c r="G61" s="122" t="s">
        <v>1129</v>
      </c>
      <c r="H61" s="122"/>
      <c r="I61" s="111" t="s">
        <v>7</v>
      </c>
    </row>
    <row r="62" ht="105" customHeight="1" spans="1:9">
      <c r="A62" s="111" t="s">
        <v>4417</v>
      </c>
      <c r="B62" s="111" t="s">
        <v>4418</v>
      </c>
      <c r="C62" s="122" t="s">
        <v>1135</v>
      </c>
      <c r="D62" s="111" t="s">
        <v>4419</v>
      </c>
      <c r="E62" s="111" t="s">
        <v>4420</v>
      </c>
      <c r="F62" s="111" t="s">
        <v>4421</v>
      </c>
      <c r="G62" s="122" t="s">
        <v>1130</v>
      </c>
      <c r="H62" s="122">
        <v>1</v>
      </c>
      <c r="I62" s="111" t="s">
        <v>4422</v>
      </c>
    </row>
    <row r="63" ht="60" customHeight="1" spans="1:9">
      <c r="A63" s="111" t="s">
        <v>4423</v>
      </c>
      <c r="B63" s="111" t="s">
        <v>4424</v>
      </c>
      <c r="C63" s="122" t="s">
        <v>1135</v>
      </c>
      <c r="D63" s="111" t="s">
        <v>4425</v>
      </c>
      <c r="E63" s="111" t="s">
        <v>4426</v>
      </c>
      <c r="F63" s="111" t="s">
        <v>4427</v>
      </c>
      <c r="G63" s="122" t="s">
        <v>1129</v>
      </c>
      <c r="H63" s="122"/>
      <c r="I63" s="111" t="s">
        <v>4428</v>
      </c>
    </row>
    <row r="64" ht="45" customHeight="1" spans="1:9">
      <c r="A64" s="111" t="s">
        <v>4429</v>
      </c>
      <c r="B64" s="111" t="s">
        <v>4430</v>
      </c>
      <c r="C64" s="122" t="s">
        <v>1135</v>
      </c>
      <c r="D64" s="111" t="s">
        <v>4431</v>
      </c>
      <c r="E64" s="111" t="s">
        <v>4432</v>
      </c>
      <c r="F64" s="111" t="s">
        <v>4433</v>
      </c>
      <c r="G64" s="122" t="s">
        <v>1129</v>
      </c>
      <c r="H64" s="122"/>
      <c r="I64" s="111" t="s">
        <v>4434</v>
      </c>
    </row>
    <row r="65" ht="225" customHeight="1" spans="1:9">
      <c r="A65" s="111" t="s">
        <v>4435</v>
      </c>
      <c r="B65" s="111" t="s">
        <v>4436</v>
      </c>
      <c r="C65" s="122" t="s">
        <v>1135</v>
      </c>
      <c r="D65" s="111" t="s">
        <v>4437</v>
      </c>
      <c r="E65" s="111" t="s">
        <v>4438</v>
      </c>
      <c r="F65" s="111" t="s">
        <v>4439</v>
      </c>
      <c r="G65" s="122" t="s">
        <v>1130</v>
      </c>
      <c r="H65" s="122">
        <v>1</v>
      </c>
      <c r="I65" s="111" t="s">
        <v>4440</v>
      </c>
    </row>
    <row r="66" ht="15.75" spans="1:9">
      <c r="A66" s="109" t="s">
        <v>4441</v>
      </c>
      <c r="B66" s="16"/>
      <c r="C66" s="16"/>
      <c r="D66" s="16"/>
      <c r="E66" s="16"/>
      <c r="F66" s="16"/>
      <c r="G66" s="16"/>
      <c r="H66" s="16"/>
      <c r="I66" s="17"/>
    </row>
    <row r="67" ht="75" customHeight="1" spans="1:9">
      <c r="A67" s="111" t="s">
        <v>4442</v>
      </c>
      <c r="B67" s="111" t="s">
        <v>4443</v>
      </c>
      <c r="C67" s="122" t="s">
        <v>1133</v>
      </c>
      <c r="D67" s="111" t="s">
        <v>4444</v>
      </c>
      <c r="E67" s="111" t="s">
        <v>4445</v>
      </c>
      <c r="F67" s="111" t="s">
        <v>4446</v>
      </c>
      <c r="G67" s="122" t="s">
        <v>1129</v>
      </c>
      <c r="H67" s="122"/>
      <c r="I67" s="111" t="s">
        <v>7</v>
      </c>
    </row>
    <row r="68" ht="45" customHeight="1" spans="1:9">
      <c r="A68" s="111" t="s">
        <v>4447</v>
      </c>
      <c r="B68" s="111" t="s">
        <v>4448</v>
      </c>
      <c r="C68" s="122" t="s">
        <v>1134</v>
      </c>
      <c r="D68" s="111" t="s">
        <v>4449</v>
      </c>
      <c r="E68" s="111" t="s">
        <v>4450</v>
      </c>
      <c r="F68" s="111" t="s">
        <v>4451</v>
      </c>
      <c r="G68" s="122" t="s">
        <v>1129</v>
      </c>
      <c r="H68" s="122"/>
      <c r="I68" s="111" t="s">
        <v>7</v>
      </c>
    </row>
    <row r="69" ht="30" customHeight="1" spans="1:9">
      <c r="A69" s="111" t="s">
        <v>4452</v>
      </c>
      <c r="B69" s="111" t="s">
        <v>4453</v>
      </c>
      <c r="C69" s="122" t="s">
        <v>1134</v>
      </c>
      <c r="D69" s="111" t="s">
        <v>4454</v>
      </c>
      <c r="E69" s="111" t="s">
        <v>4455</v>
      </c>
      <c r="F69" s="111" t="s">
        <v>4456</v>
      </c>
      <c r="G69" s="122" t="s">
        <v>1129</v>
      </c>
      <c r="H69" s="122"/>
      <c r="I69" s="111" t="s">
        <v>7</v>
      </c>
    </row>
    <row r="70" ht="30" customHeight="1" spans="1:9">
      <c r="A70" s="111" t="s">
        <v>4457</v>
      </c>
      <c r="B70" s="111" t="s">
        <v>4458</v>
      </c>
      <c r="C70" s="122" t="s">
        <v>1135</v>
      </c>
      <c r="D70" s="111" t="s">
        <v>4459</v>
      </c>
      <c r="E70" s="111" t="s">
        <v>4460</v>
      </c>
      <c r="F70" s="111" t="s">
        <v>4461</v>
      </c>
      <c r="G70" s="122" t="s">
        <v>1129</v>
      </c>
      <c r="H70" s="122"/>
      <c r="I70" s="111" t="s">
        <v>7</v>
      </c>
    </row>
    <row r="71" ht="30" customHeight="1" spans="1:9">
      <c r="A71" s="111" t="s">
        <v>4462</v>
      </c>
      <c r="B71" s="111" t="s">
        <v>4463</v>
      </c>
      <c r="C71" s="122" t="s">
        <v>1135</v>
      </c>
      <c r="D71" s="111" t="s">
        <v>4464</v>
      </c>
      <c r="E71" s="111" t="s">
        <v>4465</v>
      </c>
      <c r="F71" s="111" t="s">
        <v>4466</v>
      </c>
      <c r="G71" s="122" t="s">
        <v>1129</v>
      </c>
      <c r="H71" s="122"/>
      <c r="I71" s="111" t="s">
        <v>7</v>
      </c>
    </row>
    <row r="72" ht="120" customHeight="1" spans="1:9">
      <c r="A72" s="111" t="s">
        <v>4467</v>
      </c>
      <c r="B72" s="111" t="s">
        <v>4468</v>
      </c>
      <c r="C72" s="122" t="s">
        <v>1135</v>
      </c>
      <c r="D72" s="111" t="s">
        <v>4469</v>
      </c>
      <c r="E72" s="111" t="s">
        <v>4470</v>
      </c>
      <c r="F72" s="111" t="s">
        <v>4471</v>
      </c>
      <c r="G72" s="122" t="s">
        <v>1130</v>
      </c>
      <c r="H72" s="122">
        <v>1</v>
      </c>
      <c r="I72" s="111" t="s">
        <v>4472</v>
      </c>
    </row>
    <row r="73" ht="60" customHeight="1" spans="1:9">
      <c r="A73" s="111" t="s">
        <v>4473</v>
      </c>
      <c r="B73" s="111" t="s">
        <v>4474</v>
      </c>
      <c r="C73" s="122" t="s">
        <v>1135</v>
      </c>
      <c r="D73" s="111" t="s">
        <v>4475</v>
      </c>
      <c r="E73" s="111" t="s">
        <v>4476</v>
      </c>
      <c r="F73" s="111" t="s">
        <v>4477</v>
      </c>
      <c r="G73" s="122" t="s">
        <v>1129</v>
      </c>
      <c r="H73" s="122"/>
      <c r="I73" s="111" t="s">
        <v>4478</v>
      </c>
    </row>
    <row r="74" ht="270" customHeight="1" spans="1:9">
      <c r="A74" s="111" t="s">
        <v>4479</v>
      </c>
      <c r="B74" s="111" t="s">
        <v>4480</v>
      </c>
      <c r="C74" s="122" t="s">
        <v>1134</v>
      </c>
      <c r="D74" s="111" t="s">
        <v>4481</v>
      </c>
      <c r="E74" s="111" t="s">
        <v>4482</v>
      </c>
      <c r="F74" s="111" t="s">
        <v>4483</v>
      </c>
      <c r="G74" s="122" t="s">
        <v>1130</v>
      </c>
      <c r="H74" s="122">
        <v>1</v>
      </c>
      <c r="I74" s="111" t="s">
        <v>4484</v>
      </c>
    </row>
  </sheetData>
  <mergeCells count="15">
    <mergeCell ref="A1:C1"/>
    <mergeCell ref="A3:C3"/>
    <mergeCell ref="A9:N9"/>
    <mergeCell ref="A38:I38"/>
    <mergeCell ref="A39:I39"/>
    <mergeCell ref="A40:I40"/>
    <mergeCell ref="A41:I41"/>
    <mergeCell ref="A42:I42"/>
    <mergeCell ref="A43:I43"/>
    <mergeCell ref="A44:I44"/>
    <mergeCell ref="A45:I45"/>
    <mergeCell ref="A46:I46"/>
    <mergeCell ref="A51:I51"/>
    <mergeCell ref="A58:I58"/>
    <mergeCell ref="A66:I66"/>
  </mergeCells>
  <conditionalFormatting sqref="G51:G74">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7"/>
  <sheetViews>
    <sheetView workbookViewId="0">
      <selection activeCell="A1" sqref="A1:E1"/>
    </sheetView>
  </sheetViews>
  <sheetFormatPr defaultColWidth="9" defaultRowHeight="15"/>
  <cols>
    <col min="1" max="1" width="18" customWidth="1"/>
    <col min="2" max="2" width="24" customWidth="1"/>
    <col min="3" max="3" width="34" customWidth="1"/>
    <col min="4" max="4" width="18" customWidth="1"/>
    <col min="5" max="5" width="10" customWidth="1"/>
    <col min="6" max="6" width="34" customWidth="1"/>
    <col min="7" max="7" width="26" customWidth="1"/>
    <col min="8" max="8" width="30" customWidth="1"/>
    <col min="9" max="9" width="36" customWidth="1"/>
    <col min="10" max="10" width="10" customWidth="1"/>
    <col min="11" max="11" width="30" customWidth="1"/>
    <col min="12" max="12" width="9.14285714285714" customWidth="1"/>
  </cols>
  <sheetData>
    <row r="1" ht="20.25" spans="1:5">
      <c r="A1" s="74" t="s">
        <v>1295</v>
      </c>
    </row>
    <row r="2" spans="1:5">
      <c r="A2" s="75" t="s">
        <v>4485</v>
      </c>
      <c r="B2" s="16"/>
      <c r="C2" s="16"/>
      <c r="D2" s="16"/>
      <c r="E2" s="17"/>
    </row>
    <row r="3" customHeight="1" spans="1:5">
      <c r="A3" s="76" t="s">
        <v>1297</v>
      </c>
      <c r="B3" s="17"/>
      <c r="C3" s="77" t="s">
        <v>1298</v>
      </c>
      <c r="D3" s="16"/>
      <c r="E3" s="17"/>
    </row>
    <row r="4" customHeight="1" spans="1:5">
      <c r="A4" s="76" t="s">
        <v>1299</v>
      </c>
      <c r="B4" s="17"/>
      <c r="C4" s="78" t="s">
        <v>1300</v>
      </c>
      <c r="D4" s="16"/>
      <c r="E4" s="17"/>
    </row>
    <row r="5" ht="30" customHeight="1" spans="1:5">
      <c r="A5" s="76" t="s">
        <v>1301</v>
      </c>
      <c r="B5" s="17"/>
      <c r="C5" s="77" t="s">
        <v>4486</v>
      </c>
      <c r="D5" s="16"/>
      <c r="E5" s="17"/>
    </row>
    <row r="6" customHeight="1" spans="1:5">
      <c r="A6" s="76" t="s">
        <v>1303</v>
      </c>
      <c r="B6" s="17"/>
      <c r="C6" s="78" t="s">
        <v>1304</v>
      </c>
      <c r="D6" s="16"/>
      <c r="E6" s="17"/>
    </row>
    <row r="7" customHeight="1" spans="1:5">
      <c r="A7" s="76" t="s">
        <v>1305</v>
      </c>
      <c r="B7" s="17"/>
      <c r="C7" s="77" t="s">
        <v>4487</v>
      </c>
      <c r="D7" s="16"/>
      <c r="E7" s="17"/>
    </row>
    <row r="8" ht="75" customHeight="1" spans="1:5">
      <c r="A8" s="76" t="s">
        <v>1307</v>
      </c>
      <c r="B8" s="17"/>
      <c r="C8" s="77" t="s">
        <v>4488</v>
      </c>
      <c r="D8" s="16"/>
      <c r="E8" s="17"/>
    </row>
    <row r="10" ht="16.5" spans="1:5">
      <c r="A10" s="79" t="s">
        <v>1309</v>
      </c>
    </row>
    <row r="11" spans="1:5">
      <c r="A11" s="80" t="s">
        <v>1310</v>
      </c>
    </row>
    <row r="12" spans="1:5">
      <c r="A12" s="81" t="s">
        <v>211</v>
      </c>
      <c r="B12" s="81" t="s">
        <v>1311</v>
      </c>
      <c r="C12" s="81" t="s">
        <v>1312</v>
      </c>
      <c r="D12" s="82"/>
      <c r="E12" s="81" t="s">
        <v>430</v>
      </c>
    </row>
    <row r="13" ht="165" customHeight="1" spans="1:5">
      <c r="A13" s="83">
        <v>1</v>
      </c>
      <c r="B13" s="84" t="s">
        <v>4489</v>
      </c>
      <c r="C13" s="85" t="s">
        <v>4490</v>
      </c>
      <c r="D13" s="17"/>
      <c r="E13" s="85" t="s">
        <v>4491</v>
      </c>
    </row>
    <row r="14" ht="45" customHeight="1" spans="1:5">
      <c r="A14" s="83">
        <v>2</v>
      </c>
      <c r="B14" s="84" t="s">
        <v>4492</v>
      </c>
      <c r="C14" s="84" t="s">
        <v>3938</v>
      </c>
      <c r="D14" s="17"/>
      <c r="E14" s="85" t="s">
        <v>4493</v>
      </c>
    </row>
    <row r="16" spans="1:5">
      <c r="A16" s="86" t="s">
        <v>1328</v>
      </c>
      <c r="B16" s="16"/>
      <c r="C16" s="16"/>
      <c r="D16" s="16"/>
      <c r="E16" s="17"/>
    </row>
    <row r="17" ht="45" customHeight="1" spans="1:5">
      <c r="A17" s="87">
        <v>1</v>
      </c>
      <c r="B17" s="88" t="s">
        <v>4494</v>
      </c>
      <c r="C17" s="89" t="s">
        <v>4495</v>
      </c>
      <c r="D17" s="16"/>
      <c r="E17" s="17"/>
    </row>
    <row r="18" ht="45" customHeight="1" spans="1:5">
      <c r="A18" s="87">
        <v>2</v>
      </c>
      <c r="B18" s="88" t="s">
        <v>4496</v>
      </c>
      <c r="C18" s="89" t="s">
        <v>4497</v>
      </c>
      <c r="D18" s="16"/>
      <c r="E18" s="17"/>
    </row>
    <row r="19" ht="30" customHeight="1" spans="1:5">
      <c r="A19" s="87">
        <v>3</v>
      </c>
      <c r="B19" s="88" t="s">
        <v>4498</v>
      </c>
      <c r="C19" s="89" t="s">
        <v>4499</v>
      </c>
      <c r="D19" s="16"/>
      <c r="E19" s="17"/>
    </row>
    <row r="21" spans="1:5">
      <c r="A21" s="90" t="s">
        <v>1335</v>
      </c>
      <c r="B21" s="16"/>
      <c r="C21" s="16"/>
      <c r="D21" s="16"/>
      <c r="E21" s="17"/>
    </row>
    <row r="22" spans="1:5">
      <c r="A22" s="81" t="s">
        <v>211</v>
      </c>
      <c r="B22" s="81" t="s">
        <v>1311</v>
      </c>
      <c r="C22" s="81" t="s">
        <v>1336</v>
      </c>
      <c r="D22" s="91"/>
      <c r="E22" s="82"/>
    </row>
    <row r="23" ht="45" customHeight="1" spans="1:5">
      <c r="A23" s="87">
        <v>1</v>
      </c>
      <c r="B23" s="88" t="s">
        <v>4500</v>
      </c>
      <c r="C23" s="89" t="s">
        <v>4501</v>
      </c>
      <c r="D23" s="16"/>
      <c r="E23" s="17"/>
    </row>
    <row r="24" ht="60" customHeight="1" spans="1:5">
      <c r="A24" s="87">
        <v>2</v>
      </c>
      <c r="B24" s="88" t="s">
        <v>4502</v>
      </c>
      <c r="C24" s="89" t="s">
        <v>4503</v>
      </c>
      <c r="D24" s="16"/>
      <c r="E24" s="17"/>
    </row>
    <row r="25" customHeight="1" spans="1:5">
      <c r="A25" s="87">
        <v>3</v>
      </c>
      <c r="B25" s="88" t="s">
        <v>4504</v>
      </c>
      <c r="C25" s="89" t="s">
        <v>4505</v>
      </c>
      <c r="D25" s="16"/>
      <c r="E25" s="17"/>
    </row>
    <row r="26" ht="45" customHeight="1" spans="1:5">
      <c r="A26" s="87">
        <v>4</v>
      </c>
      <c r="B26" s="88" t="s">
        <v>4506</v>
      </c>
      <c r="C26" s="89" t="s">
        <v>4507</v>
      </c>
      <c r="D26" s="16"/>
      <c r="E26" s="17"/>
    </row>
    <row r="28" spans="1:5">
      <c r="A28" s="86" t="s">
        <v>1349</v>
      </c>
      <c r="B28" s="16"/>
      <c r="C28" s="16"/>
      <c r="D28" s="16"/>
      <c r="E28" s="17"/>
    </row>
    <row r="29" ht="25.5" spans="1:5">
      <c r="A29" s="81" t="s">
        <v>1350</v>
      </c>
      <c r="B29" s="81" t="s">
        <v>1351</v>
      </c>
      <c r="C29" s="81" t="s">
        <v>1352</v>
      </c>
      <c r="D29" s="81" t="s">
        <v>1353</v>
      </c>
      <c r="E29" s="81" t="s">
        <v>1354</v>
      </c>
    </row>
    <row r="30" ht="25.5" spans="1:5">
      <c r="A30" s="85" t="s">
        <v>4508</v>
      </c>
      <c r="B30" s="85" t="s">
        <v>4509</v>
      </c>
      <c r="C30" s="92">
        <v>0.712</v>
      </c>
      <c r="D30" s="92">
        <v>0.632</v>
      </c>
      <c r="E30" s="93" t="s">
        <v>4510</v>
      </c>
    </row>
    <row r="31" ht="25.5" spans="1:5">
      <c r="A31" s="85" t="s">
        <v>4511</v>
      </c>
      <c r="B31" s="85" t="s">
        <v>4512</v>
      </c>
      <c r="C31" s="92">
        <v>0.848</v>
      </c>
      <c r="D31" s="92">
        <v>0.75</v>
      </c>
      <c r="E31" s="93" t="s">
        <v>4513</v>
      </c>
    </row>
    <row r="32" ht="30" spans="1:5">
      <c r="A32" s="80" t="s">
        <v>1365</v>
      </c>
      <c r="B32" s="80" t="s">
        <v>7</v>
      </c>
      <c r="C32" s="94">
        <v>0.723</v>
      </c>
      <c r="D32" s="94">
        <v>0.641</v>
      </c>
      <c r="E32" s="80" t="s">
        <v>7</v>
      </c>
    </row>
    <row r="33" ht="45" customHeight="1" spans="1:11">
      <c r="A33" s="95" t="s">
        <v>3964</v>
      </c>
      <c r="B33" s="16"/>
      <c r="C33" s="16"/>
      <c r="D33" s="16"/>
      <c r="E33" s="17"/>
    </row>
    <row r="37" spans="1:11">
      <c r="A37" s="96" t="s">
        <v>1367</v>
      </c>
      <c r="B37" s="91"/>
      <c r="C37" s="91"/>
      <c r="D37" s="91"/>
      <c r="E37" s="91"/>
      <c r="F37" s="91"/>
      <c r="G37" s="91"/>
      <c r="H37" s="91"/>
      <c r="I37" s="91"/>
      <c r="J37" s="91"/>
      <c r="K37" s="82"/>
    </row>
    <row r="38" ht="33" spans="1:11">
      <c r="A38" s="97" t="s">
        <v>1368</v>
      </c>
      <c r="B38" s="97" t="s">
        <v>1369</v>
      </c>
      <c r="C38" s="97" t="s">
        <v>1370</v>
      </c>
      <c r="D38" s="97" t="s">
        <v>1371</v>
      </c>
      <c r="E38" s="97" t="s">
        <v>1372</v>
      </c>
      <c r="F38" s="97" t="s">
        <v>1373</v>
      </c>
      <c r="G38" s="97" t="s">
        <v>1374</v>
      </c>
      <c r="H38" s="97" t="s">
        <v>1375</v>
      </c>
      <c r="I38" s="97" t="s">
        <v>1376</v>
      </c>
      <c r="J38" s="97" t="s">
        <v>1377</v>
      </c>
      <c r="K38" s="97" t="s">
        <v>1378</v>
      </c>
    </row>
    <row r="39" spans="1:11">
      <c r="A39" s="98" t="s">
        <v>4489</v>
      </c>
      <c r="B39" s="99"/>
      <c r="C39" s="99"/>
      <c r="D39" s="99"/>
      <c r="E39" s="99"/>
      <c r="F39" s="99"/>
      <c r="G39" s="99"/>
      <c r="H39" s="99"/>
      <c r="I39" s="99"/>
      <c r="J39" s="99"/>
      <c r="K39" s="100"/>
    </row>
    <row r="40" ht="90" customHeight="1" spans="1:11">
      <c r="A40" s="101" t="s">
        <v>4514</v>
      </c>
      <c r="B40" s="101" t="s">
        <v>4489</v>
      </c>
      <c r="C40" s="101" t="s">
        <v>4515</v>
      </c>
      <c r="D40" s="101" t="s">
        <v>4516</v>
      </c>
      <c r="E40" s="102" t="s">
        <v>7</v>
      </c>
      <c r="F40" s="101" t="s">
        <v>4517</v>
      </c>
      <c r="G40" s="101" t="s">
        <v>4518</v>
      </c>
      <c r="H40" s="101" t="s">
        <v>4519</v>
      </c>
      <c r="I40" s="101" t="s">
        <v>4520</v>
      </c>
      <c r="J40" s="102" t="s">
        <v>1385</v>
      </c>
      <c r="K40" s="101" t="s">
        <v>1404</v>
      </c>
    </row>
    <row r="41" ht="45" customHeight="1" spans="1:11">
      <c r="A41" s="101" t="s">
        <v>4521</v>
      </c>
      <c r="B41" s="101" t="s">
        <v>4489</v>
      </c>
      <c r="C41" s="101" t="s">
        <v>4515</v>
      </c>
      <c r="D41" s="101" t="s">
        <v>4522</v>
      </c>
      <c r="E41" s="102" t="s">
        <v>7</v>
      </c>
      <c r="F41" s="101" t="s">
        <v>4523</v>
      </c>
      <c r="G41" s="101" t="s">
        <v>4524</v>
      </c>
      <c r="H41" s="101" t="s">
        <v>4525</v>
      </c>
      <c r="I41" s="101" t="s">
        <v>4526</v>
      </c>
      <c r="J41" s="102" t="s">
        <v>1385</v>
      </c>
      <c r="K41" s="101" t="s">
        <v>1404</v>
      </c>
    </row>
    <row r="42" ht="45" customHeight="1" spans="1:11">
      <c r="A42" s="101" t="s">
        <v>4527</v>
      </c>
      <c r="B42" s="101" t="s">
        <v>4489</v>
      </c>
      <c r="C42" s="101" t="s">
        <v>4515</v>
      </c>
      <c r="D42" s="101" t="s">
        <v>4522</v>
      </c>
      <c r="E42" s="102" t="s">
        <v>7</v>
      </c>
      <c r="F42" s="101" t="s">
        <v>4528</v>
      </c>
      <c r="G42" s="101" t="s">
        <v>4529</v>
      </c>
      <c r="H42" s="101" t="s">
        <v>4530</v>
      </c>
      <c r="I42" s="101" t="s">
        <v>4531</v>
      </c>
      <c r="J42" s="102" t="s">
        <v>1385</v>
      </c>
      <c r="K42" s="101" t="s">
        <v>1404</v>
      </c>
    </row>
    <row r="43" ht="45" customHeight="1" spans="1:11">
      <c r="A43" s="101" t="s">
        <v>4532</v>
      </c>
      <c r="B43" s="101" t="s">
        <v>4489</v>
      </c>
      <c r="C43" s="101" t="s">
        <v>4515</v>
      </c>
      <c r="D43" s="101" t="s">
        <v>4522</v>
      </c>
      <c r="E43" s="102" t="s">
        <v>7</v>
      </c>
      <c r="F43" s="101" t="s">
        <v>4533</v>
      </c>
      <c r="G43" s="101" t="s">
        <v>4534</v>
      </c>
      <c r="H43" s="101" t="s">
        <v>4535</v>
      </c>
      <c r="I43" s="101" t="s">
        <v>4536</v>
      </c>
      <c r="J43" s="102" t="s">
        <v>1385</v>
      </c>
      <c r="K43" s="101" t="s">
        <v>1404</v>
      </c>
    </row>
    <row r="44" ht="45" customHeight="1" spans="1:11">
      <c r="A44" s="101" t="s">
        <v>4537</v>
      </c>
      <c r="B44" s="101" t="s">
        <v>4489</v>
      </c>
      <c r="C44" s="101" t="s">
        <v>4515</v>
      </c>
      <c r="D44" s="101" t="s">
        <v>4522</v>
      </c>
      <c r="E44" s="102" t="s">
        <v>7</v>
      </c>
      <c r="F44" s="101" t="s">
        <v>4538</v>
      </c>
      <c r="G44" s="101" t="s">
        <v>4539</v>
      </c>
      <c r="H44" s="101" t="s">
        <v>4540</v>
      </c>
      <c r="I44" s="101" t="s">
        <v>4541</v>
      </c>
      <c r="J44" s="102" t="s">
        <v>1385</v>
      </c>
      <c r="K44" s="101" t="s">
        <v>1404</v>
      </c>
    </row>
    <row r="45" ht="60" customHeight="1" spans="1:11">
      <c r="A45" s="101" t="s">
        <v>4542</v>
      </c>
      <c r="B45" s="101" t="s">
        <v>4489</v>
      </c>
      <c r="C45" s="101" t="s">
        <v>4515</v>
      </c>
      <c r="D45" s="101" t="s">
        <v>4522</v>
      </c>
      <c r="E45" s="102" t="s">
        <v>7</v>
      </c>
      <c r="F45" s="101" t="s">
        <v>4543</v>
      </c>
      <c r="G45" s="101" t="s">
        <v>4544</v>
      </c>
      <c r="H45" s="101" t="s">
        <v>4545</v>
      </c>
      <c r="I45" s="101" t="s">
        <v>4546</v>
      </c>
      <c r="J45" s="102" t="s">
        <v>1385</v>
      </c>
      <c r="K45" s="101" t="s">
        <v>1404</v>
      </c>
    </row>
    <row r="46" ht="60" customHeight="1" spans="1:11">
      <c r="A46" s="101" t="s">
        <v>4547</v>
      </c>
      <c r="B46" s="101" t="s">
        <v>4489</v>
      </c>
      <c r="C46" s="101" t="s">
        <v>4515</v>
      </c>
      <c r="D46" s="101" t="s">
        <v>4548</v>
      </c>
      <c r="E46" s="102" t="s">
        <v>7</v>
      </c>
      <c r="F46" s="101" t="s">
        <v>4549</v>
      </c>
      <c r="G46" s="101" t="s">
        <v>4550</v>
      </c>
      <c r="H46" s="101" t="s">
        <v>4551</v>
      </c>
      <c r="I46" s="101" t="s">
        <v>4552</v>
      </c>
      <c r="J46" s="102" t="s">
        <v>1385</v>
      </c>
      <c r="K46" s="101" t="s">
        <v>1404</v>
      </c>
    </row>
    <row r="47" ht="60" customHeight="1" spans="1:11">
      <c r="A47" s="101" t="s">
        <v>4553</v>
      </c>
      <c r="B47" s="101" t="s">
        <v>4489</v>
      </c>
      <c r="C47" s="101" t="s">
        <v>4515</v>
      </c>
      <c r="D47" s="101" t="s">
        <v>4554</v>
      </c>
      <c r="E47" s="102" t="s">
        <v>7</v>
      </c>
      <c r="F47" s="101" t="s">
        <v>4555</v>
      </c>
      <c r="G47" s="101" t="s">
        <v>4556</v>
      </c>
      <c r="H47" s="101" t="s">
        <v>4557</v>
      </c>
      <c r="I47" s="101" t="s">
        <v>4558</v>
      </c>
      <c r="J47" s="102" t="s">
        <v>1385</v>
      </c>
      <c r="K47" s="101" t="s">
        <v>1404</v>
      </c>
    </row>
    <row r="48" ht="45" customHeight="1" spans="1:11">
      <c r="A48" s="101" t="s">
        <v>4559</v>
      </c>
      <c r="B48" s="101" t="s">
        <v>4489</v>
      </c>
      <c r="C48" s="101" t="s">
        <v>4515</v>
      </c>
      <c r="D48" s="101" t="s">
        <v>4560</v>
      </c>
      <c r="E48" s="102" t="s">
        <v>7</v>
      </c>
      <c r="F48" s="101" t="s">
        <v>4561</v>
      </c>
      <c r="G48" s="101" t="s">
        <v>428</v>
      </c>
      <c r="H48" s="101" t="s">
        <v>4562</v>
      </c>
      <c r="I48" s="101" t="s">
        <v>4563</v>
      </c>
      <c r="J48" s="102" t="s">
        <v>1385</v>
      </c>
      <c r="K48" s="101" t="s">
        <v>1404</v>
      </c>
    </row>
    <row r="49" ht="45" customHeight="1" spans="1:11">
      <c r="A49" s="101" t="s">
        <v>4564</v>
      </c>
      <c r="B49" s="101" t="s">
        <v>4489</v>
      </c>
      <c r="C49" s="101" t="s">
        <v>4515</v>
      </c>
      <c r="D49" s="101" t="s">
        <v>4554</v>
      </c>
      <c r="E49" s="102" t="s">
        <v>7</v>
      </c>
      <c r="F49" s="101" t="s">
        <v>4565</v>
      </c>
      <c r="G49" s="101" t="s">
        <v>4566</v>
      </c>
      <c r="H49" s="101" t="s">
        <v>4567</v>
      </c>
      <c r="I49" s="101" t="s">
        <v>4568</v>
      </c>
      <c r="J49" s="102" t="s">
        <v>1385</v>
      </c>
      <c r="K49" s="101" t="s">
        <v>1404</v>
      </c>
    </row>
    <row r="50" ht="45" customHeight="1" spans="1:11">
      <c r="A50" s="101" t="s">
        <v>4569</v>
      </c>
      <c r="B50" s="101" t="s">
        <v>4489</v>
      </c>
      <c r="C50" s="101" t="s">
        <v>4515</v>
      </c>
      <c r="D50" s="101" t="s">
        <v>4554</v>
      </c>
      <c r="E50" s="102" t="s">
        <v>7</v>
      </c>
      <c r="F50" s="101" t="s">
        <v>4570</v>
      </c>
      <c r="G50" s="101" t="s">
        <v>4571</v>
      </c>
      <c r="H50" s="101" t="s">
        <v>4572</v>
      </c>
      <c r="I50" s="101" t="s">
        <v>4573</v>
      </c>
      <c r="J50" s="102" t="s">
        <v>1385</v>
      </c>
      <c r="K50" s="101" t="s">
        <v>1404</v>
      </c>
    </row>
    <row r="51" ht="45" customHeight="1" spans="1:11">
      <c r="A51" s="101" t="s">
        <v>4574</v>
      </c>
      <c r="B51" s="101" t="s">
        <v>4489</v>
      </c>
      <c r="C51" s="101" t="s">
        <v>4515</v>
      </c>
      <c r="D51" s="101" t="s">
        <v>4554</v>
      </c>
      <c r="E51" s="102" t="s">
        <v>7</v>
      </c>
      <c r="F51" s="101" t="s">
        <v>4575</v>
      </c>
      <c r="G51" s="101" t="s">
        <v>4576</v>
      </c>
      <c r="H51" s="101" t="s">
        <v>4577</v>
      </c>
      <c r="I51" s="101" t="s">
        <v>4578</v>
      </c>
      <c r="J51" s="102" t="s">
        <v>1385</v>
      </c>
      <c r="K51" s="101" t="s">
        <v>1404</v>
      </c>
    </row>
    <row r="52" ht="45" customHeight="1" spans="1:11">
      <c r="A52" s="101" t="s">
        <v>4579</v>
      </c>
      <c r="B52" s="101" t="s">
        <v>4489</v>
      </c>
      <c r="C52" s="101" t="s">
        <v>4515</v>
      </c>
      <c r="D52" s="101" t="s">
        <v>4554</v>
      </c>
      <c r="E52" s="102" t="s">
        <v>7</v>
      </c>
      <c r="F52" s="101" t="s">
        <v>4580</v>
      </c>
      <c r="G52" s="101" t="s">
        <v>4581</v>
      </c>
      <c r="H52" s="101" t="s">
        <v>4582</v>
      </c>
      <c r="I52" s="101" t="s">
        <v>4583</v>
      </c>
      <c r="J52" s="102" t="s">
        <v>1385</v>
      </c>
      <c r="K52" s="101" t="s">
        <v>1404</v>
      </c>
    </row>
    <row r="53" ht="45" customHeight="1" spans="1:11">
      <c r="A53" s="101" t="s">
        <v>4584</v>
      </c>
      <c r="B53" s="101" t="s">
        <v>4489</v>
      </c>
      <c r="C53" s="101" t="s">
        <v>4515</v>
      </c>
      <c r="D53" s="101" t="s">
        <v>4585</v>
      </c>
      <c r="E53" s="102" t="s">
        <v>7</v>
      </c>
      <c r="F53" s="101" t="s">
        <v>4586</v>
      </c>
      <c r="G53" s="101" t="s">
        <v>4587</v>
      </c>
      <c r="H53" s="101" t="s">
        <v>4588</v>
      </c>
      <c r="I53" s="101" t="s">
        <v>4589</v>
      </c>
      <c r="J53" s="102" t="s">
        <v>1385</v>
      </c>
      <c r="K53" s="101" t="s">
        <v>1404</v>
      </c>
    </row>
    <row r="54" ht="60" customHeight="1" spans="1:11">
      <c r="A54" s="101" t="s">
        <v>4590</v>
      </c>
      <c r="B54" s="101" t="s">
        <v>4489</v>
      </c>
      <c r="C54" s="101" t="s">
        <v>4515</v>
      </c>
      <c r="D54" s="101" t="s">
        <v>4591</v>
      </c>
      <c r="E54" s="102" t="s">
        <v>7</v>
      </c>
      <c r="F54" s="101" t="s">
        <v>4592</v>
      </c>
      <c r="G54" s="101" t="s">
        <v>4593</v>
      </c>
      <c r="H54" s="101" t="s">
        <v>4594</v>
      </c>
      <c r="I54" s="101" t="s">
        <v>4595</v>
      </c>
      <c r="J54" s="102" t="s">
        <v>1385</v>
      </c>
      <c r="K54" s="101" t="s">
        <v>1404</v>
      </c>
    </row>
    <row r="55" ht="75" customHeight="1" spans="1:11">
      <c r="A55" s="101" t="s">
        <v>4596</v>
      </c>
      <c r="B55" s="101" t="s">
        <v>4489</v>
      </c>
      <c r="C55" s="101" t="s">
        <v>4515</v>
      </c>
      <c r="D55" s="101" t="s">
        <v>4597</v>
      </c>
      <c r="E55" s="102" t="s">
        <v>7</v>
      </c>
      <c r="F55" s="101" t="s">
        <v>4598</v>
      </c>
      <c r="G55" s="101" t="s">
        <v>4599</v>
      </c>
      <c r="H55" s="101" t="s">
        <v>4600</v>
      </c>
      <c r="I55" s="101" t="s">
        <v>4601</v>
      </c>
      <c r="J55" s="102" t="s">
        <v>1385</v>
      </c>
      <c r="K55" s="101" t="s">
        <v>1404</v>
      </c>
    </row>
    <row r="56" ht="90" customHeight="1" spans="1:11">
      <c r="A56" s="101" t="s">
        <v>4602</v>
      </c>
      <c r="B56" s="101" t="s">
        <v>4489</v>
      </c>
      <c r="C56" s="101" t="s">
        <v>4515</v>
      </c>
      <c r="D56" s="101" t="s">
        <v>4603</v>
      </c>
      <c r="E56" s="102" t="s">
        <v>7</v>
      </c>
      <c r="F56" s="101" t="s">
        <v>4604</v>
      </c>
      <c r="G56" s="101" t="s">
        <v>4605</v>
      </c>
      <c r="H56" s="101" t="s">
        <v>4606</v>
      </c>
      <c r="I56" s="101" t="s">
        <v>4607</v>
      </c>
      <c r="J56" s="102" t="s">
        <v>1385</v>
      </c>
      <c r="K56" s="101" t="s">
        <v>1404</v>
      </c>
    </row>
    <row r="57" ht="45" customHeight="1" spans="1:11">
      <c r="A57" s="101" t="s">
        <v>4608</v>
      </c>
      <c r="B57" s="101" t="s">
        <v>4489</v>
      </c>
      <c r="C57" s="101" t="s">
        <v>4515</v>
      </c>
      <c r="D57" s="101" t="s">
        <v>4591</v>
      </c>
      <c r="E57" s="102" t="s">
        <v>7</v>
      </c>
      <c r="F57" s="101" t="s">
        <v>4609</v>
      </c>
      <c r="G57" s="101" t="s">
        <v>4610</v>
      </c>
      <c r="H57" s="101" t="s">
        <v>4611</v>
      </c>
      <c r="I57" s="101" t="s">
        <v>4612</v>
      </c>
      <c r="J57" s="102" t="s">
        <v>1385</v>
      </c>
      <c r="K57" s="101" t="s">
        <v>1404</v>
      </c>
    </row>
    <row r="58" ht="45" customHeight="1" spans="1:11">
      <c r="A58" s="101" t="s">
        <v>4613</v>
      </c>
      <c r="B58" s="101" t="s">
        <v>4489</v>
      </c>
      <c r="C58" s="101" t="s">
        <v>4515</v>
      </c>
      <c r="D58" s="101" t="s">
        <v>4614</v>
      </c>
      <c r="E58" s="102" t="s">
        <v>7</v>
      </c>
      <c r="F58" s="101" t="s">
        <v>4615</v>
      </c>
      <c r="G58" s="101" t="s">
        <v>4616</v>
      </c>
      <c r="H58" s="101" t="s">
        <v>4617</v>
      </c>
      <c r="I58" s="101" t="s">
        <v>4618</v>
      </c>
      <c r="J58" s="102" t="s">
        <v>1385</v>
      </c>
      <c r="K58" s="101" t="s">
        <v>1404</v>
      </c>
    </row>
    <row r="59" ht="45" customHeight="1" spans="1:11">
      <c r="A59" s="101" t="s">
        <v>4619</v>
      </c>
      <c r="B59" s="101" t="s">
        <v>4489</v>
      </c>
      <c r="C59" s="101" t="s">
        <v>4515</v>
      </c>
      <c r="D59" s="101" t="s">
        <v>4614</v>
      </c>
      <c r="E59" s="102" t="s">
        <v>7</v>
      </c>
      <c r="F59" s="101" t="s">
        <v>4620</v>
      </c>
      <c r="G59" s="101" t="s">
        <v>4621</v>
      </c>
      <c r="H59" s="101" t="s">
        <v>4622</v>
      </c>
      <c r="I59" s="101" t="s">
        <v>4623</v>
      </c>
      <c r="J59" s="102" t="s">
        <v>1385</v>
      </c>
      <c r="K59" s="101" t="s">
        <v>1404</v>
      </c>
    </row>
    <row r="60" ht="45" customHeight="1" spans="1:11">
      <c r="A60" s="101" t="s">
        <v>4624</v>
      </c>
      <c r="B60" s="101" t="s">
        <v>4489</v>
      </c>
      <c r="C60" s="101" t="s">
        <v>4515</v>
      </c>
      <c r="D60" s="101" t="s">
        <v>4625</v>
      </c>
      <c r="E60" s="102" t="s">
        <v>7</v>
      </c>
      <c r="F60" s="101" t="s">
        <v>4626</v>
      </c>
      <c r="G60" s="101" t="s">
        <v>4627</v>
      </c>
      <c r="H60" s="101" t="s">
        <v>4628</v>
      </c>
      <c r="I60" s="101" t="s">
        <v>4629</v>
      </c>
      <c r="J60" s="102" t="s">
        <v>1385</v>
      </c>
      <c r="K60" s="101" t="s">
        <v>1404</v>
      </c>
    </row>
    <row r="61" spans="1:11">
      <c r="A61" s="98" t="s">
        <v>4492</v>
      </c>
      <c r="B61" s="99"/>
      <c r="C61" s="99"/>
      <c r="D61" s="99"/>
      <c r="E61" s="99"/>
      <c r="F61" s="99"/>
      <c r="G61" s="99"/>
      <c r="H61" s="99"/>
      <c r="I61" s="99"/>
      <c r="J61" s="99"/>
      <c r="K61" s="100"/>
    </row>
    <row r="62" ht="60" customHeight="1" spans="1:11">
      <c r="A62" s="101" t="s">
        <v>4630</v>
      </c>
      <c r="B62" s="101" t="s">
        <v>4492</v>
      </c>
      <c r="C62" s="101" t="s">
        <v>4631</v>
      </c>
      <c r="D62" s="101" t="s">
        <v>3938</v>
      </c>
      <c r="E62" s="102" t="s">
        <v>7</v>
      </c>
      <c r="F62" s="101" t="s">
        <v>4632</v>
      </c>
      <c r="G62" s="101" t="s">
        <v>4633</v>
      </c>
      <c r="H62" s="101" t="s">
        <v>4634</v>
      </c>
      <c r="I62" s="101" t="s">
        <v>4635</v>
      </c>
      <c r="J62" s="102" t="s">
        <v>1385</v>
      </c>
      <c r="K62" s="101" t="s">
        <v>4071</v>
      </c>
    </row>
    <row r="63" spans="1:11">
      <c r="A63" s="98" t="s">
        <v>4489</v>
      </c>
      <c r="B63" s="99"/>
      <c r="C63" s="99"/>
      <c r="D63" s="99"/>
      <c r="E63" s="99"/>
      <c r="F63" s="99"/>
      <c r="G63" s="99"/>
      <c r="H63" s="99"/>
      <c r="I63" s="99"/>
      <c r="J63" s="99"/>
      <c r="K63" s="100"/>
    </row>
    <row r="64" ht="45" customHeight="1" spans="1:11">
      <c r="A64" s="101" t="s">
        <v>4636</v>
      </c>
      <c r="B64" s="101" t="s">
        <v>4489</v>
      </c>
      <c r="C64" s="101" t="s">
        <v>4637</v>
      </c>
      <c r="D64" s="101" t="s">
        <v>4522</v>
      </c>
      <c r="E64" s="102" t="s">
        <v>7</v>
      </c>
      <c r="F64" s="101" t="s">
        <v>4638</v>
      </c>
      <c r="G64" s="101" t="s">
        <v>4639</v>
      </c>
      <c r="H64" s="101" t="s">
        <v>4545</v>
      </c>
      <c r="I64" s="101" t="s">
        <v>4640</v>
      </c>
      <c r="J64" s="102" t="s">
        <v>1508</v>
      </c>
      <c r="K64" s="101" t="s">
        <v>1404</v>
      </c>
    </row>
    <row r="65" ht="45" customHeight="1" spans="1:11">
      <c r="A65" s="101" t="s">
        <v>4641</v>
      </c>
      <c r="B65" s="101" t="s">
        <v>4489</v>
      </c>
      <c r="C65" s="101" t="s">
        <v>4637</v>
      </c>
      <c r="D65" s="101" t="s">
        <v>4522</v>
      </c>
      <c r="E65" s="102" t="s">
        <v>7</v>
      </c>
      <c r="F65" s="101" t="s">
        <v>4642</v>
      </c>
      <c r="G65" s="101" t="s">
        <v>4643</v>
      </c>
      <c r="H65" s="101" t="s">
        <v>4644</v>
      </c>
      <c r="I65" s="101" t="s">
        <v>4645</v>
      </c>
      <c r="J65" s="102" t="s">
        <v>1508</v>
      </c>
      <c r="K65" s="101" t="s">
        <v>1404</v>
      </c>
    </row>
    <row r="66" ht="60" customHeight="1" spans="1:11">
      <c r="A66" s="101" t="s">
        <v>4646</v>
      </c>
      <c r="B66" s="101" t="s">
        <v>4489</v>
      </c>
      <c r="C66" s="101" t="s">
        <v>4637</v>
      </c>
      <c r="D66" s="101" t="s">
        <v>4597</v>
      </c>
      <c r="E66" s="102" t="s">
        <v>7</v>
      </c>
      <c r="F66" s="101" t="s">
        <v>4647</v>
      </c>
      <c r="G66" s="101" t="s">
        <v>4648</v>
      </c>
      <c r="H66" s="101" t="s">
        <v>4649</v>
      </c>
      <c r="I66" s="101" t="s">
        <v>4650</v>
      </c>
      <c r="J66" s="102" t="s">
        <v>1508</v>
      </c>
      <c r="K66" s="101" t="s">
        <v>1404</v>
      </c>
    </row>
    <row r="68" spans="1:11">
      <c r="A68" s="80" t="s">
        <v>1526</v>
      </c>
      <c r="B68" s="103">
        <f>COUNTIF(J39:J66,"PASS")+COUNTIF(J39:J66,"FAIL")</f>
        <v>25</v>
      </c>
    </row>
    <row r="69" spans="1:11">
      <c r="A69" s="80" t="s">
        <v>1385</v>
      </c>
      <c r="B69" s="103">
        <f>COUNTIF(J39:J66,"PASS")</f>
        <v>22</v>
      </c>
    </row>
    <row r="70" spans="1:11">
      <c r="A70" s="80" t="s">
        <v>1508</v>
      </c>
      <c r="B70" s="103">
        <f>COUNTIF(J39:J66,"FAIL")</f>
        <v>3</v>
      </c>
    </row>
    <row r="71" spans="1:11">
      <c r="A71" s="80" t="s">
        <v>1527</v>
      </c>
      <c r="B71" s="104">
        <f>IFERROR(B69/B68,0)</f>
        <v>0.88</v>
      </c>
    </row>
    <row r="73" spans="1:11">
      <c r="A73" s="105" t="s">
        <v>1528</v>
      </c>
      <c r="B73" s="16"/>
      <c r="C73" s="16"/>
      <c r="D73" s="16"/>
      <c r="E73" s="16"/>
      <c r="F73" s="16"/>
      <c r="G73" s="16"/>
      <c r="H73" s="16"/>
      <c r="I73" s="16"/>
      <c r="J73" s="16"/>
      <c r="K73" s="17"/>
    </row>
    <row r="74" ht="16.5" spans="1:11">
      <c r="A74" s="106" t="s">
        <v>1368</v>
      </c>
      <c r="B74" s="106" t="s">
        <v>1529</v>
      </c>
      <c r="C74" s="16"/>
      <c r="D74" s="16"/>
      <c r="E74" s="16"/>
      <c r="F74" s="16"/>
      <c r="G74" s="16"/>
      <c r="H74" s="17"/>
      <c r="I74" s="106" t="s">
        <v>1530</v>
      </c>
      <c r="J74" s="16"/>
      <c r="K74" s="17"/>
    </row>
    <row r="75" ht="45" customHeight="1" spans="1:11">
      <c r="A75" s="101" t="s">
        <v>4636</v>
      </c>
      <c r="B75" s="101" t="s">
        <v>4651</v>
      </c>
      <c r="C75" s="99"/>
      <c r="D75" s="99"/>
      <c r="E75" s="99"/>
      <c r="F75" s="99"/>
      <c r="G75" s="99"/>
      <c r="H75" s="100"/>
      <c r="I75" s="101" t="s">
        <v>4652</v>
      </c>
      <c r="J75" s="99"/>
      <c r="K75" s="100"/>
    </row>
    <row r="76" ht="45" customHeight="1" spans="1:11">
      <c r="A76" s="101" t="s">
        <v>4641</v>
      </c>
      <c r="B76" s="101" t="s">
        <v>4653</v>
      </c>
      <c r="C76" s="99"/>
      <c r="D76" s="99"/>
      <c r="E76" s="99"/>
      <c r="F76" s="99"/>
      <c r="G76" s="99"/>
      <c r="H76" s="100"/>
      <c r="I76" s="101" t="s">
        <v>4654</v>
      </c>
      <c r="J76" s="99"/>
      <c r="K76" s="100"/>
    </row>
    <row r="77" ht="30" customHeight="1" spans="1:11">
      <c r="A77" s="101" t="s">
        <v>4646</v>
      </c>
      <c r="B77" s="101" t="s">
        <v>4655</v>
      </c>
      <c r="C77" s="99"/>
      <c r="D77" s="99"/>
      <c r="E77" s="99"/>
      <c r="F77" s="99"/>
      <c r="G77" s="99"/>
      <c r="H77" s="100"/>
      <c r="I77" s="101" t="s">
        <v>4656</v>
      </c>
      <c r="J77" s="99"/>
      <c r="K77" s="100"/>
    </row>
  </sheetData>
  <mergeCells count="44">
    <mergeCell ref="A1:E1"/>
    <mergeCell ref="A2:E2"/>
    <mergeCell ref="A3:B3"/>
    <mergeCell ref="C3:E3"/>
    <mergeCell ref="A4:B4"/>
    <mergeCell ref="C4:E4"/>
    <mergeCell ref="A5:B5"/>
    <mergeCell ref="C5:E5"/>
    <mergeCell ref="A6:B6"/>
    <mergeCell ref="C6:E6"/>
    <mergeCell ref="A7:B7"/>
    <mergeCell ref="C7:E7"/>
    <mergeCell ref="A8:B8"/>
    <mergeCell ref="C8:E8"/>
    <mergeCell ref="A10:E10"/>
    <mergeCell ref="A11:E11"/>
    <mergeCell ref="C12:D12"/>
    <mergeCell ref="C13:D13"/>
    <mergeCell ref="C14:D14"/>
    <mergeCell ref="A16:E16"/>
    <mergeCell ref="C17:E17"/>
    <mergeCell ref="C18:E18"/>
    <mergeCell ref="C19:E19"/>
    <mergeCell ref="A21:E21"/>
    <mergeCell ref="C22:E22"/>
    <mergeCell ref="C23:E23"/>
    <mergeCell ref="C24:E24"/>
    <mergeCell ref="C25:E25"/>
    <mergeCell ref="C26:E26"/>
    <mergeCell ref="A28:E28"/>
    <mergeCell ref="A33:E33"/>
    <mergeCell ref="A37:K37"/>
    <mergeCell ref="A39:K39"/>
    <mergeCell ref="A61:K61"/>
    <mergeCell ref="A63:K63"/>
    <mergeCell ref="A73:K73"/>
    <mergeCell ref="B74:H74"/>
    <mergeCell ref="I74:K74"/>
    <mergeCell ref="B75:H75"/>
    <mergeCell ref="I75:K75"/>
    <mergeCell ref="B76:H76"/>
    <mergeCell ref="I76:K76"/>
    <mergeCell ref="B77:H77"/>
    <mergeCell ref="I77:K77"/>
  </mergeCells>
  <conditionalFormatting sqref="J39:J66">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
  <sheetViews>
    <sheetView workbookViewId="0">
      <pane xSplit="1" ySplit="12" topLeftCell="B13" activePane="bottomRight" state="frozen"/>
      <selection/>
      <selection pane="topRight"/>
      <selection pane="bottomLeft"/>
      <selection pane="bottomRight" activeCell="A1" sqref="A1:J1"/>
    </sheetView>
  </sheetViews>
  <sheetFormatPr defaultColWidth="9" defaultRowHeight="15"/>
  <cols>
    <col min="1" max="1" width="15" customWidth="1"/>
    <col min="2" max="2" width="34" customWidth="1"/>
    <col min="3" max="3" width="9" customWidth="1"/>
    <col min="4" max="4" width="34" customWidth="1"/>
    <col min="5" max="5" width="24" customWidth="1"/>
    <col min="6" max="6" width="34" customWidth="1"/>
    <col min="7" max="7" width="30" customWidth="1"/>
    <col min="8" max="8" width="38" customWidth="1"/>
    <col min="9" max="9" width="11" customWidth="1"/>
    <col min="10" max="10" width="34" customWidth="1"/>
  </cols>
  <sheetData>
    <row r="1" ht="20.25" spans="1:10">
      <c r="A1" s="61" t="s">
        <v>1539</v>
      </c>
    </row>
    <row r="3" spans="1:10">
      <c r="A3" s="62" t="s">
        <v>1008</v>
      </c>
      <c r="B3" s="63" t="s">
        <v>227</v>
      </c>
      <c r="D3" s="62" t="s">
        <v>1540</v>
      </c>
      <c r="E3" s="63" t="s">
        <v>7</v>
      </c>
    </row>
    <row r="4" ht="30" spans="1:10">
      <c r="A4" s="62" t="s">
        <v>1541</v>
      </c>
      <c r="B4" s="64" t="s">
        <v>1542</v>
      </c>
      <c r="D4" s="62" t="s">
        <v>1543</v>
      </c>
      <c r="E4" s="63" t="s">
        <v>233</v>
      </c>
    </row>
    <row r="5" spans="1:10">
      <c r="A5" s="62" t="s">
        <v>1544</v>
      </c>
      <c r="B5" s="63" t="s">
        <v>1545</v>
      </c>
      <c r="D5" s="62" t="s">
        <v>1546</v>
      </c>
      <c r="E5" s="63" t="s">
        <v>49</v>
      </c>
    </row>
    <row r="6" ht="45" spans="1:10">
      <c r="A6" s="62" t="s">
        <v>1547</v>
      </c>
      <c r="B6" s="63" t="s">
        <v>1548</v>
      </c>
      <c r="D6" s="62" t="s">
        <v>1549</v>
      </c>
      <c r="E6" s="64" t="s">
        <v>1550</v>
      </c>
    </row>
    <row r="8" ht="15.75" spans="1:10">
      <c r="A8" s="65" t="s">
        <v>1551</v>
      </c>
      <c r="B8" s="66"/>
      <c r="C8" s="66"/>
      <c r="D8" s="66"/>
      <c r="E8" s="66"/>
    </row>
    <row r="9" ht="28.5" spans="1:10">
      <c r="A9" s="67" t="s">
        <v>1552</v>
      </c>
      <c r="B9" s="67" t="s">
        <v>1553</v>
      </c>
      <c r="C9" s="67" t="s">
        <v>1554</v>
      </c>
      <c r="D9" s="67" t="s">
        <v>1555</v>
      </c>
      <c r="E9" s="67" t="s">
        <v>1556</v>
      </c>
    </row>
    <row r="10" spans="1:10">
      <c r="A10" s="68">
        <f>COUNTIF(I13:I45,"Pass")+COUNTIF(I13:I45,"Fail")</f>
        <v>22</v>
      </c>
      <c r="B10" s="68">
        <f>COUNTIF(I13:I45,"Pass")</f>
        <v>19</v>
      </c>
      <c r="C10" s="68">
        <f>COUNTIF(I13:I45,"Fail")</f>
        <v>3</v>
      </c>
      <c r="D10" s="69">
        <f>IFERROR(B10/A10,0)</f>
        <v>0.863636363636364</v>
      </c>
      <c r="E10" s="69">
        <f>IFERROR(C10/A10,0)</f>
        <v>0.136363636363636</v>
      </c>
    </row>
    <row r="12" ht="28.5" spans="1:10">
      <c r="A12" s="70" t="s">
        <v>1368</v>
      </c>
      <c r="B12" s="70" t="s">
        <v>1557</v>
      </c>
      <c r="C12" s="70" t="s">
        <v>1558</v>
      </c>
      <c r="D12" s="70" t="s">
        <v>1559</v>
      </c>
      <c r="E12" s="70" t="s">
        <v>1560</v>
      </c>
      <c r="F12" s="70" t="s">
        <v>1561</v>
      </c>
      <c r="G12" s="70" t="s">
        <v>1562</v>
      </c>
      <c r="H12" s="70" t="s">
        <v>1563</v>
      </c>
      <c r="I12" s="70" t="s">
        <v>1564</v>
      </c>
      <c r="J12" s="70" t="s">
        <v>1565</v>
      </c>
    </row>
    <row r="13" ht="15.75" spans="1:10">
      <c r="A13" s="71" t="s">
        <v>4657</v>
      </c>
      <c r="B13" s="48"/>
      <c r="C13" s="48"/>
      <c r="D13" s="48"/>
      <c r="E13" s="48"/>
      <c r="F13" s="48"/>
      <c r="G13" s="48"/>
      <c r="H13" s="48"/>
      <c r="I13" s="48"/>
      <c r="J13" s="32"/>
    </row>
    <row r="14" ht="45" customHeight="1" spans="1:10">
      <c r="A14" s="72" t="s">
        <v>4658</v>
      </c>
      <c r="B14" s="72" t="s">
        <v>4659</v>
      </c>
      <c r="C14" s="73" t="s">
        <v>1569</v>
      </c>
      <c r="D14" s="72" t="s">
        <v>4660</v>
      </c>
      <c r="E14" s="72" t="s">
        <v>1595</v>
      </c>
      <c r="F14" s="72" t="s">
        <v>4661</v>
      </c>
      <c r="G14" s="72" t="s">
        <v>4662</v>
      </c>
      <c r="H14" s="72" t="s">
        <v>4663</v>
      </c>
      <c r="I14" s="73" t="s">
        <v>1129</v>
      </c>
      <c r="J14" s="72" t="s">
        <v>7</v>
      </c>
    </row>
    <row r="15" ht="15.75" spans="1:10">
      <c r="A15" s="71" t="s">
        <v>1729</v>
      </c>
      <c r="B15" s="48"/>
      <c r="C15" s="48"/>
      <c r="D15" s="48"/>
      <c r="E15" s="48"/>
      <c r="F15" s="48"/>
      <c r="G15" s="48"/>
      <c r="H15" s="48"/>
      <c r="I15" s="48"/>
      <c r="J15" s="32"/>
    </row>
    <row r="16" ht="75" customHeight="1" spans="1:10">
      <c r="A16" s="72" t="s">
        <v>4664</v>
      </c>
      <c r="B16" s="72" t="s">
        <v>4659</v>
      </c>
      <c r="C16" s="73" t="s">
        <v>1569</v>
      </c>
      <c r="D16" s="72" t="s">
        <v>4665</v>
      </c>
      <c r="E16" s="72" t="s">
        <v>1652</v>
      </c>
      <c r="F16" s="72" t="s">
        <v>4666</v>
      </c>
      <c r="G16" s="72" t="s">
        <v>4667</v>
      </c>
      <c r="H16" s="72" t="s">
        <v>4668</v>
      </c>
      <c r="I16" s="73" t="s">
        <v>1130</v>
      </c>
      <c r="J16" s="72" t="s">
        <v>4669</v>
      </c>
    </row>
    <row r="17" ht="15.75" spans="1:10">
      <c r="A17" s="71" t="s">
        <v>4657</v>
      </c>
      <c r="B17" s="48"/>
      <c r="C17" s="48"/>
      <c r="D17" s="48"/>
      <c r="E17" s="48"/>
      <c r="F17" s="48"/>
      <c r="G17" s="48"/>
      <c r="H17" s="48"/>
      <c r="I17" s="48"/>
      <c r="J17" s="32"/>
    </row>
    <row r="18" ht="105" customHeight="1" spans="1:10">
      <c r="A18" s="72" t="s">
        <v>4670</v>
      </c>
      <c r="B18" s="72" t="s">
        <v>4659</v>
      </c>
      <c r="C18" s="73" t="s">
        <v>1569</v>
      </c>
      <c r="D18" s="72" t="s">
        <v>4671</v>
      </c>
      <c r="E18" s="72" t="s">
        <v>1595</v>
      </c>
      <c r="F18" s="72" t="s">
        <v>4666</v>
      </c>
      <c r="G18" s="72" t="s">
        <v>4672</v>
      </c>
      <c r="H18" s="72" t="s">
        <v>4673</v>
      </c>
      <c r="I18" s="73" t="s">
        <v>1129</v>
      </c>
      <c r="J18" s="72" t="s">
        <v>7</v>
      </c>
    </row>
    <row r="19" ht="15.75" spans="1:10">
      <c r="A19" s="71" t="s">
        <v>4674</v>
      </c>
      <c r="B19" s="48"/>
      <c r="C19" s="48"/>
      <c r="D19" s="48"/>
      <c r="E19" s="48"/>
      <c r="F19" s="48"/>
      <c r="G19" s="48"/>
      <c r="H19" s="48"/>
      <c r="I19" s="48"/>
      <c r="J19" s="32"/>
    </row>
    <row r="20" ht="45" customHeight="1" spans="1:10">
      <c r="A20" s="72" t="s">
        <v>4675</v>
      </c>
      <c r="B20" s="72" t="s">
        <v>4676</v>
      </c>
      <c r="C20" s="73" t="s">
        <v>1585</v>
      </c>
      <c r="D20" s="72" t="s">
        <v>4677</v>
      </c>
      <c r="E20" s="72" t="s">
        <v>1571</v>
      </c>
      <c r="F20" s="72" t="s">
        <v>1588</v>
      </c>
      <c r="G20" s="72" t="s">
        <v>4678</v>
      </c>
      <c r="H20" s="72" t="s">
        <v>4679</v>
      </c>
      <c r="I20" s="73" t="s">
        <v>1129</v>
      </c>
      <c r="J20" s="72" t="s">
        <v>7</v>
      </c>
    </row>
    <row r="21" ht="105" customHeight="1" spans="1:10">
      <c r="A21" s="72" t="s">
        <v>4680</v>
      </c>
      <c r="B21" s="72" t="s">
        <v>4681</v>
      </c>
      <c r="C21" s="73" t="s">
        <v>1585</v>
      </c>
      <c r="D21" s="72" t="s">
        <v>4682</v>
      </c>
      <c r="E21" s="72" t="s">
        <v>1571</v>
      </c>
      <c r="F21" s="72" t="s">
        <v>4683</v>
      </c>
      <c r="G21" s="72" t="s">
        <v>4684</v>
      </c>
      <c r="H21" s="72" t="s">
        <v>4685</v>
      </c>
      <c r="I21" s="73" t="s">
        <v>1129</v>
      </c>
      <c r="J21" s="72" t="s">
        <v>7</v>
      </c>
    </row>
    <row r="22" ht="105" customHeight="1" spans="1:10">
      <c r="A22" s="72" t="s">
        <v>4686</v>
      </c>
      <c r="B22" s="72" t="s">
        <v>4681</v>
      </c>
      <c r="C22" s="73" t="s">
        <v>1585</v>
      </c>
      <c r="D22" s="72" t="s">
        <v>4687</v>
      </c>
      <c r="E22" s="72" t="s">
        <v>1571</v>
      </c>
      <c r="F22" s="72" t="s">
        <v>4683</v>
      </c>
      <c r="G22" s="72" t="s">
        <v>4688</v>
      </c>
      <c r="H22" s="72" t="s">
        <v>4689</v>
      </c>
      <c r="I22" s="73" t="s">
        <v>1129</v>
      </c>
      <c r="J22" s="72" t="s">
        <v>7</v>
      </c>
    </row>
    <row r="23" ht="105" customHeight="1" spans="1:10">
      <c r="A23" s="72" t="s">
        <v>4690</v>
      </c>
      <c r="B23" s="72" t="s">
        <v>4681</v>
      </c>
      <c r="C23" s="73" t="s">
        <v>1585</v>
      </c>
      <c r="D23" s="72" t="s">
        <v>4691</v>
      </c>
      <c r="E23" s="72" t="s">
        <v>1571</v>
      </c>
      <c r="F23" s="72" t="s">
        <v>4683</v>
      </c>
      <c r="G23" s="72" t="s">
        <v>4692</v>
      </c>
      <c r="H23" s="72" t="s">
        <v>4693</v>
      </c>
      <c r="I23" s="73" t="s">
        <v>1129</v>
      </c>
      <c r="J23" s="72" t="s">
        <v>7</v>
      </c>
    </row>
    <row r="24" ht="105" customHeight="1" spans="1:10">
      <c r="A24" s="72" t="s">
        <v>4694</v>
      </c>
      <c r="B24" s="72" t="s">
        <v>3515</v>
      </c>
      <c r="C24" s="73" t="s">
        <v>1585</v>
      </c>
      <c r="D24" s="72" t="s">
        <v>4695</v>
      </c>
      <c r="E24" s="72" t="s">
        <v>1595</v>
      </c>
      <c r="F24" s="72" t="s">
        <v>1588</v>
      </c>
      <c r="G24" s="72" t="s">
        <v>4696</v>
      </c>
      <c r="H24" s="72" t="s">
        <v>4697</v>
      </c>
      <c r="I24" s="73" t="s">
        <v>1129</v>
      </c>
      <c r="J24" s="72" t="s">
        <v>7</v>
      </c>
    </row>
    <row r="25" ht="105" customHeight="1" spans="1:10">
      <c r="A25" s="72" t="s">
        <v>4698</v>
      </c>
      <c r="B25" s="72" t="s">
        <v>4681</v>
      </c>
      <c r="C25" s="73" t="s">
        <v>1585</v>
      </c>
      <c r="D25" s="72" t="s">
        <v>4699</v>
      </c>
      <c r="E25" s="72" t="s">
        <v>1571</v>
      </c>
      <c r="F25" s="72" t="s">
        <v>4683</v>
      </c>
      <c r="G25" s="72" t="s">
        <v>4700</v>
      </c>
      <c r="H25" s="72" t="s">
        <v>4701</v>
      </c>
      <c r="I25" s="73" t="s">
        <v>1129</v>
      </c>
      <c r="J25" s="72" t="s">
        <v>7</v>
      </c>
    </row>
    <row r="26" ht="15.75" spans="1:10">
      <c r="A26" s="71" t="s">
        <v>4114</v>
      </c>
      <c r="B26" s="48"/>
      <c r="C26" s="48"/>
      <c r="D26" s="48"/>
      <c r="E26" s="48"/>
      <c r="F26" s="48"/>
      <c r="G26" s="48"/>
      <c r="H26" s="48"/>
      <c r="I26" s="48"/>
      <c r="J26" s="32"/>
    </row>
    <row r="27" ht="105" customHeight="1" spans="1:10">
      <c r="A27" s="72" t="s">
        <v>4702</v>
      </c>
      <c r="B27" s="72" t="s">
        <v>4703</v>
      </c>
      <c r="C27" s="73" t="s">
        <v>1585</v>
      </c>
      <c r="D27" s="72" t="s">
        <v>4704</v>
      </c>
      <c r="E27" s="72" t="s">
        <v>1595</v>
      </c>
      <c r="F27" s="72" t="s">
        <v>1588</v>
      </c>
      <c r="G27" s="72" t="s">
        <v>4705</v>
      </c>
      <c r="H27" s="72" t="s">
        <v>4706</v>
      </c>
      <c r="I27" s="73" t="s">
        <v>1129</v>
      </c>
      <c r="J27" s="72" t="s">
        <v>7</v>
      </c>
    </row>
    <row r="28" ht="15.75" spans="1:10">
      <c r="A28" s="71" t="s">
        <v>1729</v>
      </c>
      <c r="B28" s="48"/>
      <c r="C28" s="48"/>
      <c r="D28" s="48"/>
      <c r="E28" s="48"/>
      <c r="F28" s="48"/>
      <c r="G28" s="48"/>
      <c r="H28" s="48"/>
      <c r="I28" s="48"/>
      <c r="J28" s="32"/>
    </row>
    <row r="29" ht="60" customHeight="1" spans="1:10">
      <c r="A29" s="72" t="s">
        <v>4707</v>
      </c>
      <c r="B29" s="72" t="s">
        <v>4703</v>
      </c>
      <c r="C29" s="73" t="s">
        <v>1585</v>
      </c>
      <c r="D29" s="72" t="s">
        <v>4708</v>
      </c>
      <c r="E29" s="72" t="s">
        <v>1652</v>
      </c>
      <c r="F29" s="72" t="s">
        <v>1588</v>
      </c>
      <c r="G29" s="72" t="s">
        <v>4709</v>
      </c>
      <c r="H29" s="72" t="s">
        <v>4710</v>
      </c>
      <c r="I29" s="73" t="s">
        <v>1129</v>
      </c>
      <c r="J29" s="72" t="s">
        <v>7</v>
      </c>
    </row>
    <row r="30" ht="15.75" spans="1:10">
      <c r="A30" s="71" t="s">
        <v>4114</v>
      </c>
      <c r="B30" s="48"/>
      <c r="C30" s="48"/>
      <c r="D30" s="48"/>
      <c r="E30" s="48"/>
      <c r="F30" s="48"/>
      <c r="G30" s="48"/>
      <c r="H30" s="48"/>
      <c r="I30" s="48"/>
      <c r="J30" s="32"/>
    </row>
    <row r="31" ht="60" customHeight="1" spans="1:10">
      <c r="A31" s="72" t="s">
        <v>4711</v>
      </c>
      <c r="B31" s="72" t="s">
        <v>4712</v>
      </c>
      <c r="C31" s="73" t="s">
        <v>1585</v>
      </c>
      <c r="D31" s="72" t="s">
        <v>4713</v>
      </c>
      <c r="E31" s="72" t="s">
        <v>1663</v>
      </c>
      <c r="F31" s="72" t="s">
        <v>1588</v>
      </c>
      <c r="G31" s="72" t="s">
        <v>2638</v>
      </c>
      <c r="H31" s="72" t="s">
        <v>4714</v>
      </c>
      <c r="I31" s="73" t="s">
        <v>1130</v>
      </c>
      <c r="J31" s="72" t="s">
        <v>4715</v>
      </c>
    </row>
    <row r="32" ht="15.75" spans="1:10">
      <c r="A32" s="71" t="s">
        <v>4657</v>
      </c>
      <c r="B32" s="48"/>
      <c r="C32" s="48"/>
      <c r="D32" s="48"/>
      <c r="E32" s="48"/>
      <c r="F32" s="48"/>
      <c r="G32" s="48"/>
      <c r="H32" s="48"/>
      <c r="I32" s="48"/>
      <c r="J32" s="32"/>
    </row>
    <row r="33" ht="75" customHeight="1" spans="1:10">
      <c r="A33" s="72" t="s">
        <v>4716</v>
      </c>
      <c r="B33" s="72" t="s">
        <v>4659</v>
      </c>
      <c r="C33" s="73" t="s">
        <v>1569</v>
      </c>
      <c r="D33" s="72" t="s">
        <v>4717</v>
      </c>
      <c r="E33" s="72" t="s">
        <v>1595</v>
      </c>
      <c r="F33" s="72" t="s">
        <v>4666</v>
      </c>
      <c r="G33" s="72" t="s">
        <v>4718</v>
      </c>
      <c r="H33" s="72" t="s">
        <v>4719</v>
      </c>
      <c r="I33" s="73" t="s">
        <v>1130</v>
      </c>
      <c r="J33" s="72" t="s">
        <v>1718</v>
      </c>
    </row>
    <row r="34" ht="15.75" spans="1:10">
      <c r="A34" s="71" t="s">
        <v>4720</v>
      </c>
      <c r="B34" s="48"/>
      <c r="C34" s="48"/>
      <c r="D34" s="48"/>
      <c r="E34" s="48"/>
      <c r="F34" s="48"/>
      <c r="G34" s="48"/>
      <c r="H34" s="48"/>
      <c r="I34" s="48"/>
      <c r="J34" s="32"/>
    </row>
    <row r="35" ht="105" customHeight="1" spans="1:10">
      <c r="A35" s="72" t="s">
        <v>4721</v>
      </c>
      <c r="B35" s="72" t="s">
        <v>4722</v>
      </c>
      <c r="C35" s="73" t="s">
        <v>1585</v>
      </c>
      <c r="D35" s="72" t="s">
        <v>4723</v>
      </c>
      <c r="E35" s="72" t="s">
        <v>1663</v>
      </c>
      <c r="F35" s="72" t="s">
        <v>1588</v>
      </c>
      <c r="G35" s="72" t="s">
        <v>4724</v>
      </c>
      <c r="H35" s="72" t="s">
        <v>4725</v>
      </c>
      <c r="I35" s="73" t="s">
        <v>1129</v>
      </c>
      <c r="J35" s="72" t="s">
        <v>7</v>
      </c>
    </row>
    <row r="36" ht="15.75" spans="1:10">
      <c r="A36" s="71" t="s">
        <v>4726</v>
      </c>
      <c r="B36" s="48"/>
      <c r="C36" s="48"/>
      <c r="D36" s="48"/>
      <c r="E36" s="48"/>
      <c r="F36" s="48"/>
      <c r="G36" s="48"/>
      <c r="H36" s="48"/>
      <c r="I36" s="48"/>
      <c r="J36" s="32"/>
    </row>
    <row r="37" ht="45" customHeight="1" spans="1:10">
      <c r="A37" s="72" t="s">
        <v>4727</v>
      </c>
      <c r="B37" s="72" t="s">
        <v>4728</v>
      </c>
      <c r="C37" s="73" t="s">
        <v>1569</v>
      </c>
      <c r="D37" s="72" t="s">
        <v>4729</v>
      </c>
      <c r="E37" s="72" t="s">
        <v>1668</v>
      </c>
      <c r="F37" s="72" t="s">
        <v>4730</v>
      </c>
      <c r="G37" s="72" t="s">
        <v>4709</v>
      </c>
      <c r="H37" s="72" t="s">
        <v>4731</v>
      </c>
      <c r="I37" s="73" t="s">
        <v>1129</v>
      </c>
      <c r="J37" s="72" t="s">
        <v>7</v>
      </c>
    </row>
    <row r="38" ht="75" customHeight="1" spans="1:10">
      <c r="A38" s="72" t="s">
        <v>4732</v>
      </c>
      <c r="B38" s="72" t="s">
        <v>4728</v>
      </c>
      <c r="C38" s="73" t="s">
        <v>1569</v>
      </c>
      <c r="D38" s="72" t="s">
        <v>4733</v>
      </c>
      <c r="E38" s="72" t="s">
        <v>1663</v>
      </c>
      <c r="F38" s="72" t="s">
        <v>4734</v>
      </c>
      <c r="G38" s="72" t="s">
        <v>4735</v>
      </c>
      <c r="H38" s="72" t="s">
        <v>4736</v>
      </c>
      <c r="I38" s="73" t="s">
        <v>1129</v>
      </c>
      <c r="J38" s="72" t="s">
        <v>7</v>
      </c>
    </row>
    <row r="39" ht="45" customHeight="1" spans="1:10">
      <c r="A39" s="72" t="s">
        <v>4737</v>
      </c>
      <c r="B39" s="72" t="s">
        <v>4728</v>
      </c>
      <c r="C39" s="73" t="s">
        <v>1569</v>
      </c>
      <c r="D39" s="72" t="s">
        <v>4738</v>
      </c>
      <c r="E39" s="72" t="s">
        <v>1663</v>
      </c>
      <c r="F39" s="72" t="s">
        <v>4739</v>
      </c>
      <c r="G39" s="72" t="s">
        <v>4740</v>
      </c>
      <c r="H39" s="72" t="s">
        <v>4741</v>
      </c>
      <c r="I39" s="73" t="s">
        <v>1129</v>
      </c>
      <c r="J39" s="72" t="s">
        <v>7</v>
      </c>
    </row>
    <row r="40" ht="45" customHeight="1" spans="1:10">
      <c r="A40" s="72" t="s">
        <v>4742</v>
      </c>
      <c r="B40" s="72" t="s">
        <v>3530</v>
      </c>
      <c r="C40" s="73" t="s">
        <v>1569</v>
      </c>
      <c r="D40" s="72" t="s">
        <v>4743</v>
      </c>
      <c r="E40" s="72" t="s">
        <v>1595</v>
      </c>
      <c r="F40" s="72" t="s">
        <v>1588</v>
      </c>
      <c r="G40" s="72" t="s">
        <v>4744</v>
      </c>
      <c r="H40" s="72" t="s">
        <v>4745</v>
      </c>
      <c r="I40" s="73" t="s">
        <v>1129</v>
      </c>
      <c r="J40" s="72" t="s">
        <v>7</v>
      </c>
    </row>
    <row r="41" ht="105" customHeight="1" spans="1:10">
      <c r="A41" s="72" t="s">
        <v>4746</v>
      </c>
      <c r="B41" s="72" t="s">
        <v>4703</v>
      </c>
      <c r="C41" s="73" t="s">
        <v>1585</v>
      </c>
      <c r="D41" s="72" t="s">
        <v>4747</v>
      </c>
      <c r="E41" s="72" t="s">
        <v>1595</v>
      </c>
      <c r="F41" s="72" t="s">
        <v>1588</v>
      </c>
      <c r="G41" s="72" t="s">
        <v>4748</v>
      </c>
      <c r="H41" s="72" t="s">
        <v>4749</v>
      </c>
      <c r="I41" s="73" t="s">
        <v>1129</v>
      </c>
      <c r="J41" s="72" t="s">
        <v>7</v>
      </c>
    </row>
    <row r="42" ht="15.75" spans="1:10">
      <c r="A42" s="71" t="s">
        <v>3606</v>
      </c>
      <c r="B42" s="48"/>
      <c r="C42" s="48"/>
      <c r="D42" s="48"/>
      <c r="E42" s="48"/>
      <c r="F42" s="48"/>
      <c r="G42" s="48"/>
      <c r="H42" s="48"/>
      <c r="I42" s="48"/>
      <c r="J42" s="32"/>
    </row>
    <row r="43" ht="45" customHeight="1" spans="1:10">
      <c r="A43" s="72" t="s">
        <v>4750</v>
      </c>
      <c r="B43" s="72" t="s">
        <v>4659</v>
      </c>
      <c r="C43" s="73" t="s">
        <v>1569</v>
      </c>
      <c r="D43" s="72" t="s">
        <v>4751</v>
      </c>
      <c r="E43" s="72" t="s">
        <v>1595</v>
      </c>
      <c r="F43" s="72" t="s">
        <v>4752</v>
      </c>
      <c r="G43" s="72" t="s">
        <v>1669</v>
      </c>
      <c r="H43" s="72" t="s">
        <v>4753</v>
      </c>
      <c r="I43" s="73" t="s">
        <v>1129</v>
      </c>
      <c r="J43" s="72" t="s">
        <v>7</v>
      </c>
    </row>
    <row r="44" ht="105" customHeight="1" spans="1:10">
      <c r="A44" s="72" t="s">
        <v>4754</v>
      </c>
      <c r="B44" s="72" t="s">
        <v>3598</v>
      </c>
      <c r="C44" s="73" t="s">
        <v>1585</v>
      </c>
      <c r="D44" s="72" t="s">
        <v>4755</v>
      </c>
      <c r="E44" s="72" t="s">
        <v>1595</v>
      </c>
      <c r="F44" s="72" t="s">
        <v>1588</v>
      </c>
      <c r="G44" s="72" t="s">
        <v>4696</v>
      </c>
      <c r="H44" s="72" t="s">
        <v>4756</v>
      </c>
      <c r="I44" s="73" t="s">
        <v>1129</v>
      </c>
      <c r="J44" s="72" t="s">
        <v>7</v>
      </c>
    </row>
    <row r="45" ht="60" customHeight="1" spans="1:10">
      <c r="A45" s="72" t="s">
        <v>4757</v>
      </c>
      <c r="B45" s="72" t="s">
        <v>3608</v>
      </c>
      <c r="C45" s="73" t="s">
        <v>1585</v>
      </c>
      <c r="D45" s="72" t="s">
        <v>4758</v>
      </c>
      <c r="E45" s="72" t="s">
        <v>1595</v>
      </c>
      <c r="F45" s="72" t="s">
        <v>1588</v>
      </c>
      <c r="G45" s="72" t="s">
        <v>4759</v>
      </c>
      <c r="H45" s="72" t="s">
        <v>4760</v>
      </c>
      <c r="I45" s="73" t="s">
        <v>1129</v>
      </c>
      <c r="J45" s="72" t="s">
        <v>7</v>
      </c>
    </row>
  </sheetData>
  <mergeCells count="13">
    <mergeCell ref="A1:J1"/>
    <mergeCell ref="A8:E8"/>
    <mergeCell ref="A13:J13"/>
    <mergeCell ref="A15:J15"/>
    <mergeCell ref="A17:J17"/>
    <mergeCell ref="A19:J19"/>
    <mergeCell ref="A26:J26"/>
    <mergeCell ref="A28:J28"/>
    <mergeCell ref="A30:J30"/>
    <mergeCell ref="A32:J32"/>
    <mergeCell ref="A34:J34"/>
    <mergeCell ref="A36:J36"/>
    <mergeCell ref="A42:J42"/>
  </mergeCells>
  <conditionalFormatting sqref="I13:I45">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5"/>
  <sheetViews>
    <sheetView workbookViewId="0">
      <selection activeCell="A1" sqref="A1:K1"/>
    </sheetView>
  </sheetViews>
  <sheetFormatPr defaultColWidth="9" defaultRowHeight="15"/>
  <cols>
    <col min="1" max="1" width="7" customWidth="1"/>
    <col min="2" max="2" width="12" customWidth="1"/>
    <col min="3" max="3" width="30" customWidth="1"/>
    <col min="4" max="4" width="20" customWidth="1"/>
    <col min="5" max="5" width="36" customWidth="1"/>
    <col min="6" max="9" width="18" customWidth="1"/>
    <col min="10" max="10" width="10" customWidth="1"/>
    <col min="11" max="11" width="26" customWidth="1"/>
  </cols>
  <sheetData>
    <row r="1" ht="20.25" spans="1:11">
      <c r="A1" s="20" t="s">
        <v>1749</v>
      </c>
    </row>
    <row r="3" ht="28.5" spans="1:11">
      <c r="A3" s="49" t="s">
        <v>1008</v>
      </c>
      <c r="B3" s="49" t="s">
        <v>227</v>
      </c>
      <c r="D3" s="49" t="s">
        <v>1540</v>
      </c>
      <c r="E3" s="49" t="s">
        <v>7</v>
      </c>
    </row>
    <row r="4" ht="42.75" spans="1:11">
      <c r="A4" s="49" t="s">
        <v>1750</v>
      </c>
      <c r="B4" s="50" t="s">
        <v>1751</v>
      </c>
      <c r="D4" s="49" t="s">
        <v>1752</v>
      </c>
      <c r="E4" s="49" t="s">
        <v>1753</v>
      </c>
    </row>
    <row r="5" ht="42.75" spans="1:11">
      <c r="A5" s="49" t="s">
        <v>1754</v>
      </c>
      <c r="B5" s="49" t="s">
        <v>1755</v>
      </c>
      <c r="D5" s="49" t="s">
        <v>1543</v>
      </c>
      <c r="E5" s="49" t="s">
        <v>233</v>
      </c>
    </row>
    <row r="7" ht="15.75" spans="1:11">
      <c r="A7" s="51" t="s">
        <v>1756</v>
      </c>
    </row>
    <row r="8" spans="1:11">
      <c r="A8" s="52" t="s">
        <v>1757</v>
      </c>
      <c r="B8" s="32"/>
      <c r="C8" s="52" t="s">
        <v>1758</v>
      </c>
      <c r="D8" s="52" t="s">
        <v>1553</v>
      </c>
      <c r="E8" s="52" t="s">
        <v>1554</v>
      </c>
      <c r="F8" s="52" t="s">
        <v>1759</v>
      </c>
      <c r="G8" s="52" t="s">
        <v>1760</v>
      </c>
      <c r="H8" s="48"/>
      <c r="I8" s="48"/>
      <c r="J8" s="48"/>
      <c r="K8" s="32"/>
    </row>
    <row r="9" ht="32" customHeight="1" spans="1:11">
      <c r="A9" s="53" t="s">
        <v>1761</v>
      </c>
      <c r="B9" s="54"/>
      <c r="C9" s="55">
        <f>COUNTIF($B$15:$B$85,"Unit Test")-COUNTIFS($B$15:$B$85,"Unit Test",$J$15:$J$85,"Pending")</f>
        <v>25</v>
      </c>
      <c r="D9" s="55">
        <f>COUNTIFS($B$15:$B$85,"Unit Test",$J$15:$J$85,"Pass")</f>
        <v>22</v>
      </c>
      <c r="E9" s="55">
        <f>COUNTIFS($B$15:$B$85,"Unit Test",$J$15:$J$85,"Fail")</f>
        <v>3</v>
      </c>
      <c r="F9" s="56">
        <f>IFERROR(D9/C9,0)</f>
        <v>0.88</v>
      </c>
      <c r="G9" s="57" t="s">
        <v>4488</v>
      </c>
      <c r="H9" s="48"/>
      <c r="I9" s="48"/>
      <c r="J9" s="48"/>
      <c r="K9" s="32"/>
    </row>
    <row r="10" ht="32" customHeight="1" spans="1:11">
      <c r="A10" s="53" t="s">
        <v>1762</v>
      </c>
      <c r="B10" s="54"/>
      <c r="C10" s="55">
        <f>COUNTIF($B$15:$B$85,"API Test")-COUNTIFS($B$15:$B$85,"API Test",$J$15:$J$85,"Pending")</f>
        <v>22</v>
      </c>
      <c r="D10" s="55">
        <f>COUNTIFS($B$15:$B$85,"API Test",$J$15:$J$85,"Pass")</f>
        <v>19</v>
      </c>
      <c r="E10" s="55">
        <f>COUNTIFS($B$15:$B$85,"API Test",$J$15:$J$85,"Fail")</f>
        <v>3</v>
      </c>
      <c r="F10" s="56">
        <f>IFERROR(D10/C10,0)</f>
        <v>0.863636363636364</v>
      </c>
      <c r="G10" s="57" t="s">
        <v>1763</v>
      </c>
      <c r="H10" s="48"/>
      <c r="I10" s="48"/>
      <c r="J10" s="48"/>
      <c r="K10" s="32"/>
    </row>
    <row r="11" ht="32" customHeight="1" spans="1:11">
      <c r="A11" s="53" t="s">
        <v>1764</v>
      </c>
      <c r="B11" s="54"/>
      <c r="C11" s="55">
        <f>COUNTIF($B$15:$B$85,"UI Test")-COUNTIFS($B$15:$B$85,"UI Test",$J$15:$J$85,"Pending")</f>
        <v>21</v>
      </c>
      <c r="D11" s="55">
        <f>COUNTIFS($B$15:$B$85,"UI Test",$J$15:$J$85,"Pass")</f>
        <v>17</v>
      </c>
      <c r="E11" s="55">
        <f>COUNTIFS($B$15:$B$85,"UI Test",$J$15:$J$85,"Fail")</f>
        <v>4</v>
      </c>
      <c r="F11" s="56">
        <f>IFERROR(D11/C11,0)</f>
        <v>0.80952380952381</v>
      </c>
      <c r="G11" s="57" t="s">
        <v>4761</v>
      </c>
      <c r="H11" s="48"/>
      <c r="I11" s="48"/>
      <c r="J11" s="48"/>
      <c r="K11" s="32"/>
    </row>
    <row r="13" ht="28.5" spans="1:11">
      <c r="A13" s="25" t="s">
        <v>211</v>
      </c>
      <c r="B13" s="25" t="s">
        <v>1757</v>
      </c>
      <c r="C13" s="25" t="s">
        <v>1766</v>
      </c>
      <c r="D13" s="25" t="s">
        <v>1767</v>
      </c>
      <c r="E13" s="25" t="s">
        <v>1559</v>
      </c>
      <c r="F13" s="25" t="s">
        <v>1768</v>
      </c>
      <c r="G13" s="48"/>
      <c r="H13" s="48"/>
      <c r="I13" s="32"/>
      <c r="J13" s="25" t="s">
        <v>1564</v>
      </c>
      <c r="K13" s="25" t="s">
        <v>1565</v>
      </c>
    </row>
    <row r="15" ht="15.75" spans="1:11">
      <c r="A15" s="58" t="s">
        <v>1769</v>
      </c>
      <c r="B15" s="48"/>
      <c r="C15" s="48"/>
      <c r="D15" s="48"/>
      <c r="E15" s="48"/>
      <c r="F15" s="48"/>
      <c r="G15" s="48"/>
      <c r="H15" s="48"/>
      <c r="I15" s="48"/>
      <c r="J15" s="48"/>
      <c r="K15" s="48"/>
    </row>
    <row r="16" ht="90" customHeight="1" spans="1:11">
      <c r="A16" s="55">
        <v>1</v>
      </c>
      <c r="B16" s="55" t="s">
        <v>1770</v>
      </c>
      <c r="C16" s="59" t="s">
        <v>4762</v>
      </c>
      <c r="D16" s="59" t="s">
        <v>4514</v>
      </c>
      <c r="E16" s="59" t="s">
        <v>4517</v>
      </c>
      <c r="F16" s="60" t="s">
        <v>4763</v>
      </c>
      <c r="G16" s="48"/>
      <c r="H16" s="48"/>
      <c r="I16" s="32"/>
      <c r="J16" s="55" t="s">
        <v>1129</v>
      </c>
      <c r="K16" s="59" t="s">
        <v>7</v>
      </c>
    </row>
    <row r="17" ht="45" customHeight="1" spans="1:11">
      <c r="A17" s="55">
        <v>2</v>
      </c>
      <c r="B17" s="55" t="s">
        <v>1770</v>
      </c>
      <c r="C17" s="59" t="s">
        <v>4762</v>
      </c>
      <c r="D17" s="59" t="s">
        <v>4521</v>
      </c>
      <c r="E17" s="59" t="s">
        <v>4523</v>
      </c>
      <c r="F17" s="60" t="s">
        <v>4764</v>
      </c>
      <c r="G17" s="48"/>
      <c r="H17" s="48"/>
      <c r="I17" s="32"/>
      <c r="J17" s="55" t="s">
        <v>1129</v>
      </c>
      <c r="K17" s="59" t="s">
        <v>7</v>
      </c>
    </row>
    <row r="18" ht="75" customHeight="1" spans="1:11">
      <c r="A18" s="55">
        <v>3</v>
      </c>
      <c r="B18" s="55" t="s">
        <v>1770</v>
      </c>
      <c r="C18" s="59" t="s">
        <v>4762</v>
      </c>
      <c r="D18" s="59" t="s">
        <v>4527</v>
      </c>
      <c r="E18" s="59" t="s">
        <v>4528</v>
      </c>
      <c r="F18" s="60" t="s">
        <v>4765</v>
      </c>
      <c r="G18" s="48"/>
      <c r="H18" s="48"/>
      <c r="I18" s="32"/>
      <c r="J18" s="55" t="s">
        <v>1129</v>
      </c>
      <c r="K18" s="59" t="s">
        <v>7</v>
      </c>
    </row>
    <row r="19" ht="60" customHeight="1" spans="1:11">
      <c r="A19" s="55">
        <v>4</v>
      </c>
      <c r="B19" s="55" t="s">
        <v>1770</v>
      </c>
      <c r="C19" s="59" t="s">
        <v>4762</v>
      </c>
      <c r="D19" s="59" t="s">
        <v>4532</v>
      </c>
      <c r="E19" s="59" t="s">
        <v>4533</v>
      </c>
      <c r="F19" s="60" t="s">
        <v>4766</v>
      </c>
      <c r="G19" s="48"/>
      <c r="H19" s="48"/>
      <c r="I19" s="32"/>
      <c r="J19" s="55" t="s">
        <v>1129</v>
      </c>
      <c r="K19" s="59" t="s">
        <v>7</v>
      </c>
    </row>
    <row r="20" ht="120" customHeight="1" spans="1:11">
      <c r="A20" s="55">
        <v>5</v>
      </c>
      <c r="B20" s="55" t="s">
        <v>1770</v>
      </c>
      <c r="C20" s="59" t="s">
        <v>4762</v>
      </c>
      <c r="D20" s="59" t="s">
        <v>4537</v>
      </c>
      <c r="E20" s="59" t="s">
        <v>4538</v>
      </c>
      <c r="F20" s="60" t="s">
        <v>4767</v>
      </c>
      <c r="G20" s="48"/>
      <c r="H20" s="48"/>
      <c r="I20" s="32"/>
      <c r="J20" s="55" t="s">
        <v>1129</v>
      </c>
      <c r="K20" s="59" t="s">
        <v>7</v>
      </c>
    </row>
    <row r="21" ht="75" customHeight="1" spans="1:11">
      <c r="A21" s="55">
        <v>6</v>
      </c>
      <c r="B21" s="55" t="s">
        <v>1770</v>
      </c>
      <c r="C21" s="59" t="s">
        <v>4762</v>
      </c>
      <c r="D21" s="59" t="s">
        <v>4542</v>
      </c>
      <c r="E21" s="59" t="s">
        <v>4543</v>
      </c>
      <c r="F21" s="60" t="s">
        <v>4768</v>
      </c>
      <c r="G21" s="48"/>
      <c r="H21" s="48"/>
      <c r="I21" s="32"/>
      <c r="J21" s="55" t="s">
        <v>1129</v>
      </c>
      <c r="K21" s="59" t="s">
        <v>7</v>
      </c>
    </row>
    <row r="22" ht="75" customHeight="1" spans="1:11">
      <c r="A22" s="55">
        <v>7</v>
      </c>
      <c r="B22" s="55" t="s">
        <v>1770</v>
      </c>
      <c r="C22" s="59" t="s">
        <v>4762</v>
      </c>
      <c r="D22" s="59" t="s">
        <v>4547</v>
      </c>
      <c r="E22" s="59" t="s">
        <v>4549</v>
      </c>
      <c r="F22" s="60" t="s">
        <v>4769</v>
      </c>
      <c r="G22" s="48"/>
      <c r="H22" s="48"/>
      <c r="I22" s="32"/>
      <c r="J22" s="55" t="s">
        <v>1129</v>
      </c>
      <c r="K22" s="59" t="s">
        <v>7</v>
      </c>
    </row>
    <row r="23" ht="75" customHeight="1" spans="1:11">
      <c r="A23" s="55">
        <v>8</v>
      </c>
      <c r="B23" s="55" t="s">
        <v>1770</v>
      </c>
      <c r="C23" s="59" t="s">
        <v>4762</v>
      </c>
      <c r="D23" s="59" t="s">
        <v>4553</v>
      </c>
      <c r="E23" s="59" t="s">
        <v>4555</v>
      </c>
      <c r="F23" s="60" t="s">
        <v>4770</v>
      </c>
      <c r="G23" s="48"/>
      <c r="H23" s="48"/>
      <c r="I23" s="32"/>
      <c r="J23" s="55" t="s">
        <v>1129</v>
      </c>
      <c r="K23" s="59" t="s">
        <v>7</v>
      </c>
    </row>
    <row r="24" ht="90" customHeight="1" spans="1:11">
      <c r="A24" s="55">
        <v>9</v>
      </c>
      <c r="B24" s="55" t="s">
        <v>1770</v>
      </c>
      <c r="C24" s="59" t="s">
        <v>4762</v>
      </c>
      <c r="D24" s="59" t="s">
        <v>4559</v>
      </c>
      <c r="E24" s="59" t="s">
        <v>4561</v>
      </c>
      <c r="F24" s="60" t="s">
        <v>4771</v>
      </c>
      <c r="G24" s="48"/>
      <c r="H24" s="48"/>
      <c r="I24" s="32"/>
      <c r="J24" s="55" t="s">
        <v>1129</v>
      </c>
      <c r="K24" s="59" t="s">
        <v>7</v>
      </c>
    </row>
    <row r="25" ht="45" customHeight="1" spans="1:11">
      <c r="A25" s="55">
        <v>10</v>
      </c>
      <c r="B25" s="55" t="s">
        <v>1770</v>
      </c>
      <c r="C25" s="59" t="s">
        <v>4762</v>
      </c>
      <c r="D25" s="59" t="s">
        <v>4564</v>
      </c>
      <c r="E25" s="59" t="s">
        <v>4565</v>
      </c>
      <c r="F25" s="60" t="s">
        <v>4772</v>
      </c>
      <c r="G25" s="48"/>
      <c r="H25" s="48"/>
      <c r="I25" s="32"/>
      <c r="J25" s="55" t="s">
        <v>1129</v>
      </c>
      <c r="K25" s="59" t="s">
        <v>7</v>
      </c>
    </row>
    <row r="26" ht="60" customHeight="1" spans="1:11">
      <c r="A26" s="55">
        <v>11</v>
      </c>
      <c r="B26" s="55" t="s">
        <v>1770</v>
      </c>
      <c r="C26" s="59" t="s">
        <v>4762</v>
      </c>
      <c r="D26" s="59" t="s">
        <v>4569</v>
      </c>
      <c r="E26" s="59" t="s">
        <v>4570</v>
      </c>
      <c r="F26" s="60" t="s">
        <v>4773</v>
      </c>
      <c r="G26" s="48"/>
      <c r="H26" s="48"/>
      <c r="I26" s="32"/>
      <c r="J26" s="55" t="s">
        <v>1129</v>
      </c>
      <c r="K26" s="59" t="s">
        <v>7</v>
      </c>
    </row>
    <row r="27" ht="75" customHeight="1" spans="1:11">
      <c r="A27" s="55">
        <v>12</v>
      </c>
      <c r="B27" s="55" t="s">
        <v>1770</v>
      </c>
      <c r="C27" s="59" t="s">
        <v>4762</v>
      </c>
      <c r="D27" s="59" t="s">
        <v>4574</v>
      </c>
      <c r="E27" s="59" t="s">
        <v>4575</v>
      </c>
      <c r="F27" s="60" t="s">
        <v>4774</v>
      </c>
      <c r="G27" s="48"/>
      <c r="H27" s="48"/>
      <c r="I27" s="32"/>
      <c r="J27" s="55" t="s">
        <v>1129</v>
      </c>
      <c r="K27" s="59" t="s">
        <v>7</v>
      </c>
    </row>
    <row r="28" ht="60" customHeight="1" spans="1:11">
      <c r="A28" s="55">
        <v>13</v>
      </c>
      <c r="B28" s="55" t="s">
        <v>1770</v>
      </c>
      <c r="C28" s="59" t="s">
        <v>4762</v>
      </c>
      <c r="D28" s="59" t="s">
        <v>4579</v>
      </c>
      <c r="E28" s="59" t="s">
        <v>4580</v>
      </c>
      <c r="F28" s="60" t="s">
        <v>4775</v>
      </c>
      <c r="G28" s="48"/>
      <c r="H28" s="48"/>
      <c r="I28" s="32"/>
      <c r="J28" s="55" t="s">
        <v>1129</v>
      </c>
      <c r="K28" s="59" t="s">
        <v>7</v>
      </c>
    </row>
    <row r="29" ht="105" customHeight="1" spans="1:11">
      <c r="A29" s="55">
        <v>14</v>
      </c>
      <c r="B29" s="55" t="s">
        <v>1770</v>
      </c>
      <c r="C29" s="59" t="s">
        <v>4762</v>
      </c>
      <c r="D29" s="59" t="s">
        <v>4584</v>
      </c>
      <c r="E29" s="59" t="s">
        <v>4586</v>
      </c>
      <c r="F29" s="60" t="s">
        <v>4776</v>
      </c>
      <c r="G29" s="48"/>
      <c r="H29" s="48"/>
      <c r="I29" s="32"/>
      <c r="J29" s="55" t="s">
        <v>1129</v>
      </c>
      <c r="K29" s="59" t="s">
        <v>7</v>
      </c>
    </row>
    <row r="30" ht="75" customHeight="1" spans="1:11">
      <c r="A30" s="55">
        <v>15</v>
      </c>
      <c r="B30" s="55" t="s">
        <v>1770</v>
      </c>
      <c r="C30" s="59" t="s">
        <v>4762</v>
      </c>
      <c r="D30" s="59" t="s">
        <v>4590</v>
      </c>
      <c r="E30" s="59" t="s">
        <v>4592</v>
      </c>
      <c r="F30" s="60" t="s">
        <v>4777</v>
      </c>
      <c r="G30" s="48"/>
      <c r="H30" s="48"/>
      <c r="I30" s="32"/>
      <c r="J30" s="55" t="s">
        <v>1129</v>
      </c>
      <c r="K30" s="59" t="s">
        <v>7</v>
      </c>
    </row>
    <row r="31" ht="105" customHeight="1" spans="1:11">
      <c r="A31" s="55">
        <v>16</v>
      </c>
      <c r="B31" s="55" t="s">
        <v>1770</v>
      </c>
      <c r="C31" s="59" t="s">
        <v>4762</v>
      </c>
      <c r="D31" s="59" t="s">
        <v>4596</v>
      </c>
      <c r="E31" s="59" t="s">
        <v>4598</v>
      </c>
      <c r="F31" s="60" t="s">
        <v>4778</v>
      </c>
      <c r="G31" s="48"/>
      <c r="H31" s="48"/>
      <c r="I31" s="32"/>
      <c r="J31" s="55" t="s">
        <v>1129</v>
      </c>
      <c r="K31" s="59" t="s">
        <v>7</v>
      </c>
    </row>
    <row r="32" ht="90" customHeight="1" spans="1:11">
      <c r="A32" s="55">
        <v>17</v>
      </c>
      <c r="B32" s="55" t="s">
        <v>1770</v>
      </c>
      <c r="C32" s="59" t="s">
        <v>4762</v>
      </c>
      <c r="D32" s="59" t="s">
        <v>4602</v>
      </c>
      <c r="E32" s="59" t="s">
        <v>4604</v>
      </c>
      <c r="F32" s="60" t="s">
        <v>4779</v>
      </c>
      <c r="G32" s="48"/>
      <c r="H32" s="48"/>
      <c r="I32" s="32"/>
      <c r="J32" s="55" t="s">
        <v>1129</v>
      </c>
      <c r="K32" s="59" t="s">
        <v>7</v>
      </c>
    </row>
    <row r="33" ht="90" customHeight="1" spans="1:11">
      <c r="A33" s="55">
        <v>18</v>
      </c>
      <c r="B33" s="55" t="s">
        <v>1770</v>
      </c>
      <c r="C33" s="59" t="s">
        <v>4762</v>
      </c>
      <c r="D33" s="59" t="s">
        <v>4608</v>
      </c>
      <c r="E33" s="59" t="s">
        <v>4609</v>
      </c>
      <c r="F33" s="60" t="s">
        <v>4780</v>
      </c>
      <c r="G33" s="48"/>
      <c r="H33" s="48"/>
      <c r="I33" s="32"/>
      <c r="J33" s="55" t="s">
        <v>1129</v>
      </c>
      <c r="K33" s="59" t="s">
        <v>7</v>
      </c>
    </row>
    <row r="34" ht="90" customHeight="1" spans="1:11">
      <c r="A34" s="55">
        <v>19</v>
      </c>
      <c r="B34" s="55" t="s">
        <v>1770</v>
      </c>
      <c r="C34" s="59" t="s">
        <v>4762</v>
      </c>
      <c r="D34" s="59" t="s">
        <v>4613</v>
      </c>
      <c r="E34" s="59" t="s">
        <v>4615</v>
      </c>
      <c r="F34" s="60" t="s">
        <v>4781</v>
      </c>
      <c r="G34" s="48"/>
      <c r="H34" s="48"/>
      <c r="I34" s="32"/>
      <c r="J34" s="55" t="s">
        <v>1129</v>
      </c>
      <c r="K34" s="59" t="s">
        <v>7</v>
      </c>
    </row>
    <row r="35" ht="60" customHeight="1" spans="1:11">
      <c r="A35" s="55">
        <v>20</v>
      </c>
      <c r="B35" s="55" t="s">
        <v>1770</v>
      </c>
      <c r="C35" s="59" t="s">
        <v>4762</v>
      </c>
      <c r="D35" s="59" t="s">
        <v>4619</v>
      </c>
      <c r="E35" s="59" t="s">
        <v>4620</v>
      </c>
      <c r="F35" s="60" t="s">
        <v>4782</v>
      </c>
      <c r="G35" s="48"/>
      <c r="H35" s="48"/>
      <c r="I35" s="32"/>
      <c r="J35" s="55" t="s">
        <v>1129</v>
      </c>
      <c r="K35" s="59" t="s">
        <v>7</v>
      </c>
    </row>
    <row r="36" ht="135" customHeight="1" spans="1:11">
      <c r="A36" s="55">
        <v>21</v>
      </c>
      <c r="B36" s="55" t="s">
        <v>1770</v>
      </c>
      <c r="C36" s="59" t="s">
        <v>4762</v>
      </c>
      <c r="D36" s="59" t="s">
        <v>4624</v>
      </c>
      <c r="E36" s="59" t="s">
        <v>4626</v>
      </c>
      <c r="F36" s="60" t="s">
        <v>4783</v>
      </c>
      <c r="G36" s="48"/>
      <c r="H36" s="48"/>
      <c r="I36" s="32"/>
      <c r="J36" s="55" t="s">
        <v>1129</v>
      </c>
      <c r="K36" s="59" t="s">
        <v>7</v>
      </c>
    </row>
    <row r="37" ht="75" customHeight="1" spans="1:11">
      <c r="A37" s="55">
        <v>22</v>
      </c>
      <c r="B37" s="55" t="s">
        <v>1770</v>
      </c>
      <c r="C37" s="59" t="s">
        <v>4784</v>
      </c>
      <c r="D37" s="59" t="s">
        <v>4630</v>
      </c>
      <c r="E37" s="59" t="s">
        <v>4632</v>
      </c>
      <c r="F37" s="60" t="s">
        <v>4785</v>
      </c>
      <c r="G37" s="48"/>
      <c r="H37" s="48"/>
      <c r="I37" s="32"/>
      <c r="J37" s="55" t="s">
        <v>1129</v>
      </c>
      <c r="K37" s="59" t="s">
        <v>7</v>
      </c>
    </row>
    <row r="38" ht="60" customHeight="1" spans="1:11">
      <c r="A38" s="55">
        <v>23</v>
      </c>
      <c r="B38" s="55" t="s">
        <v>1770</v>
      </c>
      <c r="C38" s="59" t="s">
        <v>4786</v>
      </c>
      <c r="D38" s="59" t="s">
        <v>4636</v>
      </c>
      <c r="E38" s="59" t="s">
        <v>4638</v>
      </c>
      <c r="F38" s="60" t="s">
        <v>4787</v>
      </c>
      <c r="G38" s="48"/>
      <c r="H38" s="48"/>
      <c r="I38" s="32"/>
      <c r="J38" s="55" t="s">
        <v>1130</v>
      </c>
      <c r="K38" s="59" t="s">
        <v>7</v>
      </c>
    </row>
    <row r="39" ht="45" customHeight="1" spans="1:11">
      <c r="A39" s="55">
        <v>24</v>
      </c>
      <c r="B39" s="55" t="s">
        <v>1770</v>
      </c>
      <c r="C39" s="59" t="s">
        <v>4786</v>
      </c>
      <c r="D39" s="59" t="s">
        <v>4641</v>
      </c>
      <c r="E39" s="59" t="s">
        <v>4642</v>
      </c>
      <c r="F39" s="60" t="s">
        <v>4788</v>
      </c>
      <c r="G39" s="48"/>
      <c r="H39" s="48"/>
      <c r="I39" s="32"/>
      <c r="J39" s="55" t="s">
        <v>1130</v>
      </c>
      <c r="K39" s="59" t="s">
        <v>7</v>
      </c>
    </row>
    <row r="40" ht="30" customHeight="1" spans="1:11">
      <c r="A40" s="55">
        <v>25</v>
      </c>
      <c r="B40" s="55" t="s">
        <v>1770</v>
      </c>
      <c r="C40" s="59" t="s">
        <v>4786</v>
      </c>
      <c r="D40" s="59" t="s">
        <v>4646</v>
      </c>
      <c r="E40" s="59" t="s">
        <v>4647</v>
      </c>
      <c r="F40" s="60" t="s">
        <v>4789</v>
      </c>
      <c r="G40" s="48"/>
      <c r="H40" s="48"/>
      <c r="I40" s="32"/>
      <c r="J40" s="55" t="s">
        <v>1130</v>
      </c>
      <c r="K40" s="59" t="s">
        <v>7</v>
      </c>
    </row>
    <row r="41" ht="15.75" spans="1:11">
      <c r="A41" s="58" t="s">
        <v>1803</v>
      </c>
      <c r="B41" s="48"/>
      <c r="C41" s="48"/>
      <c r="D41" s="48"/>
      <c r="E41" s="48"/>
      <c r="F41" s="48"/>
      <c r="G41" s="48"/>
      <c r="H41" s="48"/>
      <c r="I41" s="48"/>
      <c r="J41" s="48"/>
      <c r="K41" s="48"/>
    </row>
    <row r="42" ht="30" customHeight="1" spans="1:11">
      <c r="A42" s="55">
        <v>26</v>
      </c>
      <c r="B42" s="55" t="s">
        <v>1804</v>
      </c>
      <c r="C42" s="59" t="s">
        <v>1548</v>
      </c>
      <c r="D42" s="59" t="s">
        <v>4658</v>
      </c>
      <c r="E42" s="59" t="s">
        <v>4660</v>
      </c>
      <c r="F42" s="60" t="s">
        <v>1807</v>
      </c>
      <c r="G42" s="48"/>
      <c r="H42" s="48"/>
      <c r="I42" s="32"/>
      <c r="J42" s="55" t="s">
        <v>1129</v>
      </c>
      <c r="K42" s="59" t="s">
        <v>7</v>
      </c>
    </row>
    <row r="43" ht="30" customHeight="1" spans="1:11">
      <c r="A43" s="55">
        <v>27</v>
      </c>
      <c r="B43" s="55" t="s">
        <v>1804</v>
      </c>
      <c r="C43" s="59" t="s">
        <v>1548</v>
      </c>
      <c r="D43" s="59" t="s">
        <v>4664</v>
      </c>
      <c r="E43" s="59" t="s">
        <v>4665</v>
      </c>
      <c r="F43" s="60" t="s">
        <v>1807</v>
      </c>
      <c r="G43" s="48"/>
      <c r="H43" s="48"/>
      <c r="I43" s="32"/>
      <c r="J43" s="55" t="s">
        <v>1130</v>
      </c>
      <c r="K43" s="59" t="s">
        <v>7</v>
      </c>
    </row>
    <row r="44" ht="60" customHeight="1" spans="1:11">
      <c r="A44" s="55">
        <v>28</v>
      </c>
      <c r="B44" s="55" t="s">
        <v>1804</v>
      </c>
      <c r="C44" s="59" t="s">
        <v>1548</v>
      </c>
      <c r="D44" s="59" t="s">
        <v>4670</v>
      </c>
      <c r="E44" s="59" t="s">
        <v>4671</v>
      </c>
      <c r="F44" s="60" t="s">
        <v>4790</v>
      </c>
      <c r="G44" s="48"/>
      <c r="H44" s="48"/>
      <c r="I44" s="32"/>
      <c r="J44" s="55" t="s">
        <v>1129</v>
      </c>
      <c r="K44" s="59" t="s">
        <v>7</v>
      </c>
    </row>
    <row r="45" ht="45" customHeight="1" spans="1:11">
      <c r="A45" s="55">
        <v>29</v>
      </c>
      <c r="B45" s="55" t="s">
        <v>1804</v>
      </c>
      <c r="C45" s="59" t="s">
        <v>1548</v>
      </c>
      <c r="D45" s="59" t="s">
        <v>4675</v>
      </c>
      <c r="E45" s="59" t="s">
        <v>4677</v>
      </c>
      <c r="F45" s="60" t="s">
        <v>4791</v>
      </c>
      <c r="G45" s="48"/>
      <c r="H45" s="48"/>
      <c r="I45" s="32"/>
      <c r="J45" s="55" t="s">
        <v>1129</v>
      </c>
      <c r="K45" s="59" t="s">
        <v>7</v>
      </c>
    </row>
    <row r="46" ht="45" customHeight="1" spans="1:11">
      <c r="A46" s="55">
        <v>30</v>
      </c>
      <c r="B46" s="55" t="s">
        <v>1804</v>
      </c>
      <c r="C46" s="59" t="s">
        <v>1548</v>
      </c>
      <c r="D46" s="59" t="s">
        <v>4680</v>
      </c>
      <c r="E46" s="59" t="s">
        <v>4682</v>
      </c>
      <c r="F46" s="60" t="s">
        <v>4791</v>
      </c>
      <c r="G46" s="48"/>
      <c r="H46" s="48"/>
      <c r="I46" s="32"/>
      <c r="J46" s="55" t="s">
        <v>1129</v>
      </c>
      <c r="K46" s="59" t="s">
        <v>7</v>
      </c>
    </row>
    <row r="47" ht="45" customHeight="1" spans="1:11">
      <c r="A47" s="55">
        <v>31</v>
      </c>
      <c r="B47" s="55" t="s">
        <v>1804</v>
      </c>
      <c r="C47" s="59" t="s">
        <v>1548</v>
      </c>
      <c r="D47" s="59" t="s">
        <v>4686</v>
      </c>
      <c r="E47" s="59" t="s">
        <v>4687</v>
      </c>
      <c r="F47" s="60" t="s">
        <v>4792</v>
      </c>
      <c r="G47" s="48"/>
      <c r="H47" s="48"/>
      <c r="I47" s="32"/>
      <c r="J47" s="55" t="s">
        <v>1129</v>
      </c>
      <c r="K47" s="59" t="s">
        <v>7</v>
      </c>
    </row>
    <row r="48" ht="45" customHeight="1" spans="1:11">
      <c r="A48" s="55">
        <v>32</v>
      </c>
      <c r="B48" s="55" t="s">
        <v>1804</v>
      </c>
      <c r="C48" s="59" t="s">
        <v>1548</v>
      </c>
      <c r="D48" s="59" t="s">
        <v>4690</v>
      </c>
      <c r="E48" s="59" t="s">
        <v>4691</v>
      </c>
      <c r="F48" s="60" t="s">
        <v>4793</v>
      </c>
      <c r="G48" s="48"/>
      <c r="H48" s="48"/>
      <c r="I48" s="32"/>
      <c r="J48" s="55" t="s">
        <v>1129</v>
      </c>
      <c r="K48" s="59" t="s">
        <v>7</v>
      </c>
    </row>
    <row r="49" ht="60" customHeight="1" spans="1:11">
      <c r="A49" s="55">
        <v>33</v>
      </c>
      <c r="B49" s="55" t="s">
        <v>1804</v>
      </c>
      <c r="C49" s="59" t="s">
        <v>1548</v>
      </c>
      <c r="D49" s="59" t="s">
        <v>4694</v>
      </c>
      <c r="E49" s="59" t="s">
        <v>4695</v>
      </c>
      <c r="F49" s="60" t="s">
        <v>4794</v>
      </c>
      <c r="G49" s="48"/>
      <c r="H49" s="48"/>
      <c r="I49" s="32"/>
      <c r="J49" s="55" t="s">
        <v>1129</v>
      </c>
      <c r="K49" s="59" t="s">
        <v>7</v>
      </c>
    </row>
    <row r="50" ht="45" customHeight="1" spans="1:11">
      <c r="A50" s="55">
        <v>34</v>
      </c>
      <c r="B50" s="55" t="s">
        <v>1804</v>
      </c>
      <c r="C50" s="59" t="s">
        <v>1548</v>
      </c>
      <c r="D50" s="59" t="s">
        <v>4698</v>
      </c>
      <c r="E50" s="59" t="s">
        <v>4699</v>
      </c>
      <c r="F50" s="60" t="s">
        <v>4795</v>
      </c>
      <c r="G50" s="48"/>
      <c r="H50" s="48"/>
      <c r="I50" s="32"/>
      <c r="J50" s="55" t="s">
        <v>1129</v>
      </c>
      <c r="K50" s="59" t="s">
        <v>7</v>
      </c>
    </row>
    <row r="51" ht="60" customHeight="1" spans="1:11">
      <c r="A51" s="55">
        <v>35</v>
      </c>
      <c r="B51" s="55" t="s">
        <v>1804</v>
      </c>
      <c r="C51" s="59" t="s">
        <v>1548</v>
      </c>
      <c r="D51" s="59" t="s">
        <v>4702</v>
      </c>
      <c r="E51" s="59" t="s">
        <v>4704</v>
      </c>
      <c r="F51" s="60" t="s">
        <v>3676</v>
      </c>
      <c r="G51" s="48"/>
      <c r="H51" s="48"/>
      <c r="I51" s="32"/>
      <c r="J51" s="55" t="s">
        <v>1129</v>
      </c>
      <c r="K51" s="59" t="s">
        <v>7</v>
      </c>
    </row>
    <row r="52" ht="30" customHeight="1" spans="1:11">
      <c r="A52" s="55">
        <v>36</v>
      </c>
      <c r="B52" s="55" t="s">
        <v>1804</v>
      </c>
      <c r="C52" s="59" t="s">
        <v>1548</v>
      </c>
      <c r="D52" s="59" t="s">
        <v>4707</v>
      </c>
      <c r="E52" s="59" t="s">
        <v>4708</v>
      </c>
      <c r="F52" s="60" t="s">
        <v>1807</v>
      </c>
      <c r="G52" s="48"/>
      <c r="H52" s="48"/>
      <c r="I52" s="32"/>
      <c r="J52" s="55" t="s">
        <v>1129</v>
      </c>
      <c r="K52" s="59" t="s">
        <v>7</v>
      </c>
    </row>
    <row r="53" ht="30" customHeight="1" spans="1:11">
      <c r="A53" s="55">
        <v>37</v>
      </c>
      <c r="B53" s="55" t="s">
        <v>1804</v>
      </c>
      <c r="C53" s="59" t="s">
        <v>1548</v>
      </c>
      <c r="D53" s="59" t="s">
        <v>4711</v>
      </c>
      <c r="E53" s="59" t="s">
        <v>4713</v>
      </c>
      <c r="F53" s="60" t="s">
        <v>1807</v>
      </c>
      <c r="G53" s="48"/>
      <c r="H53" s="48"/>
      <c r="I53" s="32"/>
      <c r="J53" s="55" t="s">
        <v>1130</v>
      </c>
      <c r="K53" s="59" t="s">
        <v>7</v>
      </c>
    </row>
    <row r="54" ht="30" customHeight="1" spans="1:11">
      <c r="A54" s="55">
        <v>38</v>
      </c>
      <c r="B54" s="55" t="s">
        <v>1804</v>
      </c>
      <c r="C54" s="59" t="s">
        <v>1548</v>
      </c>
      <c r="D54" s="59" t="s">
        <v>4716</v>
      </c>
      <c r="E54" s="59" t="s">
        <v>4717</v>
      </c>
      <c r="F54" s="60" t="s">
        <v>1807</v>
      </c>
      <c r="G54" s="48"/>
      <c r="H54" s="48"/>
      <c r="I54" s="32"/>
      <c r="J54" s="55" t="s">
        <v>1130</v>
      </c>
      <c r="K54" s="59" t="s">
        <v>7</v>
      </c>
    </row>
    <row r="55" ht="30" customHeight="1" spans="1:11">
      <c r="A55" s="55">
        <v>39</v>
      </c>
      <c r="B55" s="55" t="s">
        <v>1804</v>
      </c>
      <c r="C55" s="59" t="s">
        <v>1548</v>
      </c>
      <c r="D55" s="59" t="s">
        <v>4721</v>
      </c>
      <c r="E55" s="59" t="s">
        <v>4723</v>
      </c>
      <c r="F55" s="60" t="s">
        <v>1807</v>
      </c>
      <c r="G55" s="48"/>
      <c r="H55" s="48"/>
      <c r="I55" s="32"/>
      <c r="J55" s="55" t="s">
        <v>1129</v>
      </c>
      <c r="K55" s="59" t="s">
        <v>7</v>
      </c>
    </row>
    <row r="56" ht="30" customHeight="1" spans="1:11">
      <c r="A56" s="55">
        <v>40</v>
      </c>
      <c r="B56" s="55" t="s">
        <v>1804</v>
      </c>
      <c r="C56" s="59" t="s">
        <v>1548</v>
      </c>
      <c r="D56" s="59" t="s">
        <v>4727</v>
      </c>
      <c r="E56" s="59" t="s">
        <v>4729</v>
      </c>
      <c r="F56" s="60" t="s">
        <v>1807</v>
      </c>
      <c r="G56" s="48"/>
      <c r="H56" s="48"/>
      <c r="I56" s="32"/>
      <c r="J56" s="55" t="s">
        <v>1129</v>
      </c>
      <c r="K56" s="59" t="s">
        <v>7</v>
      </c>
    </row>
    <row r="57" ht="30" customHeight="1" spans="1:11">
      <c r="A57" s="55">
        <v>41</v>
      </c>
      <c r="B57" s="55" t="s">
        <v>1804</v>
      </c>
      <c r="C57" s="59" t="s">
        <v>1548</v>
      </c>
      <c r="D57" s="59" t="s">
        <v>4732</v>
      </c>
      <c r="E57" s="59" t="s">
        <v>4733</v>
      </c>
      <c r="F57" s="60" t="s">
        <v>1807</v>
      </c>
      <c r="G57" s="48"/>
      <c r="H57" s="48"/>
      <c r="I57" s="32"/>
      <c r="J57" s="55" t="s">
        <v>1129</v>
      </c>
      <c r="K57" s="59" t="s">
        <v>7</v>
      </c>
    </row>
    <row r="58" ht="30" customHeight="1" spans="1:11">
      <c r="A58" s="55">
        <v>42</v>
      </c>
      <c r="B58" s="55" t="s">
        <v>1804</v>
      </c>
      <c r="C58" s="59" t="s">
        <v>1548</v>
      </c>
      <c r="D58" s="59" t="s">
        <v>4737</v>
      </c>
      <c r="E58" s="59" t="s">
        <v>4738</v>
      </c>
      <c r="F58" s="60" t="s">
        <v>1807</v>
      </c>
      <c r="G58" s="48"/>
      <c r="H58" s="48"/>
      <c r="I58" s="32"/>
      <c r="J58" s="55" t="s">
        <v>1129</v>
      </c>
      <c r="K58" s="59" t="s">
        <v>7</v>
      </c>
    </row>
    <row r="59" ht="30" customHeight="1" spans="1:11">
      <c r="A59" s="55">
        <v>43</v>
      </c>
      <c r="B59" s="55" t="s">
        <v>1804</v>
      </c>
      <c r="C59" s="59" t="s">
        <v>1548</v>
      </c>
      <c r="D59" s="59" t="s">
        <v>4742</v>
      </c>
      <c r="E59" s="59" t="s">
        <v>4743</v>
      </c>
      <c r="F59" s="60" t="s">
        <v>1807</v>
      </c>
      <c r="G59" s="48"/>
      <c r="H59" s="48"/>
      <c r="I59" s="32"/>
      <c r="J59" s="55" t="s">
        <v>1129</v>
      </c>
      <c r="K59" s="59" t="s">
        <v>7</v>
      </c>
    </row>
    <row r="60" ht="60" customHeight="1" spans="1:11">
      <c r="A60" s="55">
        <v>44</v>
      </c>
      <c r="B60" s="55" t="s">
        <v>1804</v>
      </c>
      <c r="C60" s="59" t="s">
        <v>1548</v>
      </c>
      <c r="D60" s="59" t="s">
        <v>4746</v>
      </c>
      <c r="E60" s="59" t="s">
        <v>4747</v>
      </c>
      <c r="F60" s="60" t="s">
        <v>4796</v>
      </c>
      <c r="G60" s="48"/>
      <c r="H60" s="48"/>
      <c r="I60" s="32"/>
      <c r="J60" s="55" t="s">
        <v>1129</v>
      </c>
      <c r="K60" s="59" t="s">
        <v>7</v>
      </c>
    </row>
    <row r="61" ht="30" customHeight="1" spans="1:11">
      <c r="A61" s="55">
        <v>45</v>
      </c>
      <c r="B61" s="55" t="s">
        <v>1804</v>
      </c>
      <c r="C61" s="59" t="s">
        <v>1548</v>
      </c>
      <c r="D61" s="59" t="s">
        <v>4750</v>
      </c>
      <c r="E61" s="59" t="s">
        <v>4751</v>
      </c>
      <c r="F61" s="60" t="s">
        <v>1807</v>
      </c>
      <c r="G61" s="48"/>
      <c r="H61" s="48"/>
      <c r="I61" s="32"/>
      <c r="J61" s="55" t="s">
        <v>1129</v>
      </c>
      <c r="K61" s="59" t="s">
        <v>7</v>
      </c>
    </row>
    <row r="62" ht="60" customHeight="1" spans="1:11">
      <c r="A62" s="55">
        <v>46</v>
      </c>
      <c r="B62" s="55" t="s">
        <v>1804</v>
      </c>
      <c r="C62" s="59" t="s">
        <v>1548</v>
      </c>
      <c r="D62" s="59" t="s">
        <v>4754</v>
      </c>
      <c r="E62" s="59" t="s">
        <v>4755</v>
      </c>
      <c r="F62" s="60" t="s">
        <v>4794</v>
      </c>
      <c r="G62" s="48"/>
      <c r="H62" s="48"/>
      <c r="I62" s="32"/>
      <c r="J62" s="55" t="s">
        <v>1129</v>
      </c>
      <c r="K62" s="59" t="s">
        <v>7</v>
      </c>
    </row>
    <row r="63" ht="60" customHeight="1" spans="1:11">
      <c r="A63" s="55">
        <v>47</v>
      </c>
      <c r="B63" s="55" t="s">
        <v>1804</v>
      </c>
      <c r="C63" s="59" t="s">
        <v>1548</v>
      </c>
      <c r="D63" s="59" t="s">
        <v>4757</v>
      </c>
      <c r="E63" s="59" t="s">
        <v>4758</v>
      </c>
      <c r="F63" s="60" t="s">
        <v>4797</v>
      </c>
      <c r="G63" s="48"/>
      <c r="H63" s="48"/>
      <c r="I63" s="32"/>
      <c r="J63" s="55" t="s">
        <v>1129</v>
      </c>
      <c r="K63" s="59" t="s">
        <v>7</v>
      </c>
    </row>
    <row r="64" ht="15.75" spans="1:11">
      <c r="A64" s="58" t="s">
        <v>1818</v>
      </c>
      <c r="B64" s="48"/>
      <c r="C64" s="48"/>
      <c r="D64" s="48"/>
      <c r="E64" s="48"/>
      <c r="F64" s="48"/>
      <c r="G64" s="48"/>
      <c r="H64" s="48"/>
      <c r="I64" s="48"/>
      <c r="J64" s="48"/>
      <c r="K64" s="48"/>
    </row>
    <row r="65" ht="45" customHeight="1" spans="1:11">
      <c r="A65" s="55">
        <v>48</v>
      </c>
      <c r="B65" s="55" t="s">
        <v>1819</v>
      </c>
      <c r="C65" s="59" t="s">
        <v>4798</v>
      </c>
      <c r="D65" s="59" t="s">
        <v>4369</v>
      </c>
      <c r="E65" s="59" t="s">
        <v>4370</v>
      </c>
      <c r="F65" s="60" t="s">
        <v>4371</v>
      </c>
      <c r="G65" s="48"/>
      <c r="H65" s="48"/>
      <c r="I65" s="32"/>
      <c r="J65" s="55" t="s">
        <v>1129</v>
      </c>
      <c r="K65" s="59" t="s">
        <v>7</v>
      </c>
    </row>
    <row r="66" ht="45" customHeight="1" spans="1:11">
      <c r="A66" s="55">
        <v>49</v>
      </c>
      <c r="B66" s="55" t="s">
        <v>1819</v>
      </c>
      <c r="C66" s="59" t="s">
        <v>4798</v>
      </c>
      <c r="D66" s="59" t="s">
        <v>4373</v>
      </c>
      <c r="E66" s="59" t="s">
        <v>4374</v>
      </c>
      <c r="F66" s="60" t="s">
        <v>4376</v>
      </c>
      <c r="G66" s="48"/>
      <c r="H66" s="48"/>
      <c r="I66" s="32"/>
      <c r="J66" s="55" t="s">
        <v>1129</v>
      </c>
      <c r="K66" s="59" t="s">
        <v>7</v>
      </c>
    </row>
    <row r="67" ht="60" customHeight="1" spans="1:11">
      <c r="A67" s="55">
        <v>50</v>
      </c>
      <c r="B67" s="55" t="s">
        <v>1819</v>
      </c>
      <c r="C67" s="59" t="s">
        <v>4798</v>
      </c>
      <c r="D67" s="59" t="s">
        <v>4379</v>
      </c>
      <c r="E67" s="59" t="s">
        <v>4380</v>
      </c>
      <c r="F67" s="60" t="s">
        <v>4382</v>
      </c>
      <c r="G67" s="48"/>
      <c r="H67" s="48"/>
      <c r="I67" s="32"/>
      <c r="J67" s="55" t="s">
        <v>1129</v>
      </c>
      <c r="K67" s="59" t="s">
        <v>7</v>
      </c>
    </row>
    <row r="68" ht="30" customHeight="1" spans="1:11">
      <c r="A68" s="55">
        <v>51</v>
      </c>
      <c r="B68" s="55" t="s">
        <v>1819</v>
      </c>
      <c r="C68" s="59" t="s">
        <v>4798</v>
      </c>
      <c r="D68" s="59" t="s">
        <v>4385</v>
      </c>
      <c r="E68" s="59" t="s">
        <v>4386</v>
      </c>
      <c r="F68" s="60" t="s">
        <v>4388</v>
      </c>
      <c r="G68" s="48"/>
      <c r="H68" s="48"/>
      <c r="I68" s="32"/>
      <c r="J68" s="55" t="s">
        <v>1129</v>
      </c>
      <c r="K68" s="59" t="s">
        <v>7</v>
      </c>
    </row>
    <row r="69" ht="30" customHeight="1" spans="1:11">
      <c r="A69" s="55">
        <v>52</v>
      </c>
      <c r="B69" s="55" t="s">
        <v>1819</v>
      </c>
      <c r="C69" s="59" t="s">
        <v>4798</v>
      </c>
      <c r="D69" s="59" t="s">
        <v>4391</v>
      </c>
      <c r="E69" s="59" t="s">
        <v>4392</v>
      </c>
      <c r="F69" s="60" t="s">
        <v>4394</v>
      </c>
      <c r="G69" s="48"/>
      <c r="H69" s="48"/>
      <c r="I69" s="32"/>
      <c r="J69" s="55" t="s">
        <v>1129</v>
      </c>
      <c r="K69" s="59" t="s">
        <v>7</v>
      </c>
    </row>
    <row r="70" ht="45" customHeight="1" spans="1:11">
      <c r="A70" s="55">
        <v>53</v>
      </c>
      <c r="B70" s="55" t="s">
        <v>1819</v>
      </c>
      <c r="C70" s="59" t="s">
        <v>4798</v>
      </c>
      <c r="D70" s="59" t="s">
        <v>4397</v>
      </c>
      <c r="E70" s="59" t="s">
        <v>4398</v>
      </c>
      <c r="F70" s="60" t="s">
        <v>4399</v>
      </c>
      <c r="G70" s="48"/>
      <c r="H70" s="48"/>
      <c r="I70" s="32"/>
      <c r="J70" s="55" t="s">
        <v>1129</v>
      </c>
      <c r="K70" s="59" t="s">
        <v>7</v>
      </c>
    </row>
    <row r="71" customHeight="1" spans="1:11">
      <c r="A71" s="55">
        <v>54</v>
      </c>
      <c r="B71" s="55" t="s">
        <v>1819</v>
      </c>
      <c r="C71" s="59" t="s">
        <v>4798</v>
      </c>
      <c r="D71" s="59" t="s">
        <v>4402</v>
      </c>
      <c r="E71" s="59" t="s">
        <v>4403</v>
      </c>
      <c r="F71" s="60" t="s">
        <v>4405</v>
      </c>
      <c r="G71" s="48"/>
      <c r="H71" s="48"/>
      <c r="I71" s="32"/>
      <c r="J71" s="55" t="s">
        <v>1129</v>
      </c>
      <c r="K71" s="59" t="s">
        <v>7</v>
      </c>
    </row>
    <row r="72" customHeight="1" spans="1:11">
      <c r="A72" s="55">
        <v>55</v>
      </c>
      <c r="B72" s="55" t="s">
        <v>1819</v>
      </c>
      <c r="C72" s="59" t="s">
        <v>4798</v>
      </c>
      <c r="D72" s="59" t="s">
        <v>4407</v>
      </c>
      <c r="E72" s="59" t="s">
        <v>4408</v>
      </c>
      <c r="F72" s="60" t="s">
        <v>4410</v>
      </c>
      <c r="G72" s="48"/>
      <c r="H72" s="48"/>
      <c r="I72" s="32"/>
      <c r="J72" s="55" t="s">
        <v>1129</v>
      </c>
      <c r="K72" s="59" t="s">
        <v>7</v>
      </c>
    </row>
    <row r="73" ht="30" customHeight="1" spans="1:11">
      <c r="A73" s="55">
        <v>56</v>
      </c>
      <c r="B73" s="55" t="s">
        <v>1819</v>
      </c>
      <c r="C73" s="59" t="s">
        <v>4798</v>
      </c>
      <c r="D73" s="59" t="s">
        <v>4412</v>
      </c>
      <c r="E73" s="59" t="s">
        <v>4413</v>
      </c>
      <c r="F73" s="60" t="s">
        <v>4415</v>
      </c>
      <c r="G73" s="48"/>
      <c r="H73" s="48"/>
      <c r="I73" s="32"/>
      <c r="J73" s="55" t="s">
        <v>1129</v>
      </c>
      <c r="K73" s="59" t="s">
        <v>7</v>
      </c>
    </row>
    <row r="74" ht="30" customHeight="1" spans="1:11">
      <c r="A74" s="55">
        <v>57</v>
      </c>
      <c r="B74" s="55" t="s">
        <v>1819</v>
      </c>
      <c r="C74" s="59" t="s">
        <v>4798</v>
      </c>
      <c r="D74" s="59" t="s">
        <v>4417</v>
      </c>
      <c r="E74" s="59" t="s">
        <v>4418</v>
      </c>
      <c r="F74" s="60" t="s">
        <v>4420</v>
      </c>
      <c r="G74" s="48"/>
      <c r="H74" s="48"/>
      <c r="I74" s="32"/>
      <c r="J74" s="55" t="s">
        <v>1130</v>
      </c>
      <c r="K74" s="59" t="s">
        <v>7</v>
      </c>
    </row>
    <row r="75" ht="30" customHeight="1" spans="1:11">
      <c r="A75" s="55">
        <v>58</v>
      </c>
      <c r="B75" s="55" t="s">
        <v>1819</v>
      </c>
      <c r="C75" s="59" t="s">
        <v>4798</v>
      </c>
      <c r="D75" s="59" t="s">
        <v>4423</v>
      </c>
      <c r="E75" s="59" t="s">
        <v>4424</v>
      </c>
      <c r="F75" s="60" t="s">
        <v>4426</v>
      </c>
      <c r="G75" s="48"/>
      <c r="H75" s="48"/>
      <c r="I75" s="32"/>
      <c r="J75" s="55" t="s">
        <v>1129</v>
      </c>
      <c r="K75" s="59" t="s">
        <v>7</v>
      </c>
    </row>
    <row r="76" ht="30" customHeight="1" spans="1:11">
      <c r="A76" s="55">
        <v>59</v>
      </c>
      <c r="B76" s="55" t="s">
        <v>1819</v>
      </c>
      <c r="C76" s="59" t="s">
        <v>4798</v>
      </c>
      <c r="D76" s="59" t="s">
        <v>4429</v>
      </c>
      <c r="E76" s="59" t="s">
        <v>4430</v>
      </c>
      <c r="F76" s="60" t="s">
        <v>4432</v>
      </c>
      <c r="G76" s="48"/>
      <c r="H76" s="48"/>
      <c r="I76" s="32"/>
      <c r="J76" s="55" t="s">
        <v>1129</v>
      </c>
      <c r="K76" s="59" t="s">
        <v>7</v>
      </c>
    </row>
    <row r="77" ht="45" customHeight="1" spans="1:11">
      <c r="A77" s="55">
        <v>60</v>
      </c>
      <c r="B77" s="55" t="s">
        <v>1819</v>
      </c>
      <c r="C77" s="59" t="s">
        <v>4798</v>
      </c>
      <c r="D77" s="59" t="s">
        <v>4435</v>
      </c>
      <c r="E77" s="59" t="s">
        <v>4436</v>
      </c>
      <c r="F77" s="60" t="s">
        <v>4438</v>
      </c>
      <c r="G77" s="48"/>
      <c r="H77" s="48"/>
      <c r="I77" s="32"/>
      <c r="J77" s="55" t="s">
        <v>1130</v>
      </c>
      <c r="K77" s="59" t="s">
        <v>7</v>
      </c>
    </row>
    <row r="78" ht="30" customHeight="1" spans="1:11">
      <c r="A78" s="55">
        <v>61</v>
      </c>
      <c r="B78" s="55" t="s">
        <v>1819</v>
      </c>
      <c r="C78" s="59" t="s">
        <v>4798</v>
      </c>
      <c r="D78" s="59" t="s">
        <v>4442</v>
      </c>
      <c r="E78" s="59" t="s">
        <v>4443</v>
      </c>
      <c r="F78" s="60" t="s">
        <v>4445</v>
      </c>
      <c r="G78" s="48"/>
      <c r="H78" s="48"/>
      <c r="I78" s="32"/>
      <c r="J78" s="55" t="s">
        <v>1129</v>
      </c>
      <c r="K78" s="59" t="s">
        <v>7</v>
      </c>
    </row>
    <row r="79" ht="30" customHeight="1" spans="1:11">
      <c r="A79" s="55">
        <v>62</v>
      </c>
      <c r="B79" s="55" t="s">
        <v>1819</v>
      </c>
      <c r="C79" s="59" t="s">
        <v>4798</v>
      </c>
      <c r="D79" s="59" t="s">
        <v>4447</v>
      </c>
      <c r="E79" s="59" t="s">
        <v>4448</v>
      </c>
      <c r="F79" s="60" t="s">
        <v>4450</v>
      </c>
      <c r="G79" s="48"/>
      <c r="H79" s="48"/>
      <c r="I79" s="32"/>
      <c r="J79" s="55" t="s">
        <v>1129</v>
      </c>
      <c r="K79" s="59" t="s">
        <v>7</v>
      </c>
    </row>
    <row r="80" ht="30" customHeight="1" spans="1:11">
      <c r="A80" s="55">
        <v>63</v>
      </c>
      <c r="B80" s="55" t="s">
        <v>1819</v>
      </c>
      <c r="C80" s="59" t="s">
        <v>4798</v>
      </c>
      <c r="D80" s="59" t="s">
        <v>4452</v>
      </c>
      <c r="E80" s="59" t="s">
        <v>4453</v>
      </c>
      <c r="F80" s="60" t="s">
        <v>4455</v>
      </c>
      <c r="G80" s="48"/>
      <c r="H80" s="48"/>
      <c r="I80" s="32"/>
      <c r="J80" s="55" t="s">
        <v>1129</v>
      </c>
      <c r="K80" s="59" t="s">
        <v>7</v>
      </c>
    </row>
    <row r="81" ht="30" customHeight="1" spans="1:11">
      <c r="A81" s="55">
        <v>64</v>
      </c>
      <c r="B81" s="55" t="s">
        <v>1819</v>
      </c>
      <c r="C81" s="59" t="s">
        <v>4798</v>
      </c>
      <c r="D81" s="59" t="s">
        <v>4457</v>
      </c>
      <c r="E81" s="59" t="s">
        <v>4458</v>
      </c>
      <c r="F81" s="60" t="s">
        <v>4460</v>
      </c>
      <c r="G81" s="48"/>
      <c r="H81" s="48"/>
      <c r="I81" s="32"/>
      <c r="J81" s="55" t="s">
        <v>1129</v>
      </c>
      <c r="K81" s="59" t="s">
        <v>7</v>
      </c>
    </row>
    <row r="82" ht="30" customHeight="1" spans="1:11">
      <c r="A82" s="55">
        <v>65</v>
      </c>
      <c r="B82" s="55" t="s">
        <v>1819</v>
      </c>
      <c r="C82" s="59" t="s">
        <v>4798</v>
      </c>
      <c r="D82" s="59" t="s">
        <v>4462</v>
      </c>
      <c r="E82" s="59" t="s">
        <v>4463</v>
      </c>
      <c r="F82" s="60" t="s">
        <v>4465</v>
      </c>
      <c r="G82" s="48"/>
      <c r="H82" s="48"/>
      <c r="I82" s="32"/>
      <c r="J82" s="55" t="s">
        <v>1129</v>
      </c>
      <c r="K82" s="59" t="s">
        <v>7</v>
      </c>
    </row>
    <row r="83" ht="30" customHeight="1" spans="1:11">
      <c r="A83" s="55">
        <v>66</v>
      </c>
      <c r="B83" s="55" t="s">
        <v>1819</v>
      </c>
      <c r="C83" s="59" t="s">
        <v>4798</v>
      </c>
      <c r="D83" s="59" t="s">
        <v>4467</v>
      </c>
      <c r="E83" s="59" t="s">
        <v>4468</v>
      </c>
      <c r="F83" s="60" t="s">
        <v>4470</v>
      </c>
      <c r="G83" s="48"/>
      <c r="H83" s="48"/>
      <c r="I83" s="32"/>
      <c r="J83" s="55" t="s">
        <v>1130</v>
      </c>
      <c r="K83" s="59" t="s">
        <v>7</v>
      </c>
    </row>
    <row r="84" ht="30" customHeight="1" spans="1:11">
      <c r="A84" s="55">
        <v>67</v>
      </c>
      <c r="B84" s="55" t="s">
        <v>1819</v>
      </c>
      <c r="C84" s="59" t="s">
        <v>4798</v>
      </c>
      <c r="D84" s="59" t="s">
        <v>4473</v>
      </c>
      <c r="E84" s="59" t="s">
        <v>4474</v>
      </c>
      <c r="F84" s="60" t="s">
        <v>4476</v>
      </c>
      <c r="G84" s="48"/>
      <c r="H84" s="48"/>
      <c r="I84" s="32"/>
      <c r="J84" s="55" t="s">
        <v>1129</v>
      </c>
      <c r="K84" s="59" t="s">
        <v>7</v>
      </c>
    </row>
    <row r="85" ht="45" customHeight="1" spans="1:11">
      <c r="A85" s="55">
        <v>68</v>
      </c>
      <c r="B85" s="55" t="s">
        <v>1819</v>
      </c>
      <c r="C85" s="59" t="s">
        <v>4798</v>
      </c>
      <c r="D85" s="59" t="s">
        <v>4479</v>
      </c>
      <c r="E85" s="59" t="s">
        <v>4480</v>
      </c>
      <c r="F85" s="60" t="s">
        <v>4482</v>
      </c>
      <c r="G85" s="48"/>
      <c r="H85" s="48"/>
      <c r="I85" s="32"/>
      <c r="J85" s="55" t="s">
        <v>1130</v>
      </c>
      <c r="K85" s="59" t="s">
        <v>7</v>
      </c>
    </row>
  </sheetData>
  <mergeCells count="85">
    <mergeCell ref="A1:K1"/>
    <mergeCell ref="B3:C3"/>
    <mergeCell ref="B4:C4"/>
    <mergeCell ref="B5:C5"/>
    <mergeCell ref="A7:K7"/>
    <mergeCell ref="A8:B8"/>
    <mergeCell ref="G8:K8"/>
    <mergeCell ref="A9:B9"/>
    <mergeCell ref="G9:K9"/>
    <mergeCell ref="A10:B10"/>
    <mergeCell ref="G10:K10"/>
    <mergeCell ref="A11:B11"/>
    <mergeCell ref="G11:K11"/>
    <mergeCell ref="F13:I13"/>
    <mergeCell ref="A15:K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35:I35"/>
    <mergeCell ref="F36:I36"/>
    <mergeCell ref="F37:I37"/>
    <mergeCell ref="F38:I38"/>
    <mergeCell ref="F39:I39"/>
    <mergeCell ref="F40:I40"/>
    <mergeCell ref="A41:K41"/>
    <mergeCell ref="F42:I42"/>
    <mergeCell ref="F43:I43"/>
    <mergeCell ref="F44:I44"/>
    <mergeCell ref="F45:I45"/>
    <mergeCell ref="F46:I46"/>
    <mergeCell ref="F47:I47"/>
    <mergeCell ref="F48:I48"/>
    <mergeCell ref="F49:I49"/>
    <mergeCell ref="F50:I50"/>
    <mergeCell ref="F51:I51"/>
    <mergeCell ref="F52:I52"/>
    <mergeCell ref="F53:I53"/>
    <mergeCell ref="F54:I54"/>
    <mergeCell ref="F55:I55"/>
    <mergeCell ref="F56:I56"/>
    <mergeCell ref="F57:I57"/>
    <mergeCell ref="F58:I58"/>
    <mergeCell ref="F59:I59"/>
    <mergeCell ref="F60:I60"/>
    <mergeCell ref="F61:I61"/>
    <mergeCell ref="F62:I62"/>
    <mergeCell ref="F63:I63"/>
    <mergeCell ref="A64:K64"/>
    <mergeCell ref="F65:I65"/>
    <mergeCell ref="F66:I66"/>
    <mergeCell ref="F67:I67"/>
    <mergeCell ref="F68:I68"/>
    <mergeCell ref="F69:I69"/>
    <mergeCell ref="F70:I70"/>
    <mergeCell ref="F71:I71"/>
    <mergeCell ref="F72:I72"/>
    <mergeCell ref="F73:I73"/>
    <mergeCell ref="F74:I74"/>
    <mergeCell ref="F75:I75"/>
    <mergeCell ref="F76:I76"/>
    <mergeCell ref="F77:I77"/>
    <mergeCell ref="F78:I78"/>
    <mergeCell ref="F79:I79"/>
    <mergeCell ref="F80:I80"/>
    <mergeCell ref="F81:I81"/>
    <mergeCell ref="F82:I82"/>
    <mergeCell ref="F83:I83"/>
    <mergeCell ref="F84:I84"/>
    <mergeCell ref="F85:I85"/>
  </mergeCells>
  <conditionalFormatting sqref="J15:J85">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9"/>
  <sheetViews>
    <sheetView workbookViewId="0">
      <selection activeCell="A1" sqref="A1:H1"/>
    </sheetView>
  </sheetViews>
  <sheetFormatPr defaultColWidth="9" defaultRowHeight="15"/>
  <cols>
    <col min="1" max="1" width="9" customWidth="1"/>
    <col min="2" max="2" width="14" customWidth="1"/>
    <col min="3" max="3" width="40" customWidth="1"/>
    <col min="4" max="4" width="30" customWidth="1"/>
    <col min="5" max="5" width="10" customWidth="1"/>
    <col min="6" max="6" width="9" customWidth="1"/>
    <col min="7" max="12" width="10" customWidth="1"/>
    <col min="13" max="13" width="12" customWidth="1"/>
    <col min="14" max="15" width="10" customWidth="1"/>
  </cols>
  <sheetData>
    <row r="1" ht="20.25" spans="1:4">
      <c r="A1" s="159" t="s">
        <v>4799</v>
      </c>
    </row>
    <row r="3" ht="28.5" spans="1:4">
      <c r="A3" s="21" t="s">
        <v>1822</v>
      </c>
      <c r="B3" s="22" t="s">
        <v>1823</v>
      </c>
    </row>
    <row r="4" ht="28.5" spans="1:4">
      <c r="A4" s="21" t="s">
        <v>1544</v>
      </c>
      <c r="B4" s="22" t="s">
        <v>4800</v>
      </c>
    </row>
    <row r="5" ht="42.75" spans="1:4">
      <c r="A5" s="21" t="s">
        <v>1825</v>
      </c>
      <c r="B5" s="23" t="s">
        <v>1826</v>
      </c>
    </row>
    <row r="7" ht="15.75" spans="1:4">
      <c r="A7" s="24" t="s">
        <v>1827</v>
      </c>
    </row>
    <row r="8" ht="28.5" spans="1:4">
      <c r="A8" s="25" t="s">
        <v>211</v>
      </c>
      <c r="B8" s="25" t="s">
        <v>1828</v>
      </c>
      <c r="C8" s="25" t="s">
        <v>1829</v>
      </c>
      <c r="D8" s="25" t="s">
        <v>1830</v>
      </c>
    </row>
    <row r="9" ht="30" customHeight="1" spans="1:4">
      <c r="A9" s="26">
        <v>1</v>
      </c>
      <c r="B9" s="27" t="s">
        <v>1831</v>
      </c>
      <c r="C9" s="28" t="s">
        <v>4801</v>
      </c>
      <c r="D9" s="29" t="s">
        <v>1833</v>
      </c>
    </row>
    <row r="11" ht="15.75" spans="1:4">
      <c r="A11" s="30" t="s">
        <v>1837</v>
      </c>
    </row>
    <row r="12" spans="1:4">
      <c r="A12" s="31" t="s">
        <v>1838</v>
      </c>
      <c r="B12" s="32"/>
      <c r="C12" s="31" t="s">
        <v>1839</v>
      </c>
      <c r="D12" s="32"/>
    </row>
    <row r="13" customHeight="1" spans="1:4">
      <c r="A13" s="33" t="s">
        <v>1840</v>
      </c>
      <c r="B13" s="32"/>
      <c r="C13" s="34" t="s">
        <v>1841</v>
      </c>
      <c r="D13" s="32"/>
    </row>
    <row r="14" customHeight="1" spans="1:4">
      <c r="A14" s="33" t="s">
        <v>1842</v>
      </c>
      <c r="B14" s="32"/>
      <c r="C14" s="34" t="s">
        <v>1843</v>
      </c>
      <c r="D14" s="32"/>
    </row>
    <row r="15" customHeight="1" spans="1:4">
      <c r="A15" s="33" t="s">
        <v>1844</v>
      </c>
      <c r="B15" s="32"/>
      <c r="C15" s="34" t="s">
        <v>1845</v>
      </c>
      <c r="D15" s="32"/>
    </row>
    <row r="16" customHeight="1" spans="1:4">
      <c r="A16" s="33" t="s">
        <v>1846</v>
      </c>
      <c r="B16" s="32"/>
      <c r="C16" s="34" t="s">
        <v>1847</v>
      </c>
      <c r="D16" s="32"/>
    </row>
    <row r="17" customHeight="1" spans="1:15">
      <c r="A17" s="33" t="s">
        <v>1848</v>
      </c>
      <c r="B17" s="32"/>
      <c r="C17" s="34" t="s">
        <v>1849</v>
      </c>
      <c r="D17" s="32"/>
    </row>
    <row r="18" ht="30" customHeight="1" spans="1:15">
      <c r="A18" s="33" t="s">
        <v>1850</v>
      </c>
      <c r="B18" s="32"/>
      <c r="C18" s="34" t="s">
        <v>1851</v>
      </c>
      <c r="D18" s="32"/>
    </row>
    <row r="19" ht="30" customHeight="1" spans="1:15">
      <c r="A19" s="33" t="s">
        <v>1852</v>
      </c>
      <c r="B19" s="32"/>
      <c r="C19" s="34" t="s">
        <v>1853</v>
      </c>
      <c r="D19" s="32"/>
    </row>
    <row r="20" customHeight="1" spans="1:15">
      <c r="A20" s="33" t="s">
        <v>1854</v>
      </c>
      <c r="B20" s="32"/>
      <c r="C20" s="34" t="s">
        <v>1855</v>
      </c>
      <c r="D20" s="32"/>
    </row>
    <row r="22" ht="15.75" spans="1:15">
      <c r="A22" s="24" t="s">
        <v>1856</v>
      </c>
    </row>
    <row r="23" ht="28.5" spans="1:15">
      <c r="A23" s="31" t="s">
        <v>211</v>
      </c>
      <c r="B23" s="31" t="s">
        <v>1857</v>
      </c>
      <c r="C23" s="32"/>
      <c r="D23" s="31" t="s">
        <v>1858</v>
      </c>
    </row>
    <row r="24" ht="30" customHeight="1" spans="1:15">
      <c r="A24" s="35">
        <v>1</v>
      </c>
      <c r="B24" s="33" t="s">
        <v>4802</v>
      </c>
      <c r="C24" s="32"/>
      <c r="D24" s="34" t="s">
        <v>4803</v>
      </c>
    </row>
    <row r="25" customHeight="1" spans="1:15">
      <c r="A25" s="35">
        <v>2</v>
      </c>
      <c r="B25" s="33" t="s">
        <v>4804</v>
      </c>
      <c r="C25" s="32"/>
      <c r="D25" s="34" t="s">
        <v>4805</v>
      </c>
    </row>
    <row r="27" spans="1:15">
      <c r="A27" s="36" t="s">
        <v>1863</v>
      </c>
      <c r="B27" s="37"/>
      <c r="C27" s="37"/>
      <c r="D27" s="37"/>
      <c r="E27" s="37"/>
      <c r="F27" s="37"/>
      <c r="G27" s="37"/>
      <c r="H27" s="37"/>
      <c r="I27" s="37"/>
      <c r="J27" s="37"/>
      <c r="K27" s="37"/>
      <c r="L27" s="37"/>
      <c r="M27" s="37"/>
      <c r="N27" s="37"/>
      <c r="O27" s="37"/>
    </row>
    <row r="28" ht="32" customHeight="1" spans="1:15">
      <c r="A28" s="38" t="s">
        <v>211</v>
      </c>
      <c r="B28" s="38" t="s">
        <v>1828</v>
      </c>
      <c r="C28" s="38" t="s">
        <v>1864</v>
      </c>
      <c r="D28" s="38" t="s">
        <v>1865</v>
      </c>
      <c r="E28" s="38" t="s">
        <v>1866</v>
      </c>
      <c r="F28" s="38" t="s">
        <v>1867</v>
      </c>
      <c r="G28" s="38" t="s">
        <v>1868</v>
      </c>
      <c r="H28" s="38" t="s">
        <v>1869</v>
      </c>
      <c r="I28" s="38" t="s">
        <v>1870</v>
      </c>
      <c r="J28" s="38" t="s">
        <v>1871</v>
      </c>
      <c r="K28" s="38" t="s">
        <v>1872</v>
      </c>
      <c r="L28" s="38" t="s">
        <v>1873</v>
      </c>
      <c r="M28" s="38" t="s">
        <v>1874</v>
      </c>
      <c r="N28" s="38" t="s">
        <v>1875</v>
      </c>
      <c r="O28" s="38" t="s">
        <v>1876</v>
      </c>
    </row>
    <row r="29" ht="30" customHeight="1" spans="1:15">
      <c r="A29" s="39">
        <v>1</v>
      </c>
      <c r="B29" s="39" t="s">
        <v>1831</v>
      </c>
      <c r="C29" s="40" t="s">
        <v>4806</v>
      </c>
      <c r="D29" s="39" t="s">
        <v>1878</v>
      </c>
      <c r="E29" s="39">
        <v>20</v>
      </c>
      <c r="F29" s="39">
        <v>30</v>
      </c>
      <c r="G29" s="39">
        <v>20</v>
      </c>
      <c r="H29" s="39">
        <v>45805</v>
      </c>
      <c r="I29" s="39">
        <v>13</v>
      </c>
      <c r="J29" s="39">
        <v>27</v>
      </c>
      <c r="K29" s="39">
        <v>4</v>
      </c>
      <c r="L29" s="39">
        <v>235</v>
      </c>
      <c r="M29" s="39">
        <v>1526.4</v>
      </c>
      <c r="N29" s="41">
        <v>0</v>
      </c>
      <c r="O29" s="39" t="s">
        <v>1385</v>
      </c>
    </row>
    <row r="30" ht="30" customHeight="1" spans="1:15">
      <c r="A30" s="39">
        <v>2</v>
      </c>
      <c r="B30" s="39" t="s">
        <v>1831</v>
      </c>
      <c r="C30" s="40" t="s">
        <v>4807</v>
      </c>
      <c r="D30" s="39" t="s">
        <v>1878</v>
      </c>
      <c r="E30" s="39">
        <v>20</v>
      </c>
      <c r="F30" s="39">
        <v>30</v>
      </c>
      <c r="G30" s="39">
        <v>19</v>
      </c>
      <c r="H30" s="39">
        <v>39758</v>
      </c>
      <c r="I30" s="39">
        <v>15</v>
      </c>
      <c r="J30" s="39">
        <v>23</v>
      </c>
      <c r="K30" s="39">
        <v>6</v>
      </c>
      <c r="L30" s="39">
        <v>61</v>
      </c>
      <c r="M30" s="39">
        <v>1324.7</v>
      </c>
      <c r="N30" s="41">
        <v>0</v>
      </c>
      <c r="O30" s="39" t="s">
        <v>1385</v>
      </c>
    </row>
    <row r="31" spans="1:15">
      <c r="A31" s="42" t="s">
        <v>1882</v>
      </c>
      <c r="B31" s="42" t="s">
        <v>1883</v>
      </c>
      <c r="C31" s="42" t="s">
        <v>1884</v>
      </c>
      <c r="D31" s="42" t="s">
        <v>1885</v>
      </c>
      <c r="H31" s="43">
        <f>SUM(H29:H30)</f>
        <v>85563</v>
      </c>
      <c r="I31" s="44">
        <f>IFERROR(SUMPRODUCT(H29:H30,I29:I30)/H31,0)</f>
        <v>13.9293269286958</v>
      </c>
      <c r="N31" s="45">
        <f>IFERROR(SUMPRODUCT(H29:H30,N29:N30)/H31,0)</f>
        <v>0</v>
      </c>
      <c r="O31" s="43" t="str">
        <f>IF(COUNTIF(O29:O30,"FAIL")=0,"PASS","FAIL")</f>
        <v>PASS</v>
      </c>
    </row>
    <row r="33" spans="1:15">
      <c r="A33" s="46" t="s">
        <v>1886</v>
      </c>
      <c r="B33" s="16"/>
      <c r="C33" s="16"/>
      <c r="D33" s="16"/>
      <c r="E33" s="17"/>
    </row>
    <row r="34" ht="30" spans="1:15">
      <c r="A34" s="38" t="s">
        <v>1887</v>
      </c>
      <c r="B34" s="38" t="s">
        <v>332</v>
      </c>
      <c r="C34" s="38" t="s">
        <v>1888</v>
      </c>
      <c r="D34" s="38" t="s">
        <v>1889</v>
      </c>
      <c r="E34" s="38" t="s">
        <v>430</v>
      </c>
    </row>
    <row r="35" ht="30" customHeight="1" spans="1:15">
      <c r="A35" s="47" t="s">
        <v>1831</v>
      </c>
      <c r="B35" s="47" t="s">
        <v>1878</v>
      </c>
      <c r="C35" s="47" t="s">
        <v>1890</v>
      </c>
      <c r="D35" s="47" t="s">
        <v>1891</v>
      </c>
      <c r="E35" s="47" t="s">
        <v>4806</v>
      </c>
    </row>
    <row r="36" ht="30" customHeight="1" spans="1:15">
      <c r="A36" s="47" t="s">
        <v>1831</v>
      </c>
      <c r="B36" s="47" t="s">
        <v>1878</v>
      </c>
      <c r="C36" s="47" t="s">
        <v>2979</v>
      </c>
      <c r="D36" s="47" t="s">
        <v>1891</v>
      </c>
      <c r="E36" s="47" t="s">
        <v>4807</v>
      </c>
    </row>
    <row r="38" spans="1:15">
      <c r="A38" s="46" t="s">
        <v>1893</v>
      </c>
      <c r="B38" s="16"/>
      <c r="C38" s="16"/>
      <c r="D38" s="16"/>
      <c r="E38" s="16"/>
      <c r="F38" s="16"/>
      <c r="G38" s="16"/>
      <c r="H38" s="16"/>
      <c r="I38" s="16"/>
      <c r="J38" s="16"/>
      <c r="K38" s="16"/>
      <c r="L38" s="16"/>
      <c r="M38" s="16"/>
      <c r="N38" s="16"/>
      <c r="O38" s="17"/>
    </row>
    <row r="39" customHeight="1" spans="1:15">
      <c r="A39" s="47" t="s">
        <v>4808</v>
      </c>
      <c r="B39" s="48"/>
      <c r="C39" s="48"/>
      <c r="D39" s="48"/>
      <c r="E39" s="48"/>
      <c r="F39" s="48"/>
      <c r="G39" s="48"/>
      <c r="H39" s="48"/>
      <c r="I39" s="48"/>
      <c r="J39" s="48"/>
      <c r="K39" s="48"/>
      <c r="L39" s="48"/>
      <c r="M39" s="48"/>
      <c r="N39" s="48"/>
      <c r="O39" s="32"/>
    </row>
  </sheetData>
  <mergeCells count="32">
    <mergeCell ref="A1:H1"/>
    <mergeCell ref="B3:H3"/>
    <mergeCell ref="B4:H4"/>
    <mergeCell ref="B5:H5"/>
    <mergeCell ref="A7:D7"/>
    <mergeCell ref="A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2:D22"/>
    <mergeCell ref="B23:C23"/>
    <mergeCell ref="B24:C24"/>
    <mergeCell ref="B25:C25"/>
    <mergeCell ref="A27:O27"/>
    <mergeCell ref="A33:E33"/>
    <mergeCell ref="A38:O38"/>
    <mergeCell ref="A39:O39"/>
  </mergeCells>
  <conditionalFormatting sqref="O29:O31">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workbookViewId="0">
      <selection activeCell="A1" sqref="A1:G1"/>
    </sheetView>
  </sheetViews>
  <sheetFormatPr defaultColWidth="9" defaultRowHeight="15" outlineLevelCol="6"/>
  <cols>
    <col min="1" max="1" width="34" customWidth="1"/>
    <col min="2" max="2" width="14" customWidth="1"/>
    <col min="3" max="6" width="13" customWidth="1"/>
    <col min="7" max="7" width="44" customWidth="1"/>
  </cols>
  <sheetData>
    <row r="1" ht="19.5" spans="1:7">
      <c r="A1" s="1" t="s">
        <v>1895</v>
      </c>
    </row>
    <row r="2" spans="1:7">
      <c r="A2" s="2" t="s">
        <v>226</v>
      </c>
      <c r="C2" s="2" t="s">
        <v>227</v>
      </c>
    </row>
    <row r="3" spans="1:7">
      <c r="A3" s="2" t="s">
        <v>528</v>
      </c>
      <c r="C3" s="2" t="s">
        <v>231</v>
      </c>
    </row>
    <row r="4" spans="1:7">
      <c r="A4" s="2" t="s">
        <v>1896</v>
      </c>
      <c r="C4" s="2" t="s">
        <v>49</v>
      </c>
    </row>
    <row r="5" spans="1:7">
      <c r="A5" s="2" t="s">
        <v>1897</v>
      </c>
      <c r="C5" s="2" t="s">
        <v>7</v>
      </c>
    </row>
    <row r="6" spans="1:7">
      <c r="A6" s="2" t="s">
        <v>1898</v>
      </c>
      <c r="C6" s="2" t="s">
        <v>233</v>
      </c>
    </row>
    <row r="7" spans="1:7">
      <c r="A7" s="2" t="s">
        <v>1899</v>
      </c>
      <c r="C7" s="2">
        <f>B16</f>
        <v>68</v>
      </c>
    </row>
    <row r="8" spans="1:7">
      <c r="A8" s="2" t="s">
        <v>1900</v>
      </c>
      <c r="C8" s="3" t="s">
        <v>1901</v>
      </c>
    </row>
    <row r="10" spans="1:7">
      <c r="A10" s="4" t="s">
        <v>1902</v>
      </c>
      <c r="B10" s="5"/>
      <c r="C10" s="5"/>
      <c r="D10" s="5"/>
      <c r="E10" s="5"/>
      <c r="F10" s="5"/>
      <c r="G10" s="6"/>
    </row>
    <row r="11" ht="32" customHeight="1" spans="1:7">
      <c r="A11" s="7" t="s">
        <v>1903</v>
      </c>
      <c r="B11" s="7" t="s">
        <v>1904</v>
      </c>
      <c r="C11" s="7" t="s">
        <v>1553</v>
      </c>
      <c r="D11" s="7" t="s">
        <v>1554</v>
      </c>
      <c r="E11" s="7" t="s">
        <v>1905</v>
      </c>
      <c r="F11" s="7" t="s">
        <v>1759</v>
      </c>
      <c r="G11" s="7" t="s">
        <v>1906</v>
      </c>
    </row>
    <row r="12" customHeight="1" spans="1:7">
      <c r="A12" s="8" t="s">
        <v>1907</v>
      </c>
      <c r="B12" s="9">
        <f>'PH5-Kiểm thử giao diện'!C14</f>
        <v>21</v>
      </c>
      <c r="C12" s="9">
        <f>'PH5-Kiểm thử giao diện'!E14</f>
        <v>17</v>
      </c>
      <c r="D12" s="9">
        <f>'PH5-Kiểm thử giao diện'!F14</f>
        <v>4</v>
      </c>
      <c r="E12" s="9">
        <f>'PH5-Kiểm thử giao diện'!D14</f>
        <v>0</v>
      </c>
      <c r="F12" s="10">
        <f>IFERROR(C12/B12,0)</f>
        <v>0.80952380952381</v>
      </c>
      <c r="G12" s="11" t="s">
        <v>1908</v>
      </c>
    </row>
    <row r="13" ht="30" customHeight="1" spans="1:7">
      <c r="A13" s="8" t="s">
        <v>1909</v>
      </c>
      <c r="B13" s="9">
        <f>'PH5-Kiểm thử API(Postman)'!A10</f>
        <v>22</v>
      </c>
      <c r="C13" s="9">
        <f>'PH5-Kiểm thử API(Postman)'!B10</f>
        <v>19</v>
      </c>
      <c r="D13" s="9">
        <f>'PH5-Kiểm thử API(Postman)'!C10</f>
        <v>3</v>
      </c>
      <c r="E13" s="9">
        <v>0</v>
      </c>
      <c r="F13" s="10">
        <f>IFERROR(C13/B13,0)</f>
        <v>0.863636363636364</v>
      </c>
      <c r="G13" s="11" t="s">
        <v>4809</v>
      </c>
    </row>
    <row r="14" ht="30" customHeight="1" spans="1:7">
      <c r="A14" s="8" t="s">
        <v>1911</v>
      </c>
      <c r="B14" s="9">
        <f>'PH5-Unit test'!B68</f>
        <v>25</v>
      </c>
      <c r="C14" s="9">
        <f>'PH5-Unit test'!B69</f>
        <v>22</v>
      </c>
      <c r="D14" s="9">
        <f>'PH5-Unit test'!B70</f>
        <v>3</v>
      </c>
      <c r="E14" s="9">
        <v>0</v>
      </c>
      <c r="F14" s="10">
        <f>IFERROR(C14/B14,0)</f>
        <v>0.88</v>
      </c>
      <c r="G14" s="11" t="s">
        <v>4810</v>
      </c>
    </row>
    <row r="15" ht="30" customHeight="1" spans="1:7">
      <c r="A15" s="8" t="s">
        <v>1913</v>
      </c>
      <c r="B15" s="9">
        <f>COUNTA('PH5-Kiểm thử hiệu năng'!O29:O30)</f>
        <v>2</v>
      </c>
      <c r="C15" s="9">
        <f>COUNTIF('PH5-Kiểm thử hiệu năng'!O29:O30,"PASS")</f>
        <v>2</v>
      </c>
      <c r="D15" s="9">
        <f>COUNTIF('PH5-Kiểm thử hiệu năng'!O29:O30,"FAIL")</f>
        <v>0</v>
      </c>
      <c r="E15" s="9">
        <v>0</v>
      </c>
      <c r="F15" s="10">
        <f>IFERROR(C15/B15,0)</f>
        <v>1</v>
      </c>
      <c r="G15" s="11" t="s">
        <v>4808</v>
      </c>
    </row>
    <row r="16" spans="1:7">
      <c r="A16" s="12" t="s">
        <v>1914</v>
      </c>
      <c r="B16" s="7">
        <f>SUMIF($A$12:$A$15,"&lt;&gt;Kiểm thử Hiệu năng*",B12:B15)</f>
        <v>68</v>
      </c>
      <c r="C16" s="7">
        <f>SUMIF($A$12:$A$15,"&lt;&gt;Kiểm thử Hiệu năng*",C12:C15)</f>
        <v>58</v>
      </c>
      <c r="D16" s="7">
        <f>SUMIF($A$12:$A$15,"&lt;&gt;Kiểm thử Hiệu năng*",D12:D15)</f>
        <v>10</v>
      </c>
      <c r="E16" s="7">
        <f>SUMIF($A$12:$A$15,"&lt;&gt;Kiểm thử Hiệu năng*",E12:E15)</f>
        <v>0</v>
      </c>
      <c r="F16" s="13">
        <f>IFERROR(C16/B16,0)</f>
        <v>0.852941176470588</v>
      </c>
      <c r="G16" s="12" t="s">
        <v>7</v>
      </c>
    </row>
    <row r="18" ht="400" customHeight="1" spans="1:7">
      <c r="A18" s="14" t="s">
        <v>1915</v>
      </c>
      <c r="B18" s="15" t="s">
        <v>4811</v>
      </c>
      <c r="C18" s="16"/>
      <c r="D18" s="16"/>
      <c r="E18" s="16"/>
      <c r="F18" s="16"/>
      <c r="G18" s="17"/>
    </row>
    <row r="19" ht="390" customHeight="1" spans="1:7">
      <c r="A19" s="18" t="s">
        <v>1917</v>
      </c>
      <c r="B19" s="15" t="s">
        <v>4812</v>
      </c>
      <c r="C19" s="16"/>
      <c r="D19" s="16"/>
      <c r="E19" s="17"/>
      <c r="F19" s="15" t="s">
        <v>4813</v>
      </c>
      <c r="G19" s="17"/>
    </row>
    <row r="20" ht="150" customHeight="1" spans="1:7">
      <c r="A20" s="14" t="s">
        <v>1920</v>
      </c>
      <c r="B20" s="15" t="s">
        <v>4356</v>
      </c>
      <c r="C20" s="16"/>
      <c r="D20" s="16"/>
      <c r="E20" s="16"/>
      <c r="F20" s="16"/>
      <c r="G20" s="17"/>
    </row>
    <row r="21" ht="45" customHeight="1" spans="1:7">
      <c r="A21" s="14" t="s">
        <v>1921</v>
      </c>
      <c r="B21" s="15" t="s">
        <v>4814</v>
      </c>
      <c r="C21" s="16"/>
      <c r="D21" s="16"/>
      <c r="E21" s="16"/>
      <c r="F21" s="16"/>
      <c r="G21" s="17"/>
    </row>
    <row r="22" ht="32" customHeight="1" spans="1:7">
      <c r="A22" s="19" t="s">
        <v>1923</v>
      </c>
    </row>
  </sheetData>
  <mergeCells count="21">
    <mergeCell ref="A1:G1"/>
    <mergeCell ref="A2:B2"/>
    <mergeCell ref="C2:F2"/>
    <mergeCell ref="A3:B3"/>
    <mergeCell ref="C3:F3"/>
    <mergeCell ref="A4:B4"/>
    <mergeCell ref="C4:F4"/>
    <mergeCell ref="A5:B5"/>
    <mergeCell ref="C5:F5"/>
    <mergeCell ref="A6:B6"/>
    <mergeCell ref="C6:F6"/>
    <mergeCell ref="A7:B7"/>
    <mergeCell ref="C7:F7"/>
    <mergeCell ref="A8:B8"/>
    <mergeCell ref="C8:F8"/>
    <mergeCell ref="A10:G10"/>
    <mergeCell ref="B18:G18"/>
    <mergeCell ref="B19:E19"/>
    <mergeCell ref="F19:G19"/>
    <mergeCell ref="B20:G20"/>
    <mergeCell ref="B21:G21"/>
  </mergeCell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
  <sheetViews>
    <sheetView workbookViewId="0">
      <pane xSplit="1" ySplit="13" topLeftCell="B14" activePane="bottomRight" state="frozen"/>
      <selection/>
      <selection pane="topRight"/>
      <selection pane="bottomLeft"/>
      <selection pane="bottomRight" activeCell="A1" sqref="A1:F1"/>
    </sheetView>
  </sheetViews>
  <sheetFormatPr defaultColWidth="9" defaultRowHeight="15" outlineLevelCol="5"/>
  <cols>
    <col min="1" max="1" width="57.7142857142857" customWidth="1"/>
    <col min="2" max="2" width="11.1428571428571" customWidth="1"/>
    <col min="3" max="3" width="13.5714285714286" customWidth="1"/>
    <col min="4" max="4" width="13" customWidth="1"/>
    <col min="5" max="5" width="38.5714285714286" customWidth="1"/>
    <col min="6" max="6" width="13" customWidth="1"/>
  </cols>
  <sheetData>
    <row r="1" ht="24" customHeight="1" spans="1:6">
      <c r="A1" s="144" t="s">
        <v>69</v>
      </c>
    </row>
    <row r="3" customHeight="1" spans="1:6">
      <c r="A3" s="145" t="s">
        <v>226</v>
      </c>
      <c r="B3" s="146" t="s">
        <v>227</v>
      </c>
      <c r="C3" s="147"/>
      <c r="D3" s="147"/>
      <c r="E3" s="147"/>
      <c r="F3" s="147"/>
    </row>
    <row r="4" customHeight="1" spans="1:6">
      <c r="A4" s="145" t="s">
        <v>528</v>
      </c>
      <c r="B4" s="146" t="s">
        <v>231</v>
      </c>
      <c r="C4" s="147"/>
      <c r="D4" s="147"/>
      <c r="E4" s="147"/>
      <c r="F4" s="147"/>
    </row>
    <row r="5" customHeight="1" spans="1:6">
      <c r="A5" s="145" t="s">
        <v>529</v>
      </c>
      <c r="B5" s="148" t="s">
        <v>50</v>
      </c>
      <c r="C5" s="147"/>
      <c r="D5" s="147"/>
      <c r="E5" s="147"/>
      <c r="F5" s="147"/>
    </row>
    <row r="6" customHeight="1" spans="1:6">
      <c r="A6" s="145" t="s">
        <v>422</v>
      </c>
      <c r="B6" s="146" t="s">
        <v>60</v>
      </c>
      <c r="C6" s="147"/>
      <c r="D6" s="147"/>
      <c r="E6" s="147"/>
      <c r="F6" s="147"/>
    </row>
    <row r="7" customHeight="1" spans="1:6">
      <c r="A7" s="145" t="s">
        <v>238</v>
      </c>
      <c r="B7" s="146" t="s">
        <v>7</v>
      </c>
      <c r="C7" s="147"/>
      <c r="D7" s="147"/>
      <c r="E7" s="147"/>
      <c r="F7" s="147"/>
    </row>
    <row r="8" customHeight="1" spans="1:6">
      <c r="A8" s="145" t="s">
        <v>421</v>
      </c>
      <c r="B8" s="146" t="s">
        <v>233</v>
      </c>
      <c r="C8" s="147"/>
      <c r="D8" s="147"/>
      <c r="E8" s="147"/>
      <c r="F8" s="147"/>
    </row>
    <row r="9" ht="60" customHeight="1" spans="1:6">
      <c r="A9" s="145" t="s">
        <v>423</v>
      </c>
      <c r="B9" s="148" t="s">
        <v>4815</v>
      </c>
      <c r="C9" s="147"/>
      <c r="D9" s="147"/>
      <c r="E9" s="147"/>
      <c r="F9" s="147"/>
    </row>
    <row r="10" customHeight="1" spans="1:6">
      <c r="A10" s="145" t="s">
        <v>532</v>
      </c>
      <c r="B10" s="146" t="s">
        <v>103</v>
      </c>
      <c r="C10" s="147"/>
      <c r="D10" s="147"/>
      <c r="E10" s="147"/>
      <c r="F10" s="147"/>
    </row>
    <row r="11" ht="90" customHeight="1" spans="1:6">
      <c r="A11" s="145" t="s">
        <v>935</v>
      </c>
      <c r="B11" s="148" t="s">
        <v>4816</v>
      </c>
      <c r="C11" s="147"/>
      <c r="D11" s="147"/>
      <c r="E11" s="147"/>
      <c r="F11" s="147"/>
    </row>
    <row r="13" spans="1:6">
      <c r="A13" s="149" t="s">
        <v>426</v>
      </c>
      <c r="B13" s="150" t="s">
        <v>427</v>
      </c>
      <c r="C13" s="150" t="s">
        <v>428</v>
      </c>
      <c r="D13" s="150" t="s">
        <v>429</v>
      </c>
      <c r="E13" s="150" t="s">
        <v>430</v>
      </c>
      <c r="F13" s="150" t="s">
        <v>431</v>
      </c>
    </row>
    <row r="14" spans="1:6">
      <c r="A14" s="149" t="s">
        <v>432</v>
      </c>
      <c r="B14" s="149"/>
      <c r="C14" s="149"/>
      <c r="D14" s="149"/>
      <c r="E14" s="149"/>
      <c r="F14" s="149"/>
    </row>
    <row r="15" ht="75" customHeight="1" spans="1:6">
      <c r="A15" s="151" t="s">
        <v>433</v>
      </c>
      <c r="B15" s="152"/>
      <c r="C15" s="152" t="s">
        <v>434</v>
      </c>
      <c r="D15" s="152"/>
      <c r="E15" s="151" t="s">
        <v>4817</v>
      </c>
      <c r="F15" s="152" t="s">
        <v>436</v>
      </c>
    </row>
    <row r="16" ht="60" customHeight="1" spans="1:6">
      <c r="A16" s="151" t="s">
        <v>437</v>
      </c>
      <c r="B16" s="152"/>
      <c r="C16" s="152" t="s">
        <v>434</v>
      </c>
      <c r="D16" s="152"/>
      <c r="E16" s="151" t="s">
        <v>4818</v>
      </c>
      <c r="F16" s="152" t="s">
        <v>436</v>
      </c>
    </row>
    <row r="17" ht="75" customHeight="1" spans="1:6">
      <c r="A17" s="151" t="s">
        <v>535</v>
      </c>
      <c r="B17" s="152"/>
      <c r="C17" s="152" t="s">
        <v>434</v>
      </c>
      <c r="D17" s="152"/>
      <c r="E17" s="151" t="s">
        <v>4819</v>
      </c>
      <c r="F17" s="152" t="s">
        <v>436</v>
      </c>
    </row>
    <row r="18" ht="45" customHeight="1" spans="1:6">
      <c r="A18" s="151" t="s">
        <v>537</v>
      </c>
      <c r="B18" s="152"/>
      <c r="C18" s="152" t="s">
        <v>434</v>
      </c>
      <c r="D18" s="152"/>
      <c r="E18" s="151" t="s">
        <v>4241</v>
      </c>
      <c r="F18" s="152" t="s">
        <v>436</v>
      </c>
    </row>
    <row r="19" ht="30" customHeight="1" spans="1:6">
      <c r="A19" s="151" t="s">
        <v>539</v>
      </c>
      <c r="B19" s="152"/>
      <c r="C19" s="152" t="s">
        <v>434</v>
      </c>
      <c r="D19" s="152"/>
      <c r="E19" s="151" t="s">
        <v>4242</v>
      </c>
      <c r="F19" s="152" t="s">
        <v>436</v>
      </c>
    </row>
    <row r="20" ht="30" customHeight="1" spans="1:6">
      <c r="A20" s="151" t="s">
        <v>541</v>
      </c>
      <c r="B20" s="152"/>
      <c r="C20" s="152" t="s">
        <v>434</v>
      </c>
      <c r="D20" s="152"/>
      <c r="E20" s="151" t="s">
        <v>4243</v>
      </c>
      <c r="F20" s="152" t="s">
        <v>436</v>
      </c>
    </row>
    <row r="21" ht="45" customHeight="1" spans="1:6">
      <c r="A21" s="151" t="s">
        <v>543</v>
      </c>
      <c r="B21" s="152"/>
      <c r="C21" s="152" t="s">
        <v>434</v>
      </c>
      <c r="D21" s="152"/>
      <c r="E21" s="151" t="s">
        <v>4820</v>
      </c>
      <c r="F21" s="152" t="s">
        <v>436</v>
      </c>
    </row>
    <row r="22" ht="45" customHeight="1" spans="1:6">
      <c r="A22" s="151" t="s">
        <v>449</v>
      </c>
      <c r="B22" s="152"/>
      <c r="C22" s="152"/>
      <c r="D22" s="152" t="s">
        <v>434</v>
      </c>
      <c r="E22" s="151" t="s">
        <v>4821</v>
      </c>
      <c r="F22" s="152" t="s">
        <v>436</v>
      </c>
    </row>
    <row r="23" ht="30" customHeight="1" spans="1:6">
      <c r="A23" s="151" t="s">
        <v>451</v>
      </c>
      <c r="B23" s="152"/>
      <c r="C23" s="152"/>
      <c r="D23" s="152" t="s">
        <v>434</v>
      </c>
      <c r="E23" s="151" t="s">
        <v>4246</v>
      </c>
      <c r="F23" s="152" t="s">
        <v>436</v>
      </c>
    </row>
    <row r="24" spans="1:6">
      <c r="A24" s="149" t="s">
        <v>547</v>
      </c>
      <c r="B24" s="149"/>
      <c r="C24" s="149"/>
      <c r="D24" s="149"/>
      <c r="E24" s="149"/>
      <c r="F24" s="149"/>
    </row>
    <row r="25" ht="45" customHeight="1" spans="1:6">
      <c r="A25" s="151" t="s">
        <v>548</v>
      </c>
      <c r="B25" s="152"/>
      <c r="C25" s="152" t="s">
        <v>434</v>
      </c>
      <c r="D25" s="152"/>
      <c r="E25" s="151" t="s">
        <v>4822</v>
      </c>
      <c r="F25" s="152" t="s">
        <v>436</v>
      </c>
    </row>
    <row r="26" ht="75" customHeight="1" spans="1:6">
      <c r="A26" s="151" t="s">
        <v>550</v>
      </c>
      <c r="B26" s="152" t="s">
        <v>434</v>
      </c>
      <c r="C26" s="152"/>
      <c r="D26" s="152"/>
      <c r="E26" s="151" t="s">
        <v>4823</v>
      </c>
      <c r="F26" s="152" t="s">
        <v>436</v>
      </c>
    </row>
    <row r="27" ht="75" customHeight="1" spans="1:6">
      <c r="A27" s="151" t="s">
        <v>552</v>
      </c>
      <c r="B27" s="152"/>
      <c r="C27" s="152" t="s">
        <v>434</v>
      </c>
      <c r="D27" s="152"/>
      <c r="E27" s="151" t="s">
        <v>4824</v>
      </c>
      <c r="F27" s="152" t="s">
        <v>436</v>
      </c>
    </row>
    <row r="28" ht="30" customHeight="1" spans="1:6">
      <c r="A28" s="151" t="s">
        <v>554</v>
      </c>
      <c r="B28" s="152"/>
      <c r="C28" s="152" t="s">
        <v>434</v>
      </c>
      <c r="D28" s="152"/>
      <c r="E28" s="151" t="s">
        <v>4825</v>
      </c>
      <c r="F28" s="152" t="s">
        <v>436</v>
      </c>
    </row>
    <row r="29" ht="30" customHeight="1" spans="1:6">
      <c r="A29" s="151" t="s">
        <v>556</v>
      </c>
      <c r="B29" s="152"/>
      <c r="C29" s="152"/>
      <c r="D29" s="152" t="s">
        <v>434</v>
      </c>
      <c r="E29" s="151" t="s">
        <v>4251</v>
      </c>
      <c r="F29" s="152" t="s">
        <v>7</v>
      </c>
    </row>
    <row r="30" ht="30" customHeight="1" spans="1:6">
      <c r="A30" s="151" t="s">
        <v>224</v>
      </c>
      <c r="B30" s="152"/>
      <c r="C30" s="152"/>
      <c r="D30" s="152" t="s">
        <v>434</v>
      </c>
      <c r="E30" s="151" t="s">
        <v>4251</v>
      </c>
      <c r="F30" s="152" t="s">
        <v>7</v>
      </c>
    </row>
    <row r="31" ht="30" customHeight="1" spans="1:6">
      <c r="A31" s="151" t="s">
        <v>558</v>
      </c>
      <c r="B31" s="152"/>
      <c r="C31" s="152"/>
      <c r="D31" s="152" t="s">
        <v>434</v>
      </c>
      <c r="E31" s="151" t="s">
        <v>4251</v>
      </c>
      <c r="F31" s="152" t="s">
        <v>7</v>
      </c>
    </row>
    <row r="32" ht="30" customHeight="1" spans="1:6">
      <c r="A32" s="151" t="s">
        <v>246</v>
      </c>
      <c r="B32" s="152"/>
      <c r="C32" s="152"/>
      <c r="D32" s="152" t="s">
        <v>434</v>
      </c>
      <c r="E32" s="151" t="s">
        <v>4251</v>
      </c>
      <c r="F32" s="152" t="s">
        <v>7</v>
      </c>
    </row>
    <row r="33" ht="45" customHeight="1" spans="1:6">
      <c r="A33" s="151" t="s">
        <v>559</v>
      </c>
      <c r="B33" s="152" t="s">
        <v>434</v>
      </c>
      <c r="C33" s="152"/>
      <c r="D33" s="152"/>
      <c r="E33" s="151" t="s">
        <v>4826</v>
      </c>
      <c r="F33" s="152" t="s">
        <v>436</v>
      </c>
    </row>
    <row r="34" ht="30" customHeight="1" spans="1:6">
      <c r="A34" s="151" t="s">
        <v>561</v>
      </c>
      <c r="B34" s="152"/>
      <c r="C34" s="152" t="s">
        <v>434</v>
      </c>
      <c r="D34" s="152"/>
      <c r="E34" s="151" t="s">
        <v>4827</v>
      </c>
      <c r="F34" s="152" t="s">
        <v>436</v>
      </c>
    </row>
    <row r="35" spans="1:6">
      <c r="A35" s="149" t="s">
        <v>563</v>
      </c>
      <c r="B35" s="149"/>
      <c r="C35" s="149"/>
      <c r="D35" s="149"/>
      <c r="E35" s="149"/>
      <c r="F35" s="149"/>
    </row>
    <row r="36" ht="60" customHeight="1" spans="1:6">
      <c r="A36" s="151" t="s">
        <v>564</v>
      </c>
      <c r="B36" s="152" t="s">
        <v>434</v>
      </c>
      <c r="C36" s="152"/>
      <c r="D36" s="152"/>
      <c r="E36" s="151" t="s">
        <v>4828</v>
      </c>
      <c r="F36" s="152" t="s">
        <v>436</v>
      </c>
    </row>
    <row r="37" ht="90" customHeight="1" spans="1:6">
      <c r="A37" s="151" t="s">
        <v>566</v>
      </c>
      <c r="B37" s="152" t="s">
        <v>434</v>
      </c>
      <c r="C37" s="152"/>
      <c r="D37" s="152"/>
      <c r="E37" s="151" t="s">
        <v>4829</v>
      </c>
      <c r="F37" s="152" t="s">
        <v>436</v>
      </c>
    </row>
    <row r="38" ht="45" customHeight="1" spans="1:6">
      <c r="A38" s="151" t="s">
        <v>568</v>
      </c>
      <c r="B38" s="152"/>
      <c r="C38" s="152" t="s">
        <v>434</v>
      </c>
      <c r="D38" s="152"/>
      <c r="E38" s="151" t="s">
        <v>4830</v>
      </c>
      <c r="F38" s="152" t="s">
        <v>436</v>
      </c>
    </row>
    <row r="39" ht="45" customHeight="1" spans="1:6">
      <c r="A39" s="151" t="s">
        <v>570</v>
      </c>
      <c r="B39" s="152" t="s">
        <v>434</v>
      </c>
      <c r="C39" s="152"/>
      <c r="D39" s="152"/>
      <c r="E39" s="151" t="s">
        <v>4831</v>
      </c>
      <c r="F39" s="152" t="s">
        <v>436</v>
      </c>
    </row>
    <row r="40" ht="180" customHeight="1" spans="1:6">
      <c r="A40" s="151" t="s">
        <v>572</v>
      </c>
      <c r="B40" s="152"/>
      <c r="C40" s="152" t="s">
        <v>434</v>
      </c>
      <c r="D40" s="152"/>
      <c r="E40" s="151" t="s">
        <v>4832</v>
      </c>
      <c r="F40" s="152" t="s">
        <v>436</v>
      </c>
    </row>
    <row r="41" ht="75" customHeight="1" spans="1:6">
      <c r="A41" s="151" t="s">
        <v>574</v>
      </c>
      <c r="B41" s="152" t="s">
        <v>434</v>
      </c>
      <c r="C41" s="152"/>
      <c r="D41" s="152"/>
      <c r="E41" s="151" t="s">
        <v>4833</v>
      </c>
      <c r="F41" s="152" t="s">
        <v>7</v>
      </c>
    </row>
    <row r="42" ht="45" customHeight="1" spans="1:6">
      <c r="A42" s="151" t="s">
        <v>576</v>
      </c>
      <c r="B42" s="152" t="s">
        <v>434</v>
      </c>
      <c r="C42" s="152"/>
      <c r="D42" s="152"/>
      <c r="E42" s="151" t="s">
        <v>4834</v>
      </c>
      <c r="F42" s="152" t="s">
        <v>7</v>
      </c>
    </row>
    <row r="43" ht="60" customHeight="1" spans="1:6">
      <c r="A43" s="151" t="s">
        <v>578</v>
      </c>
      <c r="B43" s="152" t="s">
        <v>434</v>
      </c>
      <c r="C43" s="152"/>
      <c r="D43" s="152"/>
      <c r="E43" s="151" t="s">
        <v>4835</v>
      </c>
      <c r="F43" s="152" t="s">
        <v>7</v>
      </c>
    </row>
    <row r="44" ht="45" customHeight="1" spans="1:6">
      <c r="A44" s="151" t="s">
        <v>580</v>
      </c>
      <c r="B44" s="152"/>
      <c r="C44" s="152" t="s">
        <v>434</v>
      </c>
      <c r="D44" s="152"/>
      <c r="E44" s="151" t="s">
        <v>4836</v>
      </c>
      <c r="F44" s="152" t="s">
        <v>436</v>
      </c>
    </row>
    <row r="45" ht="60" customHeight="1" spans="1:6">
      <c r="A45" s="151" t="s">
        <v>582</v>
      </c>
      <c r="B45" s="152" t="s">
        <v>434</v>
      </c>
      <c r="C45" s="152"/>
      <c r="D45" s="152"/>
      <c r="E45" s="151" t="s">
        <v>4837</v>
      </c>
      <c r="F45" s="152" t="s">
        <v>7</v>
      </c>
    </row>
    <row r="46" ht="60" customHeight="1" spans="1:6">
      <c r="A46" s="151" t="s">
        <v>584</v>
      </c>
      <c r="B46" s="152" t="s">
        <v>434</v>
      </c>
      <c r="C46" s="152"/>
      <c r="D46" s="152"/>
      <c r="E46" s="151" t="s">
        <v>4838</v>
      </c>
      <c r="F46" s="152" t="s">
        <v>7</v>
      </c>
    </row>
    <row r="47" spans="1:6">
      <c r="A47" s="153" t="s">
        <v>586</v>
      </c>
      <c r="B47" s="149"/>
      <c r="C47" s="149"/>
      <c r="D47" s="149"/>
      <c r="E47" s="149"/>
      <c r="F47" s="149"/>
    </row>
    <row r="48" ht="45" customHeight="1" spans="1:6">
      <c r="A48" s="151" t="s">
        <v>962</v>
      </c>
      <c r="B48" s="152"/>
      <c r="C48" s="152" t="s">
        <v>434</v>
      </c>
      <c r="D48" s="152"/>
      <c r="E48" s="151" t="s">
        <v>4839</v>
      </c>
      <c r="F48" s="152" t="s">
        <v>436</v>
      </c>
    </row>
    <row r="49" ht="120" customHeight="1" spans="1:6">
      <c r="A49" s="151" t="s">
        <v>589</v>
      </c>
      <c r="B49" s="152"/>
      <c r="C49" s="152" t="s">
        <v>434</v>
      </c>
      <c r="D49" s="152"/>
      <c r="E49" s="151" t="s">
        <v>4840</v>
      </c>
      <c r="F49" s="152" t="s">
        <v>436</v>
      </c>
    </row>
    <row r="50" ht="30" customHeight="1" spans="1:6">
      <c r="A50" s="151" t="s">
        <v>591</v>
      </c>
      <c r="B50" s="152"/>
      <c r="C50" s="152" t="s">
        <v>434</v>
      </c>
      <c r="D50" s="152"/>
      <c r="E50" s="151" t="s">
        <v>4841</v>
      </c>
      <c r="F50" s="152" t="s">
        <v>436</v>
      </c>
    </row>
    <row r="51" ht="30" customHeight="1" spans="1:6">
      <c r="A51" s="151" t="s">
        <v>593</v>
      </c>
      <c r="B51" s="152"/>
      <c r="C51" s="152" t="s">
        <v>434</v>
      </c>
      <c r="D51" s="152"/>
      <c r="E51" s="151" t="s">
        <v>4842</v>
      </c>
      <c r="F51" s="152" t="s">
        <v>436</v>
      </c>
    </row>
    <row r="52" ht="60" customHeight="1" spans="1:6">
      <c r="A52" s="151" t="s">
        <v>595</v>
      </c>
      <c r="B52" s="152"/>
      <c r="C52" s="152" t="s">
        <v>434</v>
      </c>
      <c r="D52" s="152"/>
      <c r="E52" s="151" t="s">
        <v>4843</v>
      </c>
      <c r="F52" s="152" t="s">
        <v>7</v>
      </c>
    </row>
    <row r="53" ht="45" customHeight="1" spans="1:6">
      <c r="A53" s="151" t="s">
        <v>597</v>
      </c>
      <c r="B53" s="152"/>
      <c r="C53" s="152" t="s">
        <v>434</v>
      </c>
      <c r="D53" s="152"/>
      <c r="E53" s="151" t="s">
        <v>4844</v>
      </c>
      <c r="F53" s="152" t="s">
        <v>436</v>
      </c>
    </row>
    <row r="54" ht="105" customHeight="1" spans="1:6">
      <c r="A54" s="151" t="s">
        <v>599</v>
      </c>
      <c r="B54" s="152"/>
      <c r="C54" s="152" t="s">
        <v>434</v>
      </c>
      <c r="D54" s="152"/>
      <c r="E54" s="151" t="s">
        <v>4845</v>
      </c>
      <c r="F54" s="152" t="s">
        <v>7</v>
      </c>
    </row>
    <row r="55" ht="45" customHeight="1" spans="1:6">
      <c r="A55" s="151" t="s">
        <v>601</v>
      </c>
      <c r="B55" s="152" t="s">
        <v>434</v>
      </c>
      <c r="C55" s="152"/>
      <c r="D55" s="152"/>
      <c r="E55" s="151" t="s">
        <v>4846</v>
      </c>
      <c r="F55" s="152" t="s">
        <v>7</v>
      </c>
    </row>
    <row r="56" ht="45" customHeight="1" spans="1:6">
      <c r="A56" s="151" t="s">
        <v>603</v>
      </c>
      <c r="B56" s="152"/>
      <c r="C56" s="152" t="s">
        <v>434</v>
      </c>
      <c r="D56" s="152"/>
      <c r="E56" s="151" t="s">
        <v>4847</v>
      </c>
      <c r="F56" s="152" t="s">
        <v>7</v>
      </c>
    </row>
    <row r="57" ht="75" customHeight="1" spans="1:6">
      <c r="A57" s="151" t="s">
        <v>605</v>
      </c>
      <c r="B57" s="152"/>
      <c r="C57" s="152" t="s">
        <v>434</v>
      </c>
      <c r="D57" s="152"/>
      <c r="E57" s="151" t="s">
        <v>4848</v>
      </c>
      <c r="F57" s="152" t="s">
        <v>7</v>
      </c>
    </row>
    <row r="58" ht="60" customHeight="1" spans="1:6">
      <c r="A58" s="151" t="s">
        <v>607</v>
      </c>
      <c r="B58" s="152"/>
      <c r="C58" s="152" t="s">
        <v>434</v>
      </c>
      <c r="D58" s="152"/>
      <c r="E58" s="151" t="s">
        <v>4849</v>
      </c>
      <c r="F58" s="152" t="s">
        <v>7</v>
      </c>
    </row>
    <row r="59" ht="60" customHeight="1" spans="1:6">
      <c r="A59" s="151" t="s">
        <v>609</v>
      </c>
      <c r="B59" s="152" t="s">
        <v>434</v>
      </c>
      <c r="C59" s="152"/>
      <c r="D59" s="152"/>
      <c r="E59" s="151" t="s">
        <v>4850</v>
      </c>
      <c r="F59" s="152" t="s">
        <v>7</v>
      </c>
    </row>
    <row r="60" spans="1:6">
      <c r="A60" s="153" t="s">
        <v>611</v>
      </c>
      <c r="B60" s="149"/>
      <c r="C60" s="149"/>
      <c r="D60" s="149"/>
      <c r="E60" s="149"/>
      <c r="F60" s="149"/>
    </row>
    <row r="61" ht="60" customHeight="1" spans="1:6">
      <c r="A61" s="151" t="s">
        <v>612</v>
      </c>
      <c r="B61" s="152" t="s">
        <v>434</v>
      </c>
      <c r="C61" s="152"/>
      <c r="D61" s="152"/>
      <c r="E61" s="151" t="s">
        <v>4851</v>
      </c>
      <c r="F61" s="152" t="s">
        <v>436</v>
      </c>
    </row>
    <row r="62" ht="60" customHeight="1" spans="1:6">
      <c r="A62" s="151" t="s">
        <v>614</v>
      </c>
      <c r="B62" s="152" t="s">
        <v>434</v>
      </c>
      <c r="C62" s="152"/>
      <c r="D62" s="152"/>
      <c r="E62" s="151" t="s">
        <v>4852</v>
      </c>
      <c r="F62" s="152" t="s">
        <v>436</v>
      </c>
    </row>
    <row r="63" ht="75" customHeight="1" spans="1:6">
      <c r="A63" s="151" t="s">
        <v>616</v>
      </c>
      <c r="B63" s="152" t="s">
        <v>434</v>
      </c>
      <c r="C63" s="152"/>
      <c r="D63" s="152"/>
      <c r="E63" s="151" t="s">
        <v>4853</v>
      </c>
      <c r="F63" s="152" t="s">
        <v>7</v>
      </c>
    </row>
    <row r="64" ht="75" customHeight="1" spans="1:6">
      <c r="A64" s="151" t="s">
        <v>978</v>
      </c>
      <c r="B64" s="152" t="s">
        <v>434</v>
      </c>
      <c r="C64" s="152"/>
      <c r="D64" s="152"/>
      <c r="E64" s="151" t="s">
        <v>4854</v>
      </c>
      <c r="F64" s="152" t="s">
        <v>436</v>
      </c>
    </row>
    <row r="65" ht="90" customHeight="1" spans="1:6">
      <c r="A65" s="151" t="s">
        <v>620</v>
      </c>
      <c r="B65" s="152" t="s">
        <v>434</v>
      </c>
      <c r="C65" s="152"/>
      <c r="D65" s="152"/>
      <c r="E65" s="151" t="s">
        <v>4855</v>
      </c>
      <c r="F65" s="152" t="s">
        <v>7</v>
      </c>
    </row>
    <row r="66" ht="45" customHeight="1" spans="1:6">
      <c r="A66" s="151" t="s">
        <v>622</v>
      </c>
      <c r="B66" s="152" t="s">
        <v>434</v>
      </c>
      <c r="C66" s="152"/>
      <c r="D66" s="152"/>
      <c r="E66" s="151" t="s">
        <v>4856</v>
      </c>
      <c r="F66" s="152" t="s">
        <v>7</v>
      </c>
    </row>
    <row r="67" ht="25.5" spans="1:6">
      <c r="A67" s="153" t="s">
        <v>624</v>
      </c>
      <c r="B67" s="149"/>
      <c r="C67" s="149"/>
      <c r="D67" s="149"/>
      <c r="E67" s="149"/>
      <c r="F67" s="149"/>
    </row>
    <row r="68" ht="60" customHeight="1" spans="1:6">
      <c r="A68" s="151" t="s">
        <v>625</v>
      </c>
      <c r="B68" s="152" t="s">
        <v>434</v>
      </c>
      <c r="C68" s="152"/>
      <c r="D68" s="152"/>
      <c r="E68" s="151" t="s">
        <v>4857</v>
      </c>
      <c r="F68" s="152" t="s">
        <v>436</v>
      </c>
    </row>
    <row r="69" ht="75" customHeight="1" spans="1:6">
      <c r="A69" s="151" t="s">
        <v>627</v>
      </c>
      <c r="B69" s="152" t="s">
        <v>434</v>
      </c>
      <c r="C69" s="152"/>
      <c r="D69" s="152"/>
      <c r="E69" s="151" t="s">
        <v>4858</v>
      </c>
      <c r="F69" s="152" t="s">
        <v>7</v>
      </c>
    </row>
    <row r="70" ht="30" customHeight="1" spans="1:6">
      <c r="A70" s="151" t="s">
        <v>629</v>
      </c>
      <c r="B70" s="152"/>
      <c r="C70" s="152" t="s">
        <v>434</v>
      </c>
      <c r="D70" s="152"/>
      <c r="E70" s="151" t="s">
        <v>4859</v>
      </c>
      <c r="F70" s="152" t="s">
        <v>7</v>
      </c>
    </row>
    <row r="71" ht="30" customHeight="1" spans="1:6">
      <c r="A71" s="151" t="s">
        <v>631</v>
      </c>
      <c r="B71" s="152"/>
      <c r="C71" s="152" t="s">
        <v>434</v>
      </c>
      <c r="D71" s="152"/>
      <c r="E71" s="151" t="s">
        <v>4860</v>
      </c>
      <c r="F71" s="152" t="s">
        <v>7</v>
      </c>
    </row>
    <row r="72" ht="45" customHeight="1" spans="1:6">
      <c r="A72" s="151" t="s">
        <v>633</v>
      </c>
      <c r="B72" s="152"/>
      <c r="C72" s="152" t="s">
        <v>434</v>
      </c>
      <c r="D72" s="152"/>
      <c r="E72" s="151" t="s">
        <v>4861</v>
      </c>
      <c r="F72" s="152" t="s">
        <v>7</v>
      </c>
    </row>
    <row r="73" ht="30" customHeight="1" spans="1:6">
      <c r="A73" s="151" t="s">
        <v>635</v>
      </c>
      <c r="B73" s="152"/>
      <c r="C73" s="152" t="s">
        <v>434</v>
      </c>
      <c r="D73" s="152"/>
      <c r="E73" s="151" t="s">
        <v>4862</v>
      </c>
      <c r="F73" s="152" t="s">
        <v>7</v>
      </c>
    </row>
    <row r="74" ht="45" customHeight="1" spans="1:6">
      <c r="A74" s="151" t="s">
        <v>637</v>
      </c>
      <c r="B74" s="152"/>
      <c r="C74" s="152" t="s">
        <v>434</v>
      </c>
      <c r="D74" s="152"/>
      <c r="E74" s="151" t="s">
        <v>4863</v>
      </c>
      <c r="F74" s="152" t="s">
        <v>436</v>
      </c>
    </row>
    <row r="75" ht="30" customHeight="1" spans="1:6">
      <c r="A75" s="151" t="s">
        <v>639</v>
      </c>
      <c r="B75" s="152"/>
      <c r="C75" s="152" t="s">
        <v>434</v>
      </c>
      <c r="D75" s="152"/>
      <c r="E75" s="151" t="s">
        <v>4864</v>
      </c>
      <c r="F75" s="152" t="s">
        <v>7</v>
      </c>
    </row>
    <row r="76" ht="45" customHeight="1" spans="1:6">
      <c r="A76" s="151" t="s">
        <v>641</v>
      </c>
      <c r="B76" s="152" t="s">
        <v>434</v>
      </c>
      <c r="C76" s="152"/>
      <c r="D76" s="152"/>
      <c r="E76" s="151" t="s">
        <v>4865</v>
      </c>
      <c r="F76" s="152" t="s">
        <v>436</v>
      </c>
    </row>
    <row r="77" ht="45" customHeight="1" spans="1:6">
      <c r="A77" s="151" t="s">
        <v>643</v>
      </c>
      <c r="B77" s="152" t="s">
        <v>434</v>
      </c>
      <c r="C77" s="152"/>
      <c r="D77" s="152"/>
      <c r="E77" s="151" t="s">
        <v>4866</v>
      </c>
      <c r="F77" s="152" t="s">
        <v>7</v>
      </c>
    </row>
    <row r="78" ht="60" customHeight="1" spans="1:6">
      <c r="A78" s="151" t="s">
        <v>645</v>
      </c>
      <c r="B78" s="152" t="s">
        <v>434</v>
      </c>
      <c r="C78" s="152"/>
      <c r="D78" s="152"/>
      <c r="E78" s="151" t="s">
        <v>4867</v>
      </c>
      <c r="F78" s="152" t="s">
        <v>436</v>
      </c>
    </row>
    <row r="79" customHeight="1" spans="1:6">
      <c r="A79" s="151" t="s">
        <v>647</v>
      </c>
      <c r="B79" s="152"/>
      <c r="C79" s="152"/>
      <c r="D79" s="152" t="s">
        <v>434</v>
      </c>
      <c r="E79" s="151" t="s">
        <v>4294</v>
      </c>
      <c r="F79" s="152" t="s">
        <v>7</v>
      </c>
    </row>
    <row r="80" ht="45" customHeight="1" spans="1:6">
      <c r="A80" s="151" t="s">
        <v>649</v>
      </c>
      <c r="B80" s="152" t="s">
        <v>434</v>
      </c>
      <c r="C80" s="152"/>
      <c r="D80" s="152"/>
      <c r="E80" s="151" t="s">
        <v>4868</v>
      </c>
      <c r="F80" s="152" t="s">
        <v>7</v>
      </c>
    </row>
    <row r="81" ht="60" customHeight="1" spans="1:6">
      <c r="A81" s="151" t="s">
        <v>650</v>
      </c>
      <c r="B81" s="152" t="s">
        <v>434</v>
      </c>
      <c r="C81" s="152"/>
      <c r="D81" s="152"/>
      <c r="E81" s="151" t="s">
        <v>4869</v>
      </c>
      <c r="F81" s="152" t="s">
        <v>436</v>
      </c>
    </row>
    <row r="82" ht="75" customHeight="1" spans="1:6">
      <c r="A82" s="151" t="s">
        <v>652</v>
      </c>
      <c r="B82" s="152" t="s">
        <v>434</v>
      </c>
      <c r="C82" s="152"/>
      <c r="D82" s="152"/>
      <c r="E82" s="151" t="s">
        <v>4870</v>
      </c>
      <c r="F82" s="152" t="s">
        <v>436</v>
      </c>
    </row>
    <row r="83" ht="45" customHeight="1" spans="1:6">
      <c r="A83" s="151" t="s">
        <v>654</v>
      </c>
      <c r="B83" s="152" t="s">
        <v>434</v>
      </c>
      <c r="C83" s="152"/>
      <c r="D83" s="152"/>
      <c r="E83" s="151" t="s">
        <v>4871</v>
      </c>
      <c r="F83" s="152" t="s">
        <v>7</v>
      </c>
    </row>
    <row r="84" ht="45" customHeight="1" spans="1:6">
      <c r="A84" s="151" t="s">
        <v>656</v>
      </c>
      <c r="B84" s="152"/>
      <c r="C84" s="152" t="s">
        <v>434</v>
      </c>
      <c r="D84" s="152"/>
      <c r="E84" s="151" t="s">
        <v>4872</v>
      </c>
      <c r="F84" s="152" t="s">
        <v>7</v>
      </c>
    </row>
    <row r="85" ht="30" customHeight="1" spans="1:6">
      <c r="A85" s="151" t="s">
        <v>658</v>
      </c>
      <c r="B85" s="152" t="s">
        <v>434</v>
      </c>
      <c r="C85" s="152"/>
      <c r="D85" s="152"/>
      <c r="E85" s="151" t="s">
        <v>4873</v>
      </c>
      <c r="F85" s="152" t="s">
        <v>7</v>
      </c>
    </row>
    <row r="86" ht="45" customHeight="1" spans="1:6">
      <c r="A86" s="151" t="s">
        <v>660</v>
      </c>
      <c r="B86" s="152"/>
      <c r="C86" s="152" t="s">
        <v>434</v>
      </c>
      <c r="D86" s="152"/>
      <c r="E86" s="151" t="s">
        <v>4874</v>
      </c>
      <c r="F86" s="152" t="s">
        <v>436</v>
      </c>
    </row>
    <row r="87" ht="45" customHeight="1" spans="1:6">
      <c r="A87" s="151" t="s">
        <v>662</v>
      </c>
      <c r="B87" s="152"/>
      <c r="C87" s="152" t="s">
        <v>434</v>
      </c>
      <c r="D87" s="152"/>
      <c r="E87" s="151" t="s">
        <v>4875</v>
      </c>
      <c r="F87" s="152" t="s">
        <v>7</v>
      </c>
    </row>
    <row r="88" customHeight="1" spans="1:6">
      <c r="A88" s="151" t="s">
        <v>660</v>
      </c>
      <c r="B88" s="152"/>
      <c r="C88" s="152"/>
      <c r="D88" s="152" t="s">
        <v>434</v>
      </c>
      <c r="E88" s="151" t="s">
        <v>4303</v>
      </c>
      <c r="F88" s="152" t="s">
        <v>436</v>
      </c>
    </row>
    <row r="89" ht="30" customHeight="1" spans="1:6">
      <c r="A89" s="151" t="s">
        <v>665</v>
      </c>
      <c r="B89" s="152" t="s">
        <v>434</v>
      </c>
      <c r="C89" s="152"/>
      <c r="D89" s="152"/>
      <c r="E89" s="151" t="s">
        <v>4876</v>
      </c>
      <c r="F89" s="152" t="s">
        <v>7</v>
      </c>
    </row>
    <row r="90" ht="45" customHeight="1" spans="1:6">
      <c r="A90" s="151" t="s">
        <v>660</v>
      </c>
      <c r="B90" s="152" t="s">
        <v>434</v>
      </c>
      <c r="C90" s="152"/>
      <c r="D90" s="152"/>
      <c r="E90" s="151" t="s">
        <v>4877</v>
      </c>
      <c r="F90" s="152" t="s">
        <v>436</v>
      </c>
    </row>
    <row r="91" spans="1:6">
      <c r="A91" s="149" t="s">
        <v>519</v>
      </c>
      <c r="B91" s="150">
        <f>COUNTIF(B14:B90,"x")</f>
        <v>30</v>
      </c>
      <c r="C91" s="150">
        <f>COUNTIF(C14:C90,"x")</f>
        <v>33</v>
      </c>
      <c r="D91" s="150">
        <f>COUNTIF(D14:D90,"x")</f>
        <v>8</v>
      </c>
    </row>
    <row r="93" spans="1:6">
      <c r="A93" s="149" t="s">
        <v>1004</v>
      </c>
      <c r="B93" s="154"/>
      <c r="C93" s="154"/>
      <c r="D93" s="154"/>
      <c r="E93" s="154"/>
      <c r="F93" s="155"/>
    </row>
    <row r="94" ht="60" customHeight="1" spans="1:6">
      <c r="A94" s="151" t="s">
        <v>4878</v>
      </c>
      <c r="B94" s="156"/>
      <c r="C94" s="156"/>
      <c r="D94" s="156"/>
      <c r="E94" s="156"/>
      <c r="F94" s="157"/>
    </row>
    <row r="95" spans="1:6">
      <c r="A95" s="149" t="s">
        <v>522</v>
      </c>
      <c r="B95" s="154"/>
      <c r="C95" s="154"/>
      <c r="D95" s="154"/>
      <c r="E95" s="154"/>
      <c r="F95" s="155"/>
    </row>
    <row r="96" ht="135" customHeight="1" spans="1:6">
      <c r="A96" s="151" t="s">
        <v>4879</v>
      </c>
      <c r="B96" s="156"/>
      <c r="C96" s="156"/>
      <c r="D96" s="156"/>
      <c r="E96" s="156"/>
      <c r="F96" s="157"/>
    </row>
    <row r="97" spans="1:6">
      <c r="A97" s="158" t="s">
        <v>524</v>
      </c>
      <c r="B97" s="156"/>
      <c r="C97" s="156"/>
      <c r="D97" s="156"/>
      <c r="E97" s="156"/>
      <c r="F97" s="157"/>
    </row>
    <row r="98" spans="1:6">
      <c r="A98" s="158" t="s">
        <v>525</v>
      </c>
      <c r="B98" s="156"/>
      <c r="C98" s="156"/>
      <c r="D98" s="156"/>
      <c r="E98" s="156"/>
      <c r="F98" s="157"/>
    </row>
    <row r="99" spans="1:6">
      <c r="A99" s="158" t="s">
        <v>526</v>
      </c>
      <c r="B99" s="156"/>
      <c r="C99" s="156"/>
      <c r="D99" s="156"/>
      <c r="E99" s="156"/>
      <c r="F99" s="157"/>
    </row>
  </sheetData>
  <mergeCells count="17">
    <mergeCell ref="A1:F1"/>
    <mergeCell ref="B3:F3"/>
    <mergeCell ref="B4:F4"/>
    <mergeCell ref="B5:F5"/>
    <mergeCell ref="B6:F6"/>
    <mergeCell ref="B7:F7"/>
    <mergeCell ref="B8:F8"/>
    <mergeCell ref="B9:F9"/>
    <mergeCell ref="B10:F10"/>
    <mergeCell ref="B11:F11"/>
    <mergeCell ref="A93:F93"/>
    <mergeCell ref="A94:F94"/>
    <mergeCell ref="A95:F95"/>
    <mergeCell ref="A96:F96"/>
    <mergeCell ref="A97:F97"/>
    <mergeCell ref="A98:F98"/>
    <mergeCell ref="A99:F99"/>
  </mergeCells>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9"/>
  <sheetViews>
    <sheetView workbookViewId="0">
      <pane xSplit="1" ySplit="12" topLeftCell="B13" activePane="bottomRight" state="frozen"/>
      <selection/>
      <selection pane="topRight"/>
      <selection pane="bottomLeft"/>
      <selection pane="bottomRight" activeCell="A1" sqref="A1:F1"/>
    </sheetView>
  </sheetViews>
  <sheetFormatPr defaultColWidth="9" defaultRowHeight="15" outlineLevelCol="5"/>
  <cols>
    <col min="1" max="1" width="64.2857142857143" customWidth="1"/>
    <col min="2" max="2" width="7.42857142857143" customWidth="1"/>
    <col min="3" max="3" width="6.71428571428571" customWidth="1"/>
    <col min="4" max="4" width="4" customWidth="1"/>
    <col min="5" max="5" width="53.8571428571429" customWidth="1"/>
    <col min="6" max="6" width="9.14285714285714" customWidth="1"/>
  </cols>
  <sheetData>
    <row r="1" ht="24" customHeight="1" spans="1:6">
      <c r="A1" s="128" t="s">
        <v>1007</v>
      </c>
      <c r="B1" s="129"/>
      <c r="C1" s="129"/>
      <c r="D1" s="129"/>
      <c r="E1" s="129"/>
      <c r="F1" s="130"/>
    </row>
    <row r="3" customHeight="1" spans="1:6">
      <c r="A3" s="131" t="s">
        <v>1008</v>
      </c>
      <c r="B3" s="132" t="s">
        <v>227</v>
      </c>
      <c r="C3" s="133"/>
      <c r="D3" s="133"/>
      <c r="E3" s="133"/>
      <c r="F3" s="134"/>
    </row>
    <row r="4" ht="45" customHeight="1" spans="1:6">
      <c r="A4" s="131" t="s">
        <v>1009</v>
      </c>
      <c r="B4" s="135" t="s">
        <v>4880</v>
      </c>
      <c r="C4" s="133"/>
      <c r="D4" s="133"/>
      <c r="E4" s="133"/>
      <c r="F4" s="134"/>
    </row>
    <row r="5" customHeight="1" spans="1:6">
      <c r="A5" s="131" t="s">
        <v>1011</v>
      </c>
      <c r="B5" s="132" t="s">
        <v>231</v>
      </c>
      <c r="C5" s="133"/>
      <c r="D5" s="133"/>
      <c r="E5" s="133"/>
      <c r="F5" s="134"/>
    </row>
    <row r="6" customHeight="1" spans="1:6">
      <c r="A6" s="131" t="s">
        <v>1012</v>
      </c>
      <c r="B6" s="132" t="s">
        <v>60</v>
      </c>
      <c r="C6" s="133"/>
      <c r="D6" s="133"/>
      <c r="E6" s="133"/>
      <c r="F6" s="134"/>
    </row>
    <row r="7" customHeight="1" spans="1:6">
      <c r="A7" s="131" t="s">
        <v>1013</v>
      </c>
      <c r="B7" s="132" t="s">
        <v>7</v>
      </c>
      <c r="C7" s="133"/>
      <c r="D7" s="133"/>
      <c r="E7" s="133"/>
      <c r="F7" s="134"/>
    </row>
    <row r="8" customHeight="1" spans="1:6">
      <c r="A8" s="131" t="s">
        <v>1014</v>
      </c>
      <c r="B8" s="132" t="s">
        <v>233</v>
      </c>
      <c r="C8" s="133"/>
      <c r="D8" s="133"/>
      <c r="E8" s="133"/>
      <c r="F8" s="134"/>
    </row>
    <row r="9" ht="135" customHeight="1" spans="1:6">
      <c r="A9" s="131" t="s">
        <v>1015</v>
      </c>
      <c r="B9" s="135" t="s">
        <v>4881</v>
      </c>
      <c r="C9" s="133"/>
      <c r="D9" s="133"/>
      <c r="E9" s="133"/>
      <c r="F9" s="134"/>
    </row>
    <row r="10" customHeight="1" spans="1:6">
      <c r="A10" s="131" t="s">
        <v>1017</v>
      </c>
      <c r="B10" s="132" t="s">
        <v>103</v>
      </c>
      <c r="C10" s="133"/>
      <c r="D10" s="133"/>
      <c r="E10" s="133"/>
      <c r="F10" s="134"/>
    </row>
    <row r="12" spans="1:6">
      <c r="A12" s="136" t="s">
        <v>426</v>
      </c>
      <c r="B12" s="137" t="s">
        <v>427</v>
      </c>
      <c r="C12" s="137" t="s">
        <v>428</v>
      </c>
      <c r="D12" s="137" t="s">
        <v>429</v>
      </c>
      <c r="E12" s="137" t="s">
        <v>430</v>
      </c>
    </row>
    <row r="13" spans="1:6">
      <c r="A13" s="136" t="s">
        <v>1018</v>
      </c>
      <c r="B13" s="136"/>
      <c r="C13" s="136"/>
      <c r="D13" s="136"/>
      <c r="E13" s="136"/>
    </row>
    <row r="14" ht="75" customHeight="1" spans="1:6">
      <c r="A14" s="138" t="s">
        <v>1019</v>
      </c>
      <c r="B14" s="139" t="s">
        <v>434</v>
      </c>
      <c r="C14" s="139"/>
      <c r="D14" s="139"/>
      <c r="E14" s="138" t="s">
        <v>4882</v>
      </c>
    </row>
    <row r="15" spans="1:6">
      <c r="A15" s="136" t="s">
        <v>1021</v>
      </c>
      <c r="B15" s="136"/>
      <c r="C15" s="136"/>
      <c r="D15" s="136"/>
      <c r="E15" s="136"/>
    </row>
    <row r="16" ht="105" customHeight="1" spans="1:6">
      <c r="A16" s="138" t="s">
        <v>1022</v>
      </c>
      <c r="B16" s="139"/>
      <c r="C16" s="139" t="s">
        <v>434</v>
      </c>
      <c r="D16" s="139"/>
      <c r="E16" s="138" t="s">
        <v>4883</v>
      </c>
    </row>
    <row r="17" ht="45" customHeight="1" spans="1:5">
      <c r="A17" s="138" t="s">
        <v>1024</v>
      </c>
      <c r="B17" s="139" t="s">
        <v>434</v>
      </c>
      <c r="C17" s="139"/>
      <c r="D17" s="139"/>
      <c r="E17" s="138" t="s">
        <v>4884</v>
      </c>
    </row>
    <row r="18" ht="45" customHeight="1" spans="1:5">
      <c r="A18" s="138" t="s">
        <v>1026</v>
      </c>
      <c r="B18" s="139" t="s">
        <v>434</v>
      </c>
      <c r="C18" s="139"/>
      <c r="D18" s="139"/>
      <c r="E18" s="138" t="s">
        <v>4885</v>
      </c>
    </row>
    <row r="19" ht="30" customHeight="1" spans="1:5">
      <c r="A19" s="138" t="s">
        <v>1028</v>
      </c>
      <c r="B19" s="139" t="s">
        <v>434</v>
      </c>
      <c r="C19" s="139"/>
      <c r="D19" s="139"/>
      <c r="E19" s="138" t="s">
        <v>4886</v>
      </c>
    </row>
    <row r="20" ht="45" customHeight="1" spans="1:5">
      <c r="A20" s="138" t="s">
        <v>1030</v>
      </c>
      <c r="B20" s="139"/>
      <c r="C20" s="139" t="s">
        <v>434</v>
      </c>
      <c r="D20" s="139"/>
      <c r="E20" s="138" t="s">
        <v>4887</v>
      </c>
    </row>
    <row r="21" ht="60" customHeight="1" spans="1:5">
      <c r="A21" s="138" t="s">
        <v>1032</v>
      </c>
      <c r="B21" s="139" t="s">
        <v>434</v>
      </c>
      <c r="C21" s="139"/>
      <c r="D21" s="139"/>
      <c r="E21" s="138" t="s">
        <v>4888</v>
      </c>
    </row>
    <row r="22" ht="75" customHeight="1" spans="1:5">
      <c r="A22" s="138" t="s">
        <v>1034</v>
      </c>
      <c r="B22" s="139"/>
      <c r="C22" s="139" t="s">
        <v>434</v>
      </c>
      <c r="D22" s="139"/>
      <c r="E22" s="138" t="s">
        <v>4889</v>
      </c>
    </row>
    <row r="23" ht="60" customHeight="1" spans="1:5">
      <c r="A23" s="138" t="s">
        <v>1036</v>
      </c>
      <c r="B23" s="139"/>
      <c r="C23" s="139" t="s">
        <v>434</v>
      </c>
      <c r="D23" s="139"/>
      <c r="E23" s="138" t="s">
        <v>4890</v>
      </c>
    </row>
    <row r="24" ht="60" customHeight="1" spans="1:5">
      <c r="A24" s="138" t="s">
        <v>1038</v>
      </c>
      <c r="B24" s="139" t="s">
        <v>434</v>
      </c>
      <c r="C24" s="139"/>
      <c r="D24" s="139"/>
      <c r="E24" s="138" t="s">
        <v>4891</v>
      </c>
    </row>
    <row r="25" ht="60" customHeight="1" spans="1:5">
      <c r="A25" s="138" t="s">
        <v>1040</v>
      </c>
      <c r="B25" s="139" t="s">
        <v>434</v>
      </c>
      <c r="C25" s="139"/>
      <c r="D25" s="139"/>
      <c r="E25" s="138" t="s">
        <v>4892</v>
      </c>
    </row>
    <row r="26" ht="45" customHeight="1" spans="1:5">
      <c r="A26" s="138" t="s">
        <v>1042</v>
      </c>
      <c r="B26" s="139"/>
      <c r="C26" s="139" t="s">
        <v>434</v>
      </c>
      <c r="D26" s="139"/>
      <c r="E26" s="138" t="s">
        <v>4893</v>
      </c>
    </row>
    <row r="27" ht="60" customHeight="1" spans="1:5">
      <c r="A27" s="138" t="s">
        <v>1044</v>
      </c>
      <c r="B27" s="139" t="s">
        <v>434</v>
      </c>
      <c r="C27" s="139"/>
      <c r="D27" s="139"/>
      <c r="E27" s="138" t="s">
        <v>4894</v>
      </c>
    </row>
    <row r="28" ht="60" customHeight="1" spans="1:5">
      <c r="A28" s="138" t="s">
        <v>1046</v>
      </c>
      <c r="B28" s="139" t="s">
        <v>434</v>
      </c>
      <c r="C28" s="139"/>
      <c r="D28" s="139"/>
      <c r="E28" s="138" t="s">
        <v>4895</v>
      </c>
    </row>
    <row r="29" ht="75" customHeight="1" spans="1:5">
      <c r="A29" s="138" t="s">
        <v>1048</v>
      </c>
      <c r="B29" s="139" t="s">
        <v>434</v>
      </c>
      <c r="C29" s="139"/>
      <c r="D29" s="139"/>
      <c r="E29" s="138" t="s">
        <v>4896</v>
      </c>
    </row>
    <row r="30" spans="1:5">
      <c r="A30" s="136" t="s">
        <v>1050</v>
      </c>
      <c r="B30" s="136"/>
      <c r="C30" s="136"/>
      <c r="D30" s="136"/>
      <c r="E30" s="136"/>
    </row>
    <row r="31" ht="105" customHeight="1" spans="1:5">
      <c r="A31" s="138" t="s">
        <v>1051</v>
      </c>
      <c r="B31" s="139" t="s">
        <v>434</v>
      </c>
      <c r="C31" s="139"/>
      <c r="D31" s="139"/>
      <c r="E31" s="138" t="s">
        <v>4897</v>
      </c>
    </row>
    <row r="32" ht="90" customHeight="1" spans="1:5">
      <c r="A32" s="138" t="s">
        <v>1053</v>
      </c>
      <c r="B32" s="139" t="s">
        <v>434</v>
      </c>
      <c r="C32" s="139"/>
      <c r="D32" s="139"/>
      <c r="E32" s="138" t="s">
        <v>4898</v>
      </c>
    </row>
    <row r="33" ht="75" customHeight="1" spans="1:5">
      <c r="A33" s="138" t="s">
        <v>1055</v>
      </c>
      <c r="B33" s="139"/>
      <c r="C33" s="139" t="s">
        <v>434</v>
      </c>
      <c r="D33" s="139"/>
      <c r="E33" s="138" t="s">
        <v>4899</v>
      </c>
    </row>
    <row r="34" spans="1:5">
      <c r="A34" s="136" t="s">
        <v>1057</v>
      </c>
      <c r="B34" s="136"/>
      <c r="C34" s="136"/>
      <c r="D34" s="136"/>
      <c r="E34" s="136"/>
    </row>
    <row r="35" ht="60" customHeight="1" spans="1:5">
      <c r="A35" s="138" t="s">
        <v>1058</v>
      </c>
      <c r="B35" s="139" t="s">
        <v>434</v>
      </c>
      <c r="C35" s="139"/>
      <c r="D35" s="139"/>
      <c r="E35" s="138" t="s">
        <v>4900</v>
      </c>
    </row>
    <row r="36" ht="60" customHeight="1" spans="1:5">
      <c r="A36" s="138" t="s">
        <v>1060</v>
      </c>
      <c r="B36" s="139" t="s">
        <v>434</v>
      </c>
      <c r="C36" s="139"/>
      <c r="D36" s="139"/>
      <c r="E36" s="138" t="s">
        <v>4901</v>
      </c>
    </row>
    <row r="37" ht="45" customHeight="1" spans="1:5">
      <c r="A37" s="138" t="s">
        <v>1062</v>
      </c>
      <c r="B37" s="139"/>
      <c r="C37" s="139" t="s">
        <v>434</v>
      </c>
      <c r="D37" s="139"/>
      <c r="E37" s="138" t="s">
        <v>4902</v>
      </c>
    </row>
    <row r="38" spans="1:5">
      <c r="A38" s="136" t="s">
        <v>1064</v>
      </c>
      <c r="B38" s="136"/>
      <c r="C38" s="136"/>
      <c r="D38" s="136"/>
      <c r="E38" s="136"/>
    </row>
    <row r="39" ht="75" customHeight="1" spans="1:5">
      <c r="A39" s="138" t="s">
        <v>1065</v>
      </c>
      <c r="B39" s="139" t="s">
        <v>434</v>
      </c>
      <c r="C39" s="139"/>
      <c r="D39" s="139"/>
      <c r="E39" s="138" t="s">
        <v>4903</v>
      </c>
    </row>
    <row r="40" ht="135" customHeight="1" spans="1:5">
      <c r="A40" s="138" t="s">
        <v>1067</v>
      </c>
      <c r="B40" s="139"/>
      <c r="C40" s="139" t="s">
        <v>434</v>
      </c>
      <c r="D40" s="139"/>
      <c r="E40" s="138" t="s">
        <v>4904</v>
      </c>
    </row>
    <row r="41" ht="90" customHeight="1" spans="1:5">
      <c r="A41" s="138" t="s">
        <v>1069</v>
      </c>
      <c r="B41" s="139"/>
      <c r="C41" s="139" t="s">
        <v>434</v>
      </c>
      <c r="D41" s="139"/>
      <c r="E41" s="138" t="s">
        <v>4905</v>
      </c>
    </row>
    <row r="42" ht="90" customHeight="1" spans="1:5">
      <c r="A42" s="138" t="s">
        <v>1071</v>
      </c>
      <c r="B42" s="139" t="s">
        <v>434</v>
      </c>
      <c r="C42" s="139"/>
      <c r="D42" s="139"/>
      <c r="E42" s="138" t="s">
        <v>4906</v>
      </c>
    </row>
    <row r="43" spans="1:5">
      <c r="A43" s="136" t="s">
        <v>1073</v>
      </c>
      <c r="B43" s="136"/>
      <c r="C43" s="136"/>
      <c r="D43" s="136"/>
      <c r="E43" s="136"/>
    </row>
    <row r="44" ht="45" customHeight="1" spans="1:5">
      <c r="A44" s="138" t="s">
        <v>1074</v>
      </c>
      <c r="B44" s="139" t="s">
        <v>434</v>
      </c>
      <c r="C44" s="139"/>
      <c r="D44" s="139"/>
      <c r="E44" s="138" t="s">
        <v>4907</v>
      </c>
    </row>
    <row r="45" ht="90" customHeight="1" spans="1:5">
      <c r="A45" s="138" t="s">
        <v>1076</v>
      </c>
      <c r="B45" s="139" t="s">
        <v>434</v>
      </c>
      <c r="C45" s="139"/>
      <c r="D45" s="139"/>
      <c r="E45" s="138" t="s">
        <v>4908</v>
      </c>
    </row>
    <row r="46" ht="60" customHeight="1" spans="1:5">
      <c r="A46" s="138" t="s">
        <v>1078</v>
      </c>
      <c r="B46" s="139"/>
      <c r="C46" s="139" t="s">
        <v>434</v>
      </c>
      <c r="D46" s="139"/>
      <c r="E46" s="138" t="s">
        <v>4909</v>
      </c>
    </row>
    <row r="47" spans="1:5">
      <c r="A47" s="136" t="s">
        <v>1080</v>
      </c>
      <c r="B47" s="136"/>
      <c r="C47" s="136"/>
      <c r="D47" s="136"/>
      <c r="E47" s="136"/>
    </row>
    <row r="48" ht="90" customHeight="1" spans="1:5">
      <c r="A48" s="138" t="s">
        <v>1081</v>
      </c>
      <c r="B48" s="139" t="s">
        <v>434</v>
      </c>
      <c r="C48" s="139"/>
      <c r="D48" s="139"/>
      <c r="E48" s="138" t="s">
        <v>4910</v>
      </c>
    </row>
    <row r="49" ht="90" customHeight="1" spans="1:6">
      <c r="A49" s="138" t="s">
        <v>1083</v>
      </c>
      <c r="B49" s="139" t="s">
        <v>434</v>
      </c>
      <c r="C49" s="139"/>
      <c r="D49" s="139"/>
      <c r="E49" s="138" t="s">
        <v>4911</v>
      </c>
    </row>
    <row r="50" ht="45" customHeight="1" spans="1:6">
      <c r="A50" s="138" t="s">
        <v>1085</v>
      </c>
      <c r="B50" s="139"/>
      <c r="C50" s="139" t="s">
        <v>434</v>
      </c>
      <c r="D50" s="139"/>
      <c r="E50" s="138" t="s">
        <v>4912</v>
      </c>
    </row>
    <row r="51" spans="1:6">
      <c r="A51" s="136" t="s">
        <v>1087</v>
      </c>
      <c r="B51" s="136"/>
      <c r="C51" s="136"/>
      <c r="D51" s="136"/>
      <c r="E51" s="136"/>
    </row>
    <row r="52" ht="105" customHeight="1" spans="1:6">
      <c r="A52" s="138" t="s">
        <v>1088</v>
      </c>
      <c r="B52" s="139" t="s">
        <v>434</v>
      </c>
      <c r="C52" s="139"/>
      <c r="D52" s="139"/>
      <c r="E52" s="138" t="s">
        <v>4913</v>
      </c>
    </row>
    <row r="53" ht="45" customHeight="1" spans="1:6">
      <c r="A53" s="138" t="s">
        <v>1090</v>
      </c>
      <c r="B53" s="139" t="s">
        <v>434</v>
      </c>
      <c r="C53" s="139"/>
      <c r="D53" s="139"/>
      <c r="E53" s="138" t="s">
        <v>4914</v>
      </c>
    </row>
    <row r="54" ht="30" customHeight="1" spans="1:6">
      <c r="A54" s="138" t="s">
        <v>1092</v>
      </c>
      <c r="B54" s="139" t="s">
        <v>434</v>
      </c>
      <c r="C54" s="139"/>
      <c r="D54" s="139"/>
      <c r="E54" s="138" t="s">
        <v>4915</v>
      </c>
    </row>
    <row r="55" ht="75" customHeight="1" spans="1:6">
      <c r="A55" s="138" t="s">
        <v>1094</v>
      </c>
      <c r="B55" s="139" t="s">
        <v>434</v>
      </c>
      <c r="C55" s="139"/>
      <c r="D55" s="139"/>
      <c r="E55" s="138" t="s">
        <v>4916</v>
      </c>
    </row>
    <row r="56" ht="60" customHeight="1" spans="1:6">
      <c r="A56" s="138" t="s">
        <v>4917</v>
      </c>
      <c r="B56" s="139"/>
      <c r="C56" s="139" t="s">
        <v>434</v>
      </c>
      <c r="D56" s="139"/>
      <c r="E56" s="138" t="s">
        <v>4918</v>
      </c>
    </row>
    <row r="57" ht="75" customHeight="1" spans="1:6">
      <c r="A57" s="138" t="s">
        <v>4919</v>
      </c>
      <c r="B57" s="139"/>
      <c r="C57" s="139" t="s">
        <v>434</v>
      </c>
      <c r="D57" s="139"/>
      <c r="E57" s="138" t="s">
        <v>4920</v>
      </c>
    </row>
    <row r="58" ht="45" customHeight="1" spans="1:6">
      <c r="A58" s="138" t="s">
        <v>4921</v>
      </c>
      <c r="B58" s="139"/>
      <c r="C58" s="139" t="s">
        <v>434</v>
      </c>
      <c r="D58" s="139"/>
      <c r="E58" s="138" t="s">
        <v>4922</v>
      </c>
    </row>
    <row r="59" ht="60" customHeight="1" spans="1:6">
      <c r="A59" s="138" t="s">
        <v>4923</v>
      </c>
      <c r="B59" s="139"/>
      <c r="C59" s="139" t="s">
        <v>434</v>
      </c>
      <c r="D59" s="139"/>
      <c r="E59" s="138" t="s">
        <v>4924</v>
      </c>
    </row>
    <row r="60" ht="30" customHeight="1" spans="1:6">
      <c r="A60" s="138" t="s">
        <v>4925</v>
      </c>
      <c r="B60" s="139"/>
      <c r="C60" s="139" t="s">
        <v>434</v>
      </c>
      <c r="D60" s="139"/>
      <c r="E60" s="138" t="s">
        <v>4926</v>
      </c>
    </row>
    <row r="61" spans="1:6">
      <c r="A61" s="136" t="s">
        <v>519</v>
      </c>
      <c r="B61" s="137">
        <f>COUNTIF(B13:B60,"x")</f>
        <v>24</v>
      </c>
      <c r="C61" s="137">
        <f>COUNTIF(C13:C60,"x")</f>
        <v>16</v>
      </c>
      <c r="D61" s="137">
        <f>COUNTIF(D13:D60,"x")</f>
        <v>0</v>
      </c>
    </row>
    <row r="63" spans="1:6">
      <c r="A63" s="136" t="s">
        <v>1004</v>
      </c>
      <c r="B63" s="140"/>
      <c r="C63" s="140"/>
      <c r="D63" s="140"/>
      <c r="E63" s="140"/>
      <c r="F63" s="141"/>
    </row>
    <row r="64" ht="120" customHeight="1" spans="1:6">
      <c r="A64" s="138" t="s">
        <v>4927</v>
      </c>
      <c r="B64" s="140"/>
      <c r="C64" s="140"/>
      <c r="D64" s="140"/>
      <c r="E64" s="140"/>
      <c r="F64" s="142"/>
    </row>
    <row r="65" spans="1:6">
      <c r="A65" s="136" t="s">
        <v>522</v>
      </c>
      <c r="B65" s="140"/>
      <c r="C65" s="140"/>
      <c r="D65" s="140"/>
      <c r="E65" s="140"/>
      <c r="F65" s="141"/>
    </row>
    <row r="66" ht="120" customHeight="1" spans="1:6">
      <c r="A66" s="138" t="s">
        <v>4928</v>
      </c>
      <c r="B66" s="140"/>
      <c r="C66" s="140"/>
      <c r="D66" s="140"/>
      <c r="E66" s="140"/>
      <c r="F66" s="142"/>
    </row>
    <row r="67" spans="1:6">
      <c r="A67" s="143" t="s">
        <v>524</v>
      </c>
      <c r="B67" s="140"/>
      <c r="C67" s="140"/>
      <c r="D67" s="140"/>
      <c r="E67" s="140"/>
      <c r="F67" s="142"/>
    </row>
    <row r="68" spans="1:6">
      <c r="A68" s="143" t="s">
        <v>525</v>
      </c>
      <c r="B68" s="140"/>
      <c r="C68" s="140"/>
      <c r="D68" s="140"/>
      <c r="E68" s="140"/>
      <c r="F68" s="142"/>
    </row>
    <row r="69" spans="1:6">
      <c r="A69" s="143" t="s">
        <v>526</v>
      </c>
      <c r="B69" s="140"/>
      <c r="C69" s="140"/>
      <c r="D69" s="140"/>
      <c r="E69" s="140"/>
      <c r="F69" s="142"/>
    </row>
  </sheetData>
  <mergeCells count="16">
    <mergeCell ref="A1:F1"/>
    <mergeCell ref="B3:F3"/>
    <mergeCell ref="B4:F4"/>
    <mergeCell ref="B5:F5"/>
    <mergeCell ref="B6:F6"/>
    <mergeCell ref="B7:F7"/>
    <mergeCell ref="B8:F8"/>
    <mergeCell ref="B9:F9"/>
    <mergeCell ref="B10:F10"/>
    <mergeCell ref="A63:F63"/>
    <mergeCell ref="A64:F64"/>
    <mergeCell ref="A65:F65"/>
    <mergeCell ref="A66:F66"/>
    <mergeCell ref="A67:F67"/>
    <mergeCell ref="A68:F68"/>
    <mergeCell ref="A69:F69"/>
  </mergeCells>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8"/>
  <sheetViews>
    <sheetView workbookViewId="0">
      <selection activeCell="A1" sqref="A1:C1"/>
    </sheetView>
  </sheetViews>
  <sheetFormatPr defaultColWidth="9" defaultRowHeight="15"/>
  <cols>
    <col min="1" max="1" width="18" customWidth="1"/>
    <col min="2" max="2" width="34" customWidth="1"/>
    <col min="3" max="3" width="13" customWidth="1"/>
    <col min="4" max="4" width="26" customWidth="1"/>
    <col min="5" max="6" width="40" customWidth="1"/>
    <col min="7" max="7" width="10" customWidth="1"/>
    <col min="8" max="8" width="9" customWidth="1"/>
    <col min="9" max="9" width="36" customWidth="1"/>
  </cols>
  <sheetData>
    <row r="1" spans="1:14">
      <c r="A1" s="107" t="s">
        <v>1108</v>
      </c>
      <c r="B1" s="16"/>
      <c r="C1" s="17"/>
    </row>
    <row r="2" ht="15.75" spans="1:14">
      <c r="A2" s="108" t="s">
        <v>1109</v>
      </c>
      <c r="B2" s="108" t="s">
        <v>13</v>
      </c>
      <c r="C2" s="108" t="s">
        <v>1110</v>
      </c>
    </row>
    <row r="3" ht="15.75" spans="1:14">
      <c r="A3" s="109" t="s">
        <v>4929</v>
      </c>
      <c r="B3" s="16"/>
      <c r="C3" s="17"/>
    </row>
    <row r="4" ht="150" customHeight="1" spans="1:14">
      <c r="A4" s="110" t="s">
        <v>1112</v>
      </c>
      <c r="B4" s="111" t="s">
        <v>4930</v>
      </c>
      <c r="C4" s="111" t="s">
        <v>4931</v>
      </c>
    </row>
    <row r="5" ht="90" customHeight="1" spans="1:14">
      <c r="A5" s="110" t="s">
        <v>1115</v>
      </c>
      <c r="B5" s="110" t="s">
        <v>4932</v>
      </c>
      <c r="C5" s="111" t="s">
        <v>4933</v>
      </c>
    </row>
    <row r="6" ht="105" customHeight="1" spans="1:14">
      <c r="A6" s="110" t="s">
        <v>1118</v>
      </c>
      <c r="B6" s="110" t="s">
        <v>4934</v>
      </c>
      <c r="C6" s="111" t="s">
        <v>4935</v>
      </c>
    </row>
    <row r="9" ht="15.75" spans="1:14">
      <c r="A9" s="112" t="s">
        <v>1124</v>
      </c>
      <c r="B9" s="16"/>
      <c r="C9" s="16"/>
      <c r="D9" s="16"/>
      <c r="E9" s="16"/>
      <c r="F9" s="16"/>
      <c r="G9" s="16"/>
      <c r="H9" s="16"/>
      <c r="I9" s="16"/>
      <c r="J9" s="16"/>
      <c r="K9" s="16"/>
      <c r="L9" s="16"/>
      <c r="M9" s="16"/>
      <c r="N9" s="17"/>
    </row>
    <row r="10" ht="45" customHeight="1" spans="1:14">
      <c r="A10" s="113" t="s">
        <v>1125</v>
      </c>
      <c r="B10" s="113" t="s">
        <v>1126</v>
      </c>
      <c r="C10" s="113" t="s">
        <v>1127</v>
      </c>
      <c r="D10" s="113" t="s">
        <v>1128</v>
      </c>
      <c r="E10" s="113" t="s">
        <v>1129</v>
      </c>
      <c r="F10" s="113" t="s">
        <v>1130</v>
      </c>
      <c r="G10" s="113" t="s">
        <v>1131</v>
      </c>
      <c r="H10" s="113" t="s">
        <v>1132</v>
      </c>
      <c r="I10" s="113" t="s">
        <v>1133</v>
      </c>
      <c r="J10" s="113" t="s">
        <v>1134</v>
      </c>
      <c r="K10" s="113" t="s">
        <v>1135</v>
      </c>
      <c r="L10" s="113" t="s">
        <v>1136</v>
      </c>
      <c r="M10" s="113" t="s">
        <v>1137</v>
      </c>
      <c r="N10" s="113" t="s">
        <v>1138</v>
      </c>
    </row>
    <row r="11" ht="30" customHeight="1" spans="1:14">
      <c r="A11" s="114" t="s">
        <v>1112</v>
      </c>
      <c r="B11" s="161" t="s">
        <v>4930</v>
      </c>
      <c r="C11" s="115">
        <f>COUNTIF($A$51:$A$78,"UI_PH6_FR01_*")</f>
        <v>13</v>
      </c>
      <c r="D11" s="115">
        <f>COUNTIFS($A$51:$A$78,"UI_PH6_FR01_*",$G$51:$G$78,"Pending")</f>
        <v>0</v>
      </c>
      <c r="E11" s="115">
        <f>COUNTIFS($A$51:$A$78,"UI_PH6_FR01_*",$G$51:$G$78,"Pass")</f>
        <v>12</v>
      </c>
      <c r="F11" s="115">
        <f>COUNTIFS($A$51:$A$78,"UI_PH6_FR01_*",$G$51:$G$78,"Fail")</f>
        <v>1</v>
      </c>
      <c r="G11" s="115">
        <f>SUMIFS($H$51:$H$78,$A$51:$A$78,"UI_PH6_FR01_*")</f>
        <v>1</v>
      </c>
      <c r="H11" s="116">
        <f>IFERROR(E11/C11,0)</f>
        <v>0.923076923076923</v>
      </c>
      <c r="I11" s="115">
        <f>COUNTIFS($A$51:$A$78,"UI_PH6_FR01_*",$C$51:$C$78,"UI/UX")</f>
        <v>2</v>
      </c>
      <c r="J11" s="115">
        <f>COUNTIFS($A$51:$A$78,"UI_PH6_FR01_*",$C$51:$C$78,"Function")</f>
        <v>5</v>
      </c>
      <c r="K11" s="115">
        <f>COUNTIFS($A$51:$A$78,"UI_PH6_FR01_*",$C$51:$C$78,"Negative")</f>
        <v>6</v>
      </c>
      <c r="L11" s="115">
        <f>SUMIFS($H$51:$H$78,$A$51:$A$78,"UI_PH6_FR01_*",$C$51:$C$78,"UI/UX")</f>
        <v>0</v>
      </c>
      <c r="M11" s="115">
        <f>SUMIFS($H$51:$H$78,$A$51:$A$78,"UI_PH6_FR01_*",$C$51:$C$78,"Function")</f>
        <v>0</v>
      </c>
      <c r="N11" s="115">
        <f>SUMIFS($H$51:$H$78,$A$51:$A$78,"UI_PH6_FR01_*",$C$51:$C$78,"Negative")</f>
        <v>1</v>
      </c>
    </row>
    <row r="12" customHeight="1" spans="1:14">
      <c r="A12" s="114" t="s">
        <v>1115</v>
      </c>
      <c r="B12" s="114" t="s">
        <v>4932</v>
      </c>
      <c r="C12" s="115">
        <f>COUNTIF($A$51:$A$78,"UI_PH6_FR02_*")</f>
        <v>3</v>
      </c>
      <c r="D12" s="115">
        <f>COUNTIFS($A$51:$A$78,"UI_PH6_FR02_*",$G$51:$G$78,"Pending")</f>
        <v>0</v>
      </c>
      <c r="E12" s="115">
        <f>COUNTIFS($A$51:$A$78,"UI_PH6_FR02_*",$G$51:$G$78,"Pass")</f>
        <v>3</v>
      </c>
      <c r="F12" s="115">
        <f>COUNTIFS($A$51:$A$78,"UI_PH6_FR02_*",$G$51:$G$78,"Fail")</f>
        <v>0</v>
      </c>
      <c r="G12" s="115">
        <f>SUMIFS($H$51:$H$78,$A$51:$A$78,"UI_PH6_FR02_*")</f>
        <v>0</v>
      </c>
      <c r="H12" s="116">
        <f>IFERROR(E12/C12,0)</f>
        <v>1</v>
      </c>
      <c r="I12" s="115">
        <f>COUNTIFS($A$51:$A$78,"UI_PH6_FR02_*",$C$51:$C$78,"UI/UX")</f>
        <v>1</v>
      </c>
      <c r="J12" s="115">
        <f>COUNTIFS($A$51:$A$78,"UI_PH6_FR02_*",$C$51:$C$78,"Function")</f>
        <v>2</v>
      </c>
      <c r="K12" s="115">
        <f>COUNTIFS($A$51:$A$78,"UI_PH6_FR02_*",$C$51:$C$78,"Negative")</f>
        <v>0</v>
      </c>
      <c r="L12" s="115">
        <f>SUMIFS($H$51:$H$78,$A$51:$A$78,"UI_PH6_FR02_*",$C$51:$C$78,"UI/UX")</f>
        <v>0</v>
      </c>
      <c r="M12" s="115">
        <f>SUMIFS($H$51:$H$78,$A$51:$A$78,"UI_PH6_FR02_*",$C$51:$C$78,"Function")</f>
        <v>0</v>
      </c>
      <c r="N12" s="115">
        <f>SUMIFS($H$51:$H$78,$A$51:$A$78,"UI_PH6_FR02_*",$C$51:$C$78,"Negative")</f>
        <v>0</v>
      </c>
    </row>
    <row r="13" ht="30" customHeight="1" spans="1:14">
      <c r="A13" s="114" t="s">
        <v>1118</v>
      </c>
      <c r="B13" s="114" t="s">
        <v>4934</v>
      </c>
      <c r="C13" s="115">
        <f>COUNTIF($A$51:$A$78,"UI_PH6_FR03_*")</f>
        <v>9</v>
      </c>
      <c r="D13" s="115">
        <f>COUNTIFS($A$51:$A$78,"UI_PH6_FR03_*",$G$51:$G$78,"Pending")</f>
        <v>0</v>
      </c>
      <c r="E13" s="115">
        <f>COUNTIFS($A$51:$A$78,"UI_PH6_FR03_*",$G$51:$G$78,"Pass")</f>
        <v>7</v>
      </c>
      <c r="F13" s="115">
        <f>COUNTIFS($A$51:$A$78,"UI_PH6_FR03_*",$G$51:$G$78,"Fail")</f>
        <v>2</v>
      </c>
      <c r="G13" s="115">
        <f>SUMIFS($H$51:$H$78,$A$51:$A$78,"UI_PH6_FR03_*")</f>
        <v>2</v>
      </c>
      <c r="H13" s="116">
        <f>IFERROR(E13/C13,0)</f>
        <v>0.777777777777778</v>
      </c>
      <c r="I13" s="115">
        <f>COUNTIFS($A$51:$A$78,"UI_PH6_FR03_*",$C$51:$C$78,"UI/UX")</f>
        <v>3</v>
      </c>
      <c r="J13" s="115">
        <f>COUNTIFS($A$51:$A$78,"UI_PH6_FR03_*",$C$51:$C$78,"Function")</f>
        <v>4</v>
      </c>
      <c r="K13" s="115">
        <f>COUNTIFS($A$51:$A$78,"UI_PH6_FR03_*",$C$51:$C$78,"Negative")</f>
        <v>2</v>
      </c>
      <c r="L13" s="115">
        <f>SUMIFS($H$51:$H$78,$A$51:$A$78,"UI_PH6_FR03_*",$C$51:$C$78,"UI/UX")</f>
        <v>1</v>
      </c>
      <c r="M13" s="115">
        <f>SUMIFS($H$51:$H$78,$A$51:$A$78,"UI_PH6_FR03_*",$C$51:$C$78,"Function")</f>
        <v>1</v>
      </c>
      <c r="N13" s="115">
        <f>SUMIFS($H$51:$H$78,$A$51:$A$78,"UI_PH6_FR03_*",$C$51:$C$78,"Negative")</f>
        <v>0</v>
      </c>
    </row>
    <row r="14" ht="15.75" spans="1:14">
      <c r="A14" s="117" t="s">
        <v>1127</v>
      </c>
      <c r="B14" s="117" t="s">
        <v>7</v>
      </c>
      <c r="C14" s="118">
        <f>SUM(C11:C13)</f>
        <v>25</v>
      </c>
      <c r="D14" s="118">
        <f>SUM(D11:D13)</f>
        <v>0</v>
      </c>
      <c r="E14" s="118">
        <f>SUM(E11:E13)</f>
        <v>22</v>
      </c>
      <c r="F14" s="118">
        <f>SUM(F11:F13)</f>
        <v>3</v>
      </c>
      <c r="G14" s="118">
        <f>SUM(G11:G13)</f>
        <v>3</v>
      </c>
      <c r="H14" s="119">
        <f>IFERROR(E14/C14,0)</f>
        <v>0.88</v>
      </c>
      <c r="I14" s="118">
        <f t="shared" ref="I14:N14" si="0">SUM(I11:I13)</f>
        <v>6</v>
      </c>
      <c r="J14" s="118">
        <f t="shared" si="0"/>
        <v>11</v>
      </c>
      <c r="K14" s="118">
        <f t="shared" si="0"/>
        <v>8</v>
      </c>
      <c r="L14" s="118">
        <f t="shared" si="0"/>
        <v>1</v>
      </c>
      <c r="M14" s="118">
        <f t="shared" si="0"/>
        <v>1</v>
      </c>
      <c r="N14" s="118">
        <f t="shared" si="0"/>
        <v>1</v>
      </c>
    </row>
    <row r="17" ht="15.75" spans="1:5">
      <c r="A17" s="120" t="s">
        <v>1139</v>
      </c>
      <c r="B17" s="110" t="s">
        <v>1112</v>
      </c>
    </row>
    <row r="18" ht="31.5" spans="1:5">
      <c r="A18" s="120" t="s">
        <v>1140</v>
      </c>
      <c r="B18" s="111" t="s">
        <v>4930</v>
      </c>
    </row>
    <row r="19" ht="15.75" spans="1:5">
      <c r="A19" s="120" t="s">
        <v>1141</v>
      </c>
      <c r="B19" s="110" t="s">
        <v>7</v>
      </c>
    </row>
    <row r="20" ht="15.75" spans="1:5">
      <c r="A20" s="121" t="s">
        <v>1129</v>
      </c>
      <c r="B20" s="122">
        <f>E11</f>
        <v>12</v>
      </c>
      <c r="D20" s="121" t="s">
        <v>1133</v>
      </c>
      <c r="E20" s="122">
        <f>I11</f>
        <v>2</v>
      </c>
    </row>
    <row r="21" ht="15.75" spans="1:5">
      <c r="A21" s="121" t="s">
        <v>1130</v>
      </c>
      <c r="B21" s="122">
        <f>F11</f>
        <v>1</v>
      </c>
      <c r="D21" s="121" t="s">
        <v>1134</v>
      </c>
      <c r="E21" s="122">
        <f>J11</f>
        <v>5</v>
      </c>
    </row>
    <row r="22" ht="15.75" spans="1:5">
      <c r="A22" s="121" t="s">
        <v>1128</v>
      </c>
      <c r="B22" s="122">
        <f>D11</f>
        <v>0</v>
      </c>
      <c r="D22" s="121" t="s">
        <v>1135</v>
      </c>
      <c r="E22" s="122">
        <f>K11</f>
        <v>6</v>
      </c>
    </row>
    <row r="23" ht="15.75" spans="1:5">
      <c r="A23" s="121" t="s">
        <v>1131</v>
      </c>
      <c r="B23" s="122">
        <f>G11</f>
        <v>1</v>
      </c>
      <c r="D23" s="121" t="s">
        <v>1127</v>
      </c>
      <c r="E23" s="122">
        <f>C11</f>
        <v>13</v>
      </c>
    </row>
    <row r="24" ht="15.75" spans="1:5">
      <c r="A24" s="120" t="s">
        <v>1139</v>
      </c>
      <c r="B24" s="110" t="s">
        <v>1115</v>
      </c>
    </row>
    <row r="25" ht="15.75" spans="1:5">
      <c r="A25" s="120" t="s">
        <v>1140</v>
      </c>
      <c r="B25" s="110" t="s">
        <v>4932</v>
      </c>
    </row>
    <row r="26" ht="15.75" spans="1:5">
      <c r="A26" s="120" t="s">
        <v>1141</v>
      </c>
      <c r="B26" s="110" t="s">
        <v>7</v>
      </c>
    </row>
    <row r="27" ht="15.75" spans="1:5">
      <c r="A27" s="121" t="s">
        <v>1129</v>
      </c>
      <c r="B27" s="122">
        <f>E12</f>
        <v>3</v>
      </c>
      <c r="D27" s="121" t="s">
        <v>1133</v>
      </c>
      <c r="E27" s="122">
        <f>I12</f>
        <v>1</v>
      </c>
    </row>
    <row r="28" ht="15.75" spans="1:5">
      <c r="A28" s="121" t="s">
        <v>1130</v>
      </c>
      <c r="B28" s="122">
        <f>F12</f>
        <v>0</v>
      </c>
      <c r="D28" s="121" t="s">
        <v>1134</v>
      </c>
      <c r="E28" s="122">
        <f>J12</f>
        <v>2</v>
      </c>
    </row>
    <row r="29" ht="15.75" spans="1:5">
      <c r="A29" s="121" t="s">
        <v>1128</v>
      </c>
      <c r="B29" s="122">
        <f>D12</f>
        <v>0</v>
      </c>
      <c r="D29" s="121" t="s">
        <v>1135</v>
      </c>
      <c r="E29" s="122">
        <f>K12</f>
        <v>0</v>
      </c>
    </row>
    <row r="30" ht="15.75" spans="1:5">
      <c r="A30" s="121" t="s">
        <v>1131</v>
      </c>
      <c r="B30" s="122">
        <f>G12</f>
        <v>0</v>
      </c>
      <c r="D30" s="121" t="s">
        <v>1127</v>
      </c>
      <c r="E30" s="122">
        <f>C12</f>
        <v>3</v>
      </c>
    </row>
    <row r="31" ht="15.75" spans="1:5">
      <c r="A31" s="120" t="s">
        <v>1139</v>
      </c>
      <c r="B31" s="110" t="s">
        <v>1118</v>
      </c>
    </row>
    <row r="32" ht="31.5" spans="1:5">
      <c r="A32" s="120" t="s">
        <v>1140</v>
      </c>
      <c r="B32" s="110" t="s">
        <v>4934</v>
      </c>
    </row>
    <row r="33" ht="15.75" spans="1:9">
      <c r="A33" s="120" t="s">
        <v>1141</v>
      </c>
      <c r="B33" s="110" t="s">
        <v>7</v>
      </c>
    </row>
    <row r="34" ht="15.75" spans="1:9">
      <c r="A34" s="121" t="s">
        <v>1129</v>
      </c>
      <c r="B34" s="122">
        <f>E13</f>
        <v>7</v>
      </c>
      <c r="D34" s="121" t="s">
        <v>1133</v>
      </c>
      <c r="E34" s="122">
        <f>I13</f>
        <v>3</v>
      </c>
    </row>
    <row r="35" ht="15.75" spans="1:9">
      <c r="A35" s="121" t="s">
        <v>1130</v>
      </c>
      <c r="B35" s="122">
        <f>F13</f>
        <v>2</v>
      </c>
      <c r="D35" s="121" t="s">
        <v>1134</v>
      </c>
      <c r="E35" s="122">
        <f>J13</f>
        <v>4</v>
      </c>
    </row>
    <row r="36" ht="15.75" spans="1:9">
      <c r="A36" s="121" t="s">
        <v>1128</v>
      </c>
      <c r="B36" s="122">
        <f>D13</f>
        <v>0</v>
      </c>
      <c r="D36" s="121" t="s">
        <v>1135</v>
      </c>
      <c r="E36" s="122">
        <f>K13</f>
        <v>2</v>
      </c>
    </row>
    <row r="37" ht="15.75" spans="1:9">
      <c r="A37" s="121" t="s">
        <v>1131</v>
      </c>
      <c r="B37" s="122">
        <f>G13</f>
        <v>2</v>
      </c>
      <c r="D37" s="121" t="s">
        <v>1127</v>
      </c>
      <c r="E37" s="122">
        <f>C13</f>
        <v>9</v>
      </c>
    </row>
    <row r="38" ht="15.75" spans="1:9">
      <c r="A38" s="123" t="s">
        <v>1142</v>
      </c>
      <c r="B38" s="16"/>
      <c r="C38" s="16"/>
      <c r="D38" s="16"/>
      <c r="E38" s="16"/>
      <c r="F38" s="16"/>
      <c r="G38" s="16"/>
      <c r="H38" s="16"/>
      <c r="I38" s="17"/>
    </row>
    <row r="39" ht="15.75" spans="1:9">
      <c r="A39" s="124" t="s">
        <v>1143</v>
      </c>
      <c r="B39" s="16"/>
      <c r="C39" s="16"/>
      <c r="D39" s="16"/>
      <c r="E39" s="16"/>
      <c r="F39" s="16"/>
      <c r="G39" s="16"/>
      <c r="H39" s="16"/>
      <c r="I39" s="17"/>
    </row>
    <row r="40" ht="75" customHeight="1" spans="1:9">
      <c r="A40" s="310" t="s">
        <v>4936</v>
      </c>
      <c r="B40" s="16"/>
      <c r="C40" s="16"/>
      <c r="D40" s="16"/>
      <c r="E40" s="16"/>
      <c r="F40" s="16"/>
      <c r="G40" s="16"/>
      <c r="H40" s="16"/>
      <c r="I40" s="17"/>
    </row>
    <row r="41" ht="15.75" spans="1:9">
      <c r="A41" s="124" t="s">
        <v>1145</v>
      </c>
      <c r="B41" s="16"/>
      <c r="C41" s="16"/>
      <c r="D41" s="16"/>
      <c r="E41" s="16"/>
      <c r="F41" s="16"/>
      <c r="G41" s="16"/>
      <c r="H41" s="16"/>
      <c r="I41" s="17"/>
    </row>
    <row r="42" ht="90" customHeight="1" spans="1:9">
      <c r="A42" s="310" t="s">
        <v>4937</v>
      </c>
      <c r="B42" s="16"/>
      <c r="C42" s="16"/>
      <c r="D42" s="16"/>
      <c r="E42" s="16"/>
      <c r="F42" s="16"/>
      <c r="G42" s="16"/>
      <c r="H42" s="16"/>
      <c r="I42" s="17"/>
    </row>
    <row r="43" ht="15.75" spans="1:9">
      <c r="A43" s="124" t="s">
        <v>1147</v>
      </c>
      <c r="B43" s="16"/>
      <c r="C43" s="16"/>
      <c r="D43" s="16"/>
      <c r="E43" s="16"/>
      <c r="F43" s="16"/>
      <c r="G43" s="16"/>
      <c r="H43" s="16"/>
      <c r="I43" s="17"/>
    </row>
    <row r="44" ht="60" customHeight="1" spans="1:9">
      <c r="A44" s="310" t="s">
        <v>4938</v>
      </c>
      <c r="B44" s="16"/>
      <c r="C44" s="16"/>
      <c r="D44" s="16"/>
      <c r="E44" s="16"/>
      <c r="F44" s="16"/>
      <c r="G44" s="16"/>
      <c r="H44" s="16"/>
      <c r="I44" s="17"/>
    </row>
    <row r="45" ht="15.75" spans="1:9">
      <c r="A45" s="124" t="s">
        <v>1149</v>
      </c>
      <c r="B45" s="16"/>
      <c r="C45" s="16"/>
      <c r="D45" s="16"/>
      <c r="E45" s="16"/>
      <c r="F45" s="16"/>
      <c r="G45" s="16"/>
      <c r="H45" s="16"/>
      <c r="I45" s="17"/>
    </row>
    <row r="46" ht="45" customHeight="1" spans="1:9">
      <c r="A46" s="310" t="s">
        <v>4939</v>
      </c>
      <c r="B46" s="16"/>
      <c r="C46" s="16"/>
      <c r="D46" s="16"/>
      <c r="E46" s="16"/>
      <c r="F46" s="16"/>
      <c r="G46" s="16"/>
      <c r="H46" s="16"/>
      <c r="I46" s="17"/>
    </row>
    <row r="50" ht="15.75" spans="1:9">
      <c r="A50" s="126" t="s">
        <v>1109</v>
      </c>
      <c r="B50" s="126" t="s">
        <v>1151</v>
      </c>
      <c r="C50" s="126" t="s">
        <v>1152</v>
      </c>
      <c r="D50" s="126" t="s">
        <v>1153</v>
      </c>
      <c r="E50" s="126" t="s">
        <v>1154</v>
      </c>
      <c r="F50" s="126" t="s">
        <v>1155</v>
      </c>
      <c r="G50" s="126" t="s">
        <v>1156</v>
      </c>
      <c r="H50" s="126" t="s">
        <v>1131</v>
      </c>
      <c r="I50" s="126" t="s">
        <v>1157</v>
      </c>
    </row>
    <row r="51" ht="15.75" spans="1:9">
      <c r="A51" s="109" t="s">
        <v>4940</v>
      </c>
      <c r="B51" s="16"/>
      <c r="C51" s="16"/>
      <c r="D51" s="16"/>
      <c r="E51" s="16"/>
      <c r="F51" s="16"/>
      <c r="G51" s="16"/>
      <c r="H51" s="16"/>
      <c r="I51" s="17"/>
    </row>
    <row r="52" ht="75" customHeight="1" spans="1:9">
      <c r="A52" s="111" t="s">
        <v>4941</v>
      </c>
      <c r="B52" s="111" t="s">
        <v>4942</v>
      </c>
      <c r="C52" s="122" t="s">
        <v>1133</v>
      </c>
      <c r="D52" s="111" t="s">
        <v>4943</v>
      </c>
      <c r="E52" s="111" t="s">
        <v>4944</v>
      </c>
      <c r="F52" s="111" t="s">
        <v>4945</v>
      </c>
      <c r="G52" s="122" t="s">
        <v>1129</v>
      </c>
      <c r="H52" s="122"/>
      <c r="I52" s="111" t="s">
        <v>4946</v>
      </c>
    </row>
    <row r="53" ht="90" customHeight="1" spans="1:9">
      <c r="A53" s="111" t="s">
        <v>4947</v>
      </c>
      <c r="B53" s="111" t="s">
        <v>4948</v>
      </c>
      <c r="C53" s="122" t="s">
        <v>1133</v>
      </c>
      <c r="D53" s="111" t="s">
        <v>4949</v>
      </c>
      <c r="E53" s="111" t="s">
        <v>4950</v>
      </c>
      <c r="F53" s="111" t="s">
        <v>4951</v>
      </c>
      <c r="G53" s="122" t="s">
        <v>1129</v>
      </c>
      <c r="H53" s="122"/>
      <c r="I53" s="111" t="s">
        <v>4952</v>
      </c>
    </row>
    <row r="54" ht="30" customHeight="1" spans="1:9">
      <c r="A54" s="111" t="s">
        <v>4953</v>
      </c>
      <c r="B54" s="111" t="s">
        <v>4954</v>
      </c>
      <c r="C54" s="122" t="s">
        <v>1135</v>
      </c>
      <c r="D54" s="111" t="s">
        <v>4955</v>
      </c>
      <c r="E54" s="111" t="s">
        <v>4956</v>
      </c>
      <c r="F54" s="111" t="s">
        <v>4957</v>
      </c>
      <c r="G54" s="122" t="s">
        <v>1129</v>
      </c>
      <c r="H54" s="122"/>
      <c r="I54" s="111" t="s">
        <v>7</v>
      </c>
    </row>
    <row r="55" ht="60" customHeight="1" spans="1:9">
      <c r="A55" s="111" t="s">
        <v>4958</v>
      </c>
      <c r="B55" s="111" t="s">
        <v>4959</v>
      </c>
      <c r="C55" s="122" t="s">
        <v>1135</v>
      </c>
      <c r="D55" s="111" t="s">
        <v>4960</v>
      </c>
      <c r="E55" s="111" t="s">
        <v>4961</v>
      </c>
      <c r="F55" s="111" t="s">
        <v>4962</v>
      </c>
      <c r="G55" s="122" t="s">
        <v>1129</v>
      </c>
      <c r="H55" s="122"/>
      <c r="I55" s="111" t="s">
        <v>7</v>
      </c>
    </row>
    <row r="56" ht="60" customHeight="1" spans="1:9">
      <c r="A56" s="111" t="s">
        <v>4963</v>
      </c>
      <c r="B56" s="111" t="s">
        <v>4964</v>
      </c>
      <c r="C56" s="122" t="s">
        <v>1135</v>
      </c>
      <c r="D56" s="111" t="s">
        <v>4965</v>
      </c>
      <c r="E56" s="111" t="s">
        <v>4966</v>
      </c>
      <c r="F56" s="111" t="s">
        <v>4967</v>
      </c>
      <c r="G56" s="122" t="s">
        <v>1129</v>
      </c>
      <c r="H56" s="122"/>
      <c r="I56" s="111" t="s">
        <v>7</v>
      </c>
    </row>
    <row r="57" ht="45" customHeight="1" spans="1:9">
      <c r="A57" s="111" t="s">
        <v>4968</v>
      </c>
      <c r="B57" s="111" t="s">
        <v>4969</v>
      </c>
      <c r="C57" s="122" t="s">
        <v>1135</v>
      </c>
      <c r="D57" s="111" t="s">
        <v>4970</v>
      </c>
      <c r="E57" s="111" t="s">
        <v>4971</v>
      </c>
      <c r="F57" s="111" t="s">
        <v>4972</v>
      </c>
      <c r="G57" s="122" t="s">
        <v>1129</v>
      </c>
      <c r="H57" s="122"/>
      <c r="I57" s="111" t="s">
        <v>4973</v>
      </c>
    </row>
    <row r="58" ht="120" customHeight="1" spans="1:9">
      <c r="A58" s="111" t="s">
        <v>4974</v>
      </c>
      <c r="B58" s="111" t="s">
        <v>4975</v>
      </c>
      <c r="C58" s="122" t="s">
        <v>1134</v>
      </c>
      <c r="D58" s="111" t="s">
        <v>4976</v>
      </c>
      <c r="E58" s="111" t="s">
        <v>4977</v>
      </c>
      <c r="F58" s="111" t="s">
        <v>4978</v>
      </c>
      <c r="G58" s="122" t="s">
        <v>1129</v>
      </c>
      <c r="H58" s="122"/>
      <c r="I58" s="111" t="s">
        <v>4979</v>
      </c>
    </row>
    <row r="59" ht="75" customHeight="1" spans="1:9">
      <c r="A59" s="111" t="s">
        <v>4980</v>
      </c>
      <c r="B59" s="111" t="s">
        <v>4981</v>
      </c>
      <c r="C59" s="122" t="s">
        <v>1134</v>
      </c>
      <c r="D59" s="111" t="s">
        <v>4982</v>
      </c>
      <c r="E59" s="111" t="s">
        <v>4983</v>
      </c>
      <c r="F59" s="111" t="s">
        <v>4984</v>
      </c>
      <c r="G59" s="122" t="s">
        <v>1129</v>
      </c>
      <c r="H59" s="122"/>
      <c r="I59" s="111" t="s">
        <v>4985</v>
      </c>
    </row>
    <row r="60" ht="45" customHeight="1" spans="1:9">
      <c r="A60" s="111" t="s">
        <v>4986</v>
      </c>
      <c r="B60" s="111" t="s">
        <v>4987</v>
      </c>
      <c r="C60" s="122" t="s">
        <v>1134</v>
      </c>
      <c r="D60" s="111" t="s">
        <v>4988</v>
      </c>
      <c r="E60" s="111" t="s">
        <v>4989</v>
      </c>
      <c r="F60" s="111" t="s">
        <v>4990</v>
      </c>
      <c r="G60" s="122" t="s">
        <v>1129</v>
      </c>
      <c r="H60" s="122"/>
      <c r="I60" s="111" t="s">
        <v>7</v>
      </c>
    </row>
    <row r="61" ht="45" customHeight="1" spans="1:9">
      <c r="A61" s="111" t="s">
        <v>4991</v>
      </c>
      <c r="B61" s="111" t="s">
        <v>4992</v>
      </c>
      <c r="C61" s="122" t="s">
        <v>1134</v>
      </c>
      <c r="D61" s="111" t="s">
        <v>4993</v>
      </c>
      <c r="E61" s="111" t="s">
        <v>4994</v>
      </c>
      <c r="F61" s="111" t="s">
        <v>4995</v>
      </c>
      <c r="G61" s="122" t="s">
        <v>1129</v>
      </c>
      <c r="H61" s="122"/>
      <c r="I61" s="111" t="s">
        <v>4996</v>
      </c>
    </row>
    <row r="62" ht="60" customHeight="1" spans="1:9">
      <c r="A62" s="111" t="s">
        <v>4997</v>
      </c>
      <c r="B62" s="111" t="s">
        <v>4998</v>
      </c>
      <c r="C62" s="122" t="s">
        <v>1135</v>
      </c>
      <c r="D62" s="111" t="s">
        <v>4999</v>
      </c>
      <c r="E62" s="111" t="s">
        <v>5000</v>
      </c>
      <c r="F62" s="111" t="s">
        <v>5001</v>
      </c>
      <c r="G62" s="122" t="s">
        <v>1129</v>
      </c>
      <c r="H62" s="122"/>
      <c r="I62" s="111" t="s">
        <v>5002</v>
      </c>
    </row>
    <row r="63" ht="180" customHeight="1" spans="1:9">
      <c r="A63" s="111" t="s">
        <v>5003</v>
      </c>
      <c r="B63" s="111" t="s">
        <v>5004</v>
      </c>
      <c r="C63" s="122" t="s">
        <v>1135</v>
      </c>
      <c r="D63" s="111" t="s">
        <v>5005</v>
      </c>
      <c r="E63" s="111" t="s">
        <v>5006</v>
      </c>
      <c r="F63" s="111" t="s">
        <v>5007</v>
      </c>
      <c r="G63" s="122" t="s">
        <v>1130</v>
      </c>
      <c r="H63" s="122">
        <v>1</v>
      </c>
      <c r="I63" s="111" t="s">
        <v>5008</v>
      </c>
    </row>
    <row r="64" ht="45" customHeight="1" spans="1:9">
      <c r="A64" s="111" t="s">
        <v>5009</v>
      </c>
      <c r="B64" s="111" t="s">
        <v>5010</v>
      </c>
      <c r="C64" s="122" t="s">
        <v>1134</v>
      </c>
      <c r="D64" s="111" t="s">
        <v>5011</v>
      </c>
      <c r="E64" s="111" t="s">
        <v>5012</v>
      </c>
      <c r="F64" s="111" t="s">
        <v>5013</v>
      </c>
      <c r="G64" s="122" t="s">
        <v>1129</v>
      </c>
      <c r="H64" s="122"/>
      <c r="I64" s="111" t="s">
        <v>5014</v>
      </c>
    </row>
    <row r="65" ht="15.75" spans="1:9">
      <c r="A65" s="127" t="s">
        <v>5015</v>
      </c>
      <c r="B65" s="16"/>
      <c r="C65" s="16"/>
      <c r="D65" s="16"/>
      <c r="E65" s="16"/>
      <c r="F65" s="16"/>
      <c r="G65" s="16"/>
      <c r="H65" s="16"/>
      <c r="I65" s="17"/>
    </row>
    <row r="66" ht="75" customHeight="1" spans="1:9">
      <c r="A66" s="111" t="s">
        <v>5016</v>
      </c>
      <c r="B66" s="111" t="s">
        <v>5017</v>
      </c>
      <c r="C66" s="122" t="s">
        <v>1133</v>
      </c>
      <c r="D66" s="111" t="s">
        <v>5018</v>
      </c>
      <c r="E66" s="111" t="s">
        <v>5019</v>
      </c>
      <c r="F66" s="111" t="s">
        <v>5020</v>
      </c>
      <c r="G66" s="122" t="s">
        <v>1129</v>
      </c>
      <c r="H66" s="122"/>
      <c r="I66" s="111" t="s">
        <v>5021</v>
      </c>
    </row>
    <row r="67" ht="60" customHeight="1" spans="1:9">
      <c r="A67" s="111" t="s">
        <v>5022</v>
      </c>
      <c r="B67" s="111" t="s">
        <v>5023</v>
      </c>
      <c r="C67" s="122" t="s">
        <v>1134</v>
      </c>
      <c r="D67" s="111" t="s">
        <v>5024</v>
      </c>
      <c r="E67" s="111" t="s">
        <v>5025</v>
      </c>
      <c r="F67" s="111" t="s">
        <v>5026</v>
      </c>
      <c r="G67" s="122" t="s">
        <v>1129</v>
      </c>
      <c r="H67" s="122"/>
      <c r="I67" s="111" t="s">
        <v>7</v>
      </c>
    </row>
    <row r="68" ht="45" customHeight="1" spans="1:9">
      <c r="A68" s="111" t="s">
        <v>5027</v>
      </c>
      <c r="B68" s="111" t="s">
        <v>5028</v>
      </c>
      <c r="C68" s="122" t="s">
        <v>1134</v>
      </c>
      <c r="D68" s="111" t="s">
        <v>5029</v>
      </c>
      <c r="E68" s="111" t="s">
        <v>5030</v>
      </c>
      <c r="F68" s="111" t="s">
        <v>5031</v>
      </c>
      <c r="G68" s="122" t="s">
        <v>1129</v>
      </c>
      <c r="H68" s="122"/>
      <c r="I68" s="111" t="s">
        <v>7</v>
      </c>
    </row>
    <row r="69" ht="15.75" spans="1:9">
      <c r="A69" s="109" t="s">
        <v>5032</v>
      </c>
      <c r="B69" s="16"/>
      <c r="C69" s="16"/>
      <c r="D69" s="16"/>
      <c r="E69" s="16"/>
      <c r="F69" s="16"/>
      <c r="G69" s="16"/>
      <c r="H69" s="16"/>
      <c r="I69" s="17"/>
    </row>
    <row r="70" ht="60" customHeight="1" spans="1:9">
      <c r="A70" s="111" t="s">
        <v>5033</v>
      </c>
      <c r="B70" s="111" t="s">
        <v>5034</v>
      </c>
      <c r="C70" s="122" t="s">
        <v>1133</v>
      </c>
      <c r="D70" s="111" t="s">
        <v>5035</v>
      </c>
      <c r="E70" s="111" t="s">
        <v>5036</v>
      </c>
      <c r="F70" s="111" t="s">
        <v>5037</v>
      </c>
      <c r="G70" s="122" t="s">
        <v>1129</v>
      </c>
      <c r="H70" s="122"/>
      <c r="I70" s="111" t="s">
        <v>5038</v>
      </c>
    </row>
    <row r="71" ht="45" customHeight="1" spans="1:9">
      <c r="A71" s="111" t="s">
        <v>5039</v>
      </c>
      <c r="B71" s="111" t="s">
        <v>5040</v>
      </c>
      <c r="C71" s="122" t="s">
        <v>1133</v>
      </c>
      <c r="D71" s="111" t="s">
        <v>5041</v>
      </c>
      <c r="E71" s="111" t="s">
        <v>5042</v>
      </c>
      <c r="F71" s="111" t="s">
        <v>5043</v>
      </c>
      <c r="G71" s="122" t="s">
        <v>1129</v>
      </c>
      <c r="H71" s="122"/>
      <c r="I71" s="111" t="s">
        <v>5044</v>
      </c>
    </row>
    <row r="72" ht="60" customHeight="1" spans="1:9">
      <c r="A72" s="111" t="s">
        <v>5045</v>
      </c>
      <c r="B72" s="111" t="s">
        <v>5046</v>
      </c>
      <c r="C72" s="122" t="s">
        <v>1134</v>
      </c>
      <c r="D72" s="111" t="s">
        <v>5047</v>
      </c>
      <c r="E72" s="111" t="s">
        <v>5048</v>
      </c>
      <c r="F72" s="111" t="s">
        <v>5049</v>
      </c>
      <c r="G72" s="122" t="s">
        <v>1129</v>
      </c>
      <c r="H72" s="122"/>
      <c r="I72" s="111" t="s">
        <v>5050</v>
      </c>
    </row>
    <row r="73" ht="120" customHeight="1" spans="1:9">
      <c r="A73" s="111" t="s">
        <v>5051</v>
      </c>
      <c r="B73" s="111" t="s">
        <v>5052</v>
      </c>
      <c r="C73" s="122" t="s">
        <v>1135</v>
      </c>
      <c r="D73" s="111" t="s">
        <v>5053</v>
      </c>
      <c r="E73" s="111" t="s">
        <v>5054</v>
      </c>
      <c r="F73" s="111" t="s">
        <v>5055</v>
      </c>
      <c r="G73" s="122" t="s">
        <v>1129</v>
      </c>
      <c r="H73" s="122"/>
      <c r="I73" s="111" t="s">
        <v>5056</v>
      </c>
    </row>
    <row r="74" ht="30" customHeight="1" spans="1:9">
      <c r="A74" s="111" t="s">
        <v>5057</v>
      </c>
      <c r="B74" s="111" t="s">
        <v>5058</v>
      </c>
      <c r="C74" s="122" t="s">
        <v>1134</v>
      </c>
      <c r="D74" s="111" t="s">
        <v>5059</v>
      </c>
      <c r="E74" s="111" t="s">
        <v>5060</v>
      </c>
      <c r="F74" s="111" t="s">
        <v>5061</v>
      </c>
      <c r="G74" s="122" t="s">
        <v>1129</v>
      </c>
      <c r="H74" s="122"/>
      <c r="I74" s="111" t="s">
        <v>5062</v>
      </c>
    </row>
    <row r="75" ht="285" customHeight="1" spans="1:9">
      <c r="A75" s="111" t="s">
        <v>5063</v>
      </c>
      <c r="B75" s="111" t="s">
        <v>5064</v>
      </c>
      <c r="C75" s="122" t="s">
        <v>1134</v>
      </c>
      <c r="D75" s="111" t="s">
        <v>5065</v>
      </c>
      <c r="E75" s="111" t="s">
        <v>5066</v>
      </c>
      <c r="F75" s="111" t="s">
        <v>5067</v>
      </c>
      <c r="G75" s="122" t="s">
        <v>1130</v>
      </c>
      <c r="H75" s="122">
        <v>1</v>
      </c>
      <c r="I75" s="111" t="s">
        <v>5068</v>
      </c>
    </row>
    <row r="76" ht="120" customHeight="1" spans="1:9">
      <c r="A76" s="111" t="s">
        <v>5069</v>
      </c>
      <c r="B76" s="111" t="s">
        <v>5070</v>
      </c>
      <c r="C76" s="122" t="s">
        <v>1135</v>
      </c>
      <c r="D76" s="111" t="s">
        <v>5071</v>
      </c>
      <c r="E76" s="111" t="s">
        <v>5072</v>
      </c>
      <c r="F76" s="111" t="s">
        <v>5073</v>
      </c>
      <c r="G76" s="122" t="s">
        <v>1129</v>
      </c>
      <c r="H76" s="122"/>
      <c r="I76" s="111" t="s">
        <v>5074</v>
      </c>
    </row>
    <row r="77" ht="60" customHeight="1" spans="1:9">
      <c r="A77" s="111" t="s">
        <v>5075</v>
      </c>
      <c r="B77" s="111" t="s">
        <v>5076</v>
      </c>
      <c r="C77" s="122" t="s">
        <v>1134</v>
      </c>
      <c r="D77" s="111" t="s">
        <v>5077</v>
      </c>
      <c r="E77" s="111" t="s">
        <v>5078</v>
      </c>
      <c r="F77" s="111" t="s">
        <v>5079</v>
      </c>
      <c r="G77" s="122" t="s">
        <v>1129</v>
      </c>
      <c r="H77" s="122"/>
      <c r="I77" s="111" t="s">
        <v>5080</v>
      </c>
    </row>
    <row r="78" ht="195" customHeight="1" spans="1:9">
      <c r="A78" s="111" t="s">
        <v>5081</v>
      </c>
      <c r="B78" s="111" t="s">
        <v>5082</v>
      </c>
      <c r="C78" s="122" t="s">
        <v>1133</v>
      </c>
      <c r="D78" s="111" t="s">
        <v>5083</v>
      </c>
      <c r="E78" s="111" t="s">
        <v>5084</v>
      </c>
      <c r="F78" s="111" t="s">
        <v>5085</v>
      </c>
      <c r="G78" s="122" t="s">
        <v>1130</v>
      </c>
      <c r="H78" s="122">
        <v>1</v>
      </c>
      <c r="I78" s="111" t="s">
        <v>5086</v>
      </c>
    </row>
  </sheetData>
  <mergeCells count="15">
    <mergeCell ref="A1:C1"/>
    <mergeCell ref="A3:C3"/>
    <mergeCell ref="A9:N9"/>
    <mergeCell ref="A38:I38"/>
    <mergeCell ref="A39:I39"/>
    <mergeCell ref="A40:I40"/>
    <mergeCell ref="A41:I41"/>
    <mergeCell ref="A42:I42"/>
    <mergeCell ref="A43:I43"/>
    <mergeCell ref="A44:I44"/>
    <mergeCell ref="A45:I45"/>
    <mergeCell ref="A46:I46"/>
    <mergeCell ref="A51:I51"/>
    <mergeCell ref="A65:I65"/>
    <mergeCell ref="A69:I69"/>
  </mergeCells>
  <conditionalFormatting sqref="G51:G78">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3"/>
  <sheetViews>
    <sheetView workbookViewId="0">
      <selection activeCell="A1" sqref="A1:E1"/>
    </sheetView>
  </sheetViews>
  <sheetFormatPr defaultColWidth="9" defaultRowHeight="15"/>
  <cols>
    <col min="1" max="1" width="18" customWidth="1"/>
    <col min="2" max="2" width="24" customWidth="1"/>
    <col min="3" max="3" width="34" customWidth="1"/>
    <col min="4" max="4" width="18" customWidth="1"/>
    <col min="5" max="5" width="10" customWidth="1"/>
    <col min="6" max="6" width="34" customWidth="1"/>
    <col min="7" max="7" width="26" customWidth="1"/>
    <col min="8" max="8" width="30" customWidth="1"/>
    <col min="9" max="9" width="36" customWidth="1"/>
    <col min="10" max="10" width="10" customWidth="1"/>
    <col min="11" max="11" width="30" customWidth="1"/>
    <col min="12" max="12" width="9.14285714285714" customWidth="1"/>
  </cols>
  <sheetData>
    <row r="1" ht="20.25" spans="1:5">
      <c r="A1" s="74" t="s">
        <v>1295</v>
      </c>
    </row>
    <row r="2" spans="1:5">
      <c r="A2" s="75" t="s">
        <v>5087</v>
      </c>
      <c r="B2" s="16"/>
      <c r="C2" s="16"/>
      <c r="D2" s="16"/>
      <c r="E2" s="17"/>
    </row>
    <row r="3" customHeight="1" spans="1:5">
      <c r="A3" s="76" t="s">
        <v>1297</v>
      </c>
      <c r="B3" s="17"/>
      <c r="C3" s="77" t="s">
        <v>1298</v>
      </c>
      <c r="D3" s="16"/>
      <c r="E3" s="17"/>
    </row>
    <row r="4" customHeight="1" spans="1:5">
      <c r="A4" s="76" t="s">
        <v>1299</v>
      </c>
      <c r="B4" s="17"/>
      <c r="C4" s="78" t="s">
        <v>1300</v>
      </c>
      <c r="D4" s="16"/>
      <c r="E4" s="17"/>
    </row>
    <row r="5" ht="30" customHeight="1" spans="1:5">
      <c r="A5" s="76" t="s">
        <v>1301</v>
      </c>
      <c r="B5" s="17"/>
      <c r="C5" s="77" t="s">
        <v>5088</v>
      </c>
      <c r="D5" s="16"/>
      <c r="E5" s="17"/>
    </row>
    <row r="6" customHeight="1" spans="1:5">
      <c r="A6" s="76" t="s">
        <v>1303</v>
      </c>
      <c r="B6" s="17"/>
      <c r="C6" s="78" t="s">
        <v>1304</v>
      </c>
      <c r="D6" s="16"/>
      <c r="E6" s="17"/>
    </row>
    <row r="7" ht="30" customHeight="1" spans="1:5">
      <c r="A7" s="76" t="s">
        <v>1305</v>
      </c>
      <c r="B7" s="17"/>
      <c r="C7" s="77" t="s">
        <v>5089</v>
      </c>
      <c r="D7" s="16"/>
      <c r="E7" s="17"/>
    </row>
    <row r="8" ht="75" customHeight="1" spans="1:5">
      <c r="A8" s="76" t="s">
        <v>1307</v>
      </c>
      <c r="B8" s="17"/>
      <c r="C8" s="77" t="s">
        <v>5090</v>
      </c>
      <c r="D8" s="16"/>
      <c r="E8" s="17"/>
    </row>
    <row r="10" ht="16.5" spans="1:5">
      <c r="A10" s="79" t="s">
        <v>1309</v>
      </c>
    </row>
    <row r="11" spans="1:5">
      <c r="A11" s="80" t="s">
        <v>1310</v>
      </c>
    </row>
    <row r="12" spans="1:5">
      <c r="A12" s="81" t="s">
        <v>211</v>
      </c>
      <c r="B12" s="81" t="s">
        <v>1311</v>
      </c>
      <c r="C12" s="81" t="s">
        <v>1312</v>
      </c>
      <c r="D12" s="82"/>
      <c r="E12" s="81" t="s">
        <v>430</v>
      </c>
    </row>
    <row r="13" ht="120" customHeight="1" spans="1:5">
      <c r="A13" s="83">
        <v>1</v>
      </c>
      <c r="B13" s="84" t="s">
        <v>5091</v>
      </c>
      <c r="C13" s="85" t="s">
        <v>5092</v>
      </c>
      <c r="D13" s="17"/>
      <c r="E13" s="85" t="s">
        <v>5093</v>
      </c>
    </row>
    <row r="14" ht="60" customHeight="1" spans="1:5">
      <c r="A14" s="83">
        <v>2</v>
      </c>
      <c r="B14" s="84" t="s">
        <v>5094</v>
      </c>
      <c r="C14" s="84" t="s">
        <v>5095</v>
      </c>
      <c r="D14" s="17"/>
      <c r="E14" s="85" t="s">
        <v>5096</v>
      </c>
    </row>
    <row r="15" ht="75" customHeight="1" spans="1:5">
      <c r="A15" s="83">
        <v>3</v>
      </c>
      <c r="B15" s="84" t="s">
        <v>5097</v>
      </c>
      <c r="C15" s="85" t="s">
        <v>5098</v>
      </c>
      <c r="D15" s="17"/>
      <c r="E15" s="85" t="s">
        <v>5099</v>
      </c>
    </row>
    <row r="16" ht="90" customHeight="1" spans="1:5">
      <c r="A16" s="83">
        <v>4</v>
      </c>
      <c r="B16" s="84" t="s">
        <v>5100</v>
      </c>
      <c r="C16" s="85" t="s">
        <v>5101</v>
      </c>
      <c r="D16" s="17"/>
      <c r="E16" s="85" t="s">
        <v>5102</v>
      </c>
    </row>
    <row r="17" ht="30" customHeight="1" spans="1:5">
      <c r="A17" s="83">
        <v>5</v>
      </c>
      <c r="B17" s="84" t="s">
        <v>5103</v>
      </c>
      <c r="C17" s="84" t="s">
        <v>5104</v>
      </c>
      <c r="D17" s="17"/>
      <c r="E17" s="85" t="s">
        <v>5105</v>
      </c>
    </row>
    <row r="18" ht="45" customHeight="1" spans="1:5">
      <c r="A18" s="83">
        <v>6</v>
      </c>
      <c r="B18" s="84" t="s">
        <v>5106</v>
      </c>
      <c r="C18" s="84" t="s">
        <v>5107</v>
      </c>
      <c r="D18" s="17"/>
      <c r="E18" s="85" t="s">
        <v>5108</v>
      </c>
    </row>
    <row r="20" spans="1:5">
      <c r="A20" s="86" t="s">
        <v>1328</v>
      </c>
      <c r="B20" s="16"/>
      <c r="C20" s="16"/>
      <c r="D20" s="16"/>
      <c r="E20" s="17"/>
    </row>
    <row r="21" ht="45" customHeight="1" spans="1:5">
      <c r="A21" s="87">
        <v>1</v>
      </c>
      <c r="B21" s="88" t="s">
        <v>5109</v>
      </c>
      <c r="C21" s="89" t="s">
        <v>5110</v>
      </c>
      <c r="D21" s="16"/>
      <c r="E21" s="17"/>
    </row>
    <row r="22" ht="30" customHeight="1" spans="1:5">
      <c r="A22" s="87">
        <v>2</v>
      </c>
      <c r="B22" s="88" t="s">
        <v>5111</v>
      </c>
      <c r="C22" s="89" t="s">
        <v>5112</v>
      </c>
      <c r="D22" s="16"/>
      <c r="E22" s="17"/>
    </row>
    <row r="23" ht="45" customHeight="1" spans="1:5">
      <c r="A23" s="87">
        <v>3</v>
      </c>
      <c r="B23" s="88" t="s">
        <v>5113</v>
      </c>
      <c r="C23" s="89" t="s">
        <v>5114</v>
      </c>
      <c r="D23" s="16"/>
      <c r="E23" s="17"/>
    </row>
    <row r="25" spans="1:5">
      <c r="A25" s="90" t="s">
        <v>1335</v>
      </c>
      <c r="B25" s="16"/>
      <c r="C25" s="16"/>
      <c r="D25" s="16"/>
      <c r="E25" s="17"/>
    </row>
    <row r="26" spans="1:5">
      <c r="A26" s="81" t="s">
        <v>211</v>
      </c>
      <c r="B26" s="81" t="s">
        <v>1311</v>
      </c>
      <c r="C26" s="81" t="s">
        <v>1336</v>
      </c>
      <c r="D26" s="91"/>
      <c r="E26" s="82"/>
    </row>
    <row r="27" ht="45" customHeight="1" spans="1:5">
      <c r="A27" s="87">
        <v>1</v>
      </c>
      <c r="B27" s="88" t="s">
        <v>5115</v>
      </c>
      <c r="C27" s="89" t="s">
        <v>5116</v>
      </c>
      <c r="D27" s="16"/>
      <c r="E27" s="17"/>
    </row>
    <row r="28" ht="45" customHeight="1" spans="1:5">
      <c r="A28" s="87">
        <v>2</v>
      </c>
      <c r="B28" s="88" t="s">
        <v>5117</v>
      </c>
      <c r="C28" s="89" t="s">
        <v>5118</v>
      </c>
      <c r="D28" s="16"/>
      <c r="E28" s="17"/>
    </row>
    <row r="29" ht="60" customHeight="1" spans="1:5">
      <c r="A29" s="87">
        <v>3</v>
      </c>
      <c r="B29" s="88" t="s">
        <v>5119</v>
      </c>
      <c r="C29" s="89" t="s">
        <v>5120</v>
      </c>
      <c r="D29" s="16"/>
      <c r="E29" s="17"/>
    </row>
    <row r="30" ht="60" customHeight="1" spans="1:5">
      <c r="A30" s="87">
        <v>4</v>
      </c>
      <c r="B30" s="88" t="s">
        <v>5121</v>
      </c>
      <c r="C30" s="89" t="s">
        <v>5122</v>
      </c>
      <c r="D30" s="16"/>
      <c r="E30" s="17"/>
    </row>
    <row r="31" ht="45" customHeight="1" spans="1:5">
      <c r="A31" s="87">
        <v>5</v>
      </c>
      <c r="B31" s="88" t="s">
        <v>5123</v>
      </c>
      <c r="C31" s="89" t="s">
        <v>5124</v>
      </c>
      <c r="D31" s="16"/>
      <c r="E31" s="17"/>
    </row>
    <row r="33" spans="1:11">
      <c r="A33" s="86" t="s">
        <v>1349</v>
      </c>
      <c r="B33" s="16"/>
      <c r="C33" s="16"/>
      <c r="D33" s="16"/>
      <c r="E33" s="17"/>
    </row>
    <row r="34" ht="25.5" spans="1:11">
      <c r="A34" s="81" t="s">
        <v>1350</v>
      </c>
      <c r="B34" s="81" t="s">
        <v>1351</v>
      </c>
      <c r="C34" s="81" t="s">
        <v>1352</v>
      </c>
      <c r="D34" s="81" t="s">
        <v>1353</v>
      </c>
      <c r="E34" s="81" t="s">
        <v>1354</v>
      </c>
    </row>
    <row r="35" ht="25.5" spans="1:11">
      <c r="A35" s="85" t="s">
        <v>5125</v>
      </c>
      <c r="B35" s="85" t="s">
        <v>5126</v>
      </c>
      <c r="C35" s="92">
        <v>0.789</v>
      </c>
      <c r="D35" s="92">
        <v>0.677</v>
      </c>
      <c r="E35" s="93" t="s">
        <v>5127</v>
      </c>
    </row>
    <row r="36" ht="25.5" spans="1:11">
      <c r="A36" s="85" t="s">
        <v>5128</v>
      </c>
      <c r="B36" s="85" t="s">
        <v>5126</v>
      </c>
      <c r="C36" s="92">
        <v>1</v>
      </c>
      <c r="D36" s="92">
        <v>0.89</v>
      </c>
      <c r="E36" s="93" t="s">
        <v>5129</v>
      </c>
    </row>
    <row r="37" ht="25.5" spans="1:11">
      <c r="A37" s="85" t="s">
        <v>5130</v>
      </c>
      <c r="B37" s="85" t="s">
        <v>5131</v>
      </c>
      <c r="C37" s="92">
        <v>0.899</v>
      </c>
      <c r="D37" s="92">
        <v>0.766</v>
      </c>
      <c r="E37" s="93" t="s">
        <v>5132</v>
      </c>
    </row>
    <row r="38" ht="25.5" spans="1:11">
      <c r="A38" s="85" t="s">
        <v>5133</v>
      </c>
      <c r="B38" s="85" t="s">
        <v>5131</v>
      </c>
      <c r="C38" s="92">
        <v>0.433</v>
      </c>
      <c r="D38" s="92">
        <v>0.429</v>
      </c>
      <c r="E38" s="93" t="s">
        <v>5134</v>
      </c>
    </row>
    <row r="39" ht="25.5" spans="1:11">
      <c r="A39" s="85" t="s">
        <v>5135</v>
      </c>
      <c r="B39" s="85" t="s">
        <v>5131</v>
      </c>
      <c r="C39" s="92">
        <v>0.837</v>
      </c>
      <c r="D39" s="92">
        <v>0.564</v>
      </c>
      <c r="E39" s="93" t="s">
        <v>5136</v>
      </c>
    </row>
    <row r="40" ht="25.5" spans="1:11">
      <c r="A40" s="85" t="s">
        <v>5137</v>
      </c>
      <c r="B40" s="85" t="s">
        <v>5138</v>
      </c>
      <c r="C40" s="92">
        <v>0.912</v>
      </c>
      <c r="D40" s="92">
        <v>0.75</v>
      </c>
      <c r="E40" s="93" t="s">
        <v>5139</v>
      </c>
    </row>
    <row r="41" ht="30" spans="1:11">
      <c r="A41" s="80" t="s">
        <v>1365</v>
      </c>
      <c r="B41" s="80" t="s">
        <v>7</v>
      </c>
      <c r="C41" s="94">
        <v>0.757</v>
      </c>
      <c r="D41" s="94">
        <v>0.693</v>
      </c>
      <c r="E41" s="80" t="s">
        <v>7</v>
      </c>
    </row>
    <row r="42" ht="45" customHeight="1" spans="1:11">
      <c r="A42" s="95" t="s">
        <v>3964</v>
      </c>
      <c r="B42" s="16"/>
      <c r="C42" s="16"/>
      <c r="D42" s="16"/>
      <c r="E42" s="17"/>
    </row>
    <row r="46" spans="1:11">
      <c r="A46" s="96" t="s">
        <v>1367</v>
      </c>
      <c r="B46" s="91"/>
      <c r="C46" s="91"/>
      <c r="D46" s="91"/>
      <c r="E46" s="91"/>
      <c r="F46" s="91"/>
      <c r="G46" s="91"/>
      <c r="H46" s="91"/>
      <c r="I46" s="91"/>
      <c r="J46" s="91"/>
      <c r="K46" s="82"/>
    </row>
    <row r="47" ht="33" spans="1:11">
      <c r="A47" s="97" t="s">
        <v>1368</v>
      </c>
      <c r="B47" s="97" t="s">
        <v>1369</v>
      </c>
      <c r="C47" s="97" t="s">
        <v>1370</v>
      </c>
      <c r="D47" s="97" t="s">
        <v>1371</v>
      </c>
      <c r="E47" s="97" t="s">
        <v>1372</v>
      </c>
      <c r="F47" s="97" t="s">
        <v>1373</v>
      </c>
      <c r="G47" s="97" t="s">
        <v>1374</v>
      </c>
      <c r="H47" s="97" t="s">
        <v>1375</v>
      </c>
      <c r="I47" s="97" t="s">
        <v>1376</v>
      </c>
      <c r="J47" s="97" t="s">
        <v>1377</v>
      </c>
      <c r="K47" s="97" t="s">
        <v>1378</v>
      </c>
    </row>
    <row r="48" spans="1:11">
      <c r="A48" s="98" t="s">
        <v>5091</v>
      </c>
      <c r="B48" s="99"/>
      <c r="C48" s="99"/>
      <c r="D48" s="99"/>
      <c r="E48" s="99"/>
      <c r="F48" s="99"/>
      <c r="G48" s="99"/>
      <c r="H48" s="99"/>
      <c r="I48" s="99"/>
      <c r="J48" s="99"/>
      <c r="K48" s="100"/>
    </row>
    <row r="49" ht="60" customHeight="1" spans="1:11">
      <c r="A49" s="101" t="s">
        <v>5140</v>
      </c>
      <c r="B49" s="101" t="s">
        <v>5091</v>
      </c>
      <c r="C49" s="101" t="s">
        <v>5141</v>
      </c>
      <c r="D49" s="101" t="s">
        <v>5142</v>
      </c>
      <c r="E49" s="102" t="s">
        <v>7</v>
      </c>
      <c r="F49" s="101" t="s">
        <v>5143</v>
      </c>
      <c r="G49" s="101" t="s">
        <v>428</v>
      </c>
      <c r="H49" s="101" t="s">
        <v>5144</v>
      </c>
      <c r="I49" s="101" t="s">
        <v>5145</v>
      </c>
      <c r="J49" s="102" t="s">
        <v>1385</v>
      </c>
      <c r="K49" s="101" t="s">
        <v>1386</v>
      </c>
    </row>
    <row r="50" ht="45" customHeight="1" spans="1:11">
      <c r="A50" s="101" t="s">
        <v>5146</v>
      </c>
      <c r="B50" s="101" t="s">
        <v>5091</v>
      </c>
      <c r="C50" s="101" t="s">
        <v>5141</v>
      </c>
      <c r="D50" s="101" t="s">
        <v>5142</v>
      </c>
      <c r="E50" s="102" t="s">
        <v>7</v>
      </c>
      <c r="F50" s="101" t="s">
        <v>5147</v>
      </c>
      <c r="G50" s="101" t="s">
        <v>428</v>
      </c>
      <c r="H50" s="101" t="s">
        <v>5148</v>
      </c>
      <c r="I50" s="101" t="s">
        <v>5149</v>
      </c>
      <c r="J50" s="102" t="s">
        <v>1385</v>
      </c>
      <c r="K50" s="101" t="s">
        <v>1386</v>
      </c>
    </row>
    <row r="51" ht="75" customHeight="1" spans="1:11">
      <c r="A51" s="101" t="s">
        <v>5150</v>
      </c>
      <c r="B51" s="101" t="s">
        <v>5091</v>
      </c>
      <c r="C51" s="101" t="s">
        <v>5141</v>
      </c>
      <c r="D51" s="101" t="s">
        <v>5151</v>
      </c>
      <c r="E51" s="102" t="s">
        <v>7</v>
      </c>
      <c r="F51" s="101" t="s">
        <v>5152</v>
      </c>
      <c r="G51" s="101" t="s">
        <v>428</v>
      </c>
      <c r="H51" s="101" t="s">
        <v>5153</v>
      </c>
      <c r="I51" s="101" t="s">
        <v>5154</v>
      </c>
      <c r="J51" s="102" t="s">
        <v>1385</v>
      </c>
      <c r="K51" s="101" t="s">
        <v>1386</v>
      </c>
    </row>
    <row r="52" ht="105" customHeight="1" spans="1:11">
      <c r="A52" s="101" t="s">
        <v>5155</v>
      </c>
      <c r="B52" s="101" t="s">
        <v>5091</v>
      </c>
      <c r="C52" s="101" t="s">
        <v>5141</v>
      </c>
      <c r="D52" s="101" t="s">
        <v>5156</v>
      </c>
      <c r="E52" s="102" t="s">
        <v>7</v>
      </c>
      <c r="F52" s="101" t="s">
        <v>5157</v>
      </c>
      <c r="G52" s="101" t="s">
        <v>428</v>
      </c>
      <c r="H52" s="101" t="s">
        <v>5158</v>
      </c>
      <c r="I52" s="101" t="s">
        <v>5159</v>
      </c>
      <c r="J52" s="102" t="s">
        <v>1385</v>
      </c>
      <c r="K52" s="101" t="s">
        <v>1386</v>
      </c>
    </row>
    <row r="53" ht="60" customHeight="1" spans="1:11">
      <c r="A53" s="101" t="s">
        <v>5160</v>
      </c>
      <c r="B53" s="101" t="s">
        <v>5091</v>
      </c>
      <c r="C53" s="101" t="s">
        <v>5141</v>
      </c>
      <c r="D53" s="101" t="s">
        <v>5161</v>
      </c>
      <c r="E53" s="102" t="s">
        <v>7</v>
      </c>
      <c r="F53" s="101" t="s">
        <v>5162</v>
      </c>
      <c r="G53" s="101" t="s">
        <v>428</v>
      </c>
      <c r="H53" s="101" t="s">
        <v>5163</v>
      </c>
      <c r="I53" s="101" t="s">
        <v>5164</v>
      </c>
      <c r="J53" s="102" t="s">
        <v>1385</v>
      </c>
      <c r="K53" s="101" t="s">
        <v>1386</v>
      </c>
    </row>
    <row r="54" spans="1:11">
      <c r="A54" s="98" t="s">
        <v>5094</v>
      </c>
      <c r="B54" s="99"/>
      <c r="C54" s="99"/>
      <c r="D54" s="99"/>
      <c r="E54" s="99"/>
      <c r="F54" s="99"/>
      <c r="G54" s="99"/>
      <c r="H54" s="99"/>
      <c r="I54" s="99"/>
      <c r="J54" s="99"/>
      <c r="K54" s="100"/>
    </row>
    <row r="55" ht="120" customHeight="1" spans="1:11">
      <c r="A55" s="101" t="s">
        <v>5165</v>
      </c>
      <c r="B55" s="101" t="s">
        <v>5094</v>
      </c>
      <c r="C55" s="101" t="s">
        <v>5166</v>
      </c>
      <c r="D55" s="101" t="s">
        <v>5095</v>
      </c>
      <c r="E55" s="102" t="s">
        <v>7</v>
      </c>
      <c r="F55" s="101" t="s">
        <v>5167</v>
      </c>
      <c r="G55" s="101" t="s">
        <v>428</v>
      </c>
      <c r="H55" s="101" t="s">
        <v>5168</v>
      </c>
      <c r="I55" s="101" t="s">
        <v>5169</v>
      </c>
      <c r="J55" s="102" t="s">
        <v>1385</v>
      </c>
      <c r="K55" s="101" t="s">
        <v>1386</v>
      </c>
    </row>
    <row r="56" ht="45" customHeight="1" spans="1:11">
      <c r="A56" s="101" t="s">
        <v>5170</v>
      </c>
      <c r="B56" s="101" t="s">
        <v>5094</v>
      </c>
      <c r="C56" s="101" t="s">
        <v>5166</v>
      </c>
      <c r="D56" s="101" t="s">
        <v>5095</v>
      </c>
      <c r="E56" s="102" t="s">
        <v>7</v>
      </c>
      <c r="F56" s="101" t="s">
        <v>5171</v>
      </c>
      <c r="G56" s="101" t="s">
        <v>428</v>
      </c>
      <c r="H56" s="101" t="s">
        <v>5172</v>
      </c>
      <c r="I56" s="101" t="s">
        <v>5173</v>
      </c>
      <c r="J56" s="102" t="s">
        <v>1385</v>
      </c>
      <c r="K56" s="101" t="s">
        <v>1386</v>
      </c>
    </row>
    <row r="57" spans="1:11">
      <c r="A57" s="98" t="s">
        <v>5097</v>
      </c>
      <c r="B57" s="99"/>
      <c r="C57" s="99"/>
      <c r="D57" s="99"/>
      <c r="E57" s="99"/>
      <c r="F57" s="99"/>
      <c r="G57" s="99"/>
      <c r="H57" s="99"/>
      <c r="I57" s="99"/>
      <c r="J57" s="99"/>
      <c r="K57" s="100"/>
    </row>
    <row r="58" ht="60" customHeight="1" spans="1:11">
      <c r="A58" s="101" t="s">
        <v>5174</v>
      </c>
      <c r="B58" s="101" t="s">
        <v>5097</v>
      </c>
      <c r="C58" s="101" t="s">
        <v>5175</v>
      </c>
      <c r="D58" s="101" t="s">
        <v>5176</v>
      </c>
      <c r="E58" s="102" t="s">
        <v>7</v>
      </c>
      <c r="F58" s="101" t="s">
        <v>5177</v>
      </c>
      <c r="G58" s="101" t="s">
        <v>5178</v>
      </c>
      <c r="H58" s="101" t="s">
        <v>5179</v>
      </c>
      <c r="I58" s="101" t="s">
        <v>5180</v>
      </c>
      <c r="J58" s="102" t="s">
        <v>1385</v>
      </c>
      <c r="K58" s="101" t="s">
        <v>1404</v>
      </c>
    </row>
    <row r="59" ht="60" customHeight="1" spans="1:11">
      <c r="A59" s="101" t="s">
        <v>5181</v>
      </c>
      <c r="B59" s="101" t="s">
        <v>5097</v>
      </c>
      <c r="C59" s="101" t="s">
        <v>5175</v>
      </c>
      <c r="D59" s="101" t="s">
        <v>5182</v>
      </c>
      <c r="E59" s="102" t="s">
        <v>7</v>
      </c>
      <c r="F59" s="101" t="s">
        <v>5183</v>
      </c>
      <c r="G59" s="101" t="s">
        <v>5184</v>
      </c>
      <c r="H59" s="101" t="s">
        <v>5185</v>
      </c>
      <c r="I59" s="101" t="s">
        <v>5186</v>
      </c>
      <c r="J59" s="102" t="s">
        <v>1385</v>
      </c>
      <c r="K59" s="101" t="s">
        <v>1404</v>
      </c>
    </row>
    <row r="60" ht="60" customHeight="1" spans="1:11">
      <c r="A60" s="101" t="s">
        <v>5187</v>
      </c>
      <c r="B60" s="101" t="s">
        <v>5097</v>
      </c>
      <c r="C60" s="101" t="s">
        <v>5175</v>
      </c>
      <c r="D60" s="101" t="s">
        <v>5188</v>
      </c>
      <c r="E60" s="102" t="s">
        <v>7</v>
      </c>
      <c r="F60" s="101" t="s">
        <v>5189</v>
      </c>
      <c r="G60" s="101" t="s">
        <v>5190</v>
      </c>
      <c r="H60" s="101" t="s">
        <v>5191</v>
      </c>
      <c r="I60" s="101" t="s">
        <v>5192</v>
      </c>
      <c r="J60" s="102" t="s">
        <v>1385</v>
      </c>
      <c r="K60" s="101" t="s">
        <v>1404</v>
      </c>
    </row>
    <row r="61" ht="75" customHeight="1" spans="1:11">
      <c r="A61" s="101" t="s">
        <v>5193</v>
      </c>
      <c r="B61" s="101" t="s">
        <v>5097</v>
      </c>
      <c r="C61" s="101" t="s">
        <v>5175</v>
      </c>
      <c r="D61" s="101" t="s">
        <v>5194</v>
      </c>
      <c r="E61" s="102" t="s">
        <v>7</v>
      </c>
      <c r="F61" s="101" t="s">
        <v>5195</v>
      </c>
      <c r="G61" s="101" t="s">
        <v>5196</v>
      </c>
      <c r="H61" s="101" t="s">
        <v>5197</v>
      </c>
      <c r="I61" s="101" t="s">
        <v>5198</v>
      </c>
      <c r="J61" s="102" t="s">
        <v>1385</v>
      </c>
      <c r="K61" s="101" t="s">
        <v>1404</v>
      </c>
    </row>
    <row r="62" ht="60" customHeight="1" spans="1:11">
      <c r="A62" s="101" t="s">
        <v>5199</v>
      </c>
      <c r="B62" s="101" t="s">
        <v>5097</v>
      </c>
      <c r="C62" s="101" t="s">
        <v>5175</v>
      </c>
      <c r="D62" s="101" t="s">
        <v>5200</v>
      </c>
      <c r="E62" s="102" t="s">
        <v>7</v>
      </c>
      <c r="F62" s="101" t="s">
        <v>5201</v>
      </c>
      <c r="G62" s="101" t="s">
        <v>5202</v>
      </c>
      <c r="H62" s="101" t="s">
        <v>5203</v>
      </c>
      <c r="I62" s="101" t="s">
        <v>5204</v>
      </c>
      <c r="J62" s="102" t="s">
        <v>1385</v>
      </c>
      <c r="K62" s="101" t="s">
        <v>1404</v>
      </c>
    </row>
    <row r="63" ht="60" customHeight="1" spans="1:11">
      <c r="A63" s="101" t="s">
        <v>5205</v>
      </c>
      <c r="B63" s="101" t="s">
        <v>5097</v>
      </c>
      <c r="C63" s="101" t="s">
        <v>5175</v>
      </c>
      <c r="D63" s="101" t="s">
        <v>5206</v>
      </c>
      <c r="E63" s="102" t="s">
        <v>7</v>
      </c>
      <c r="F63" s="101" t="s">
        <v>5207</v>
      </c>
      <c r="G63" s="101" t="s">
        <v>5208</v>
      </c>
      <c r="H63" s="101" t="s">
        <v>5209</v>
      </c>
      <c r="I63" s="101" t="s">
        <v>5210</v>
      </c>
      <c r="J63" s="102" t="s">
        <v>1385</v>
      </c>
      <c r="K63" s="101" t="s">
        <v>1404</v>
      </c>
    </row>
    <row r="64" ht="60" customHeight="1" spans="1:11">
      <c r="A64" s="101" t="s">
        <v>5211</v>
      </c>
      <c r="B64" s="101" t="s">
        <v>5097</v>
      </c>
      <c r="C64" s="101" t="s">
        <v>5175</v>
      </c>
      <c r="D64" s="101" t="s">
        <v>5212</v>
      </c>
      <c r="E64" s="102" t="s">
        <v>7</v>
      </c>
      <c r="F64" s="101" t="s">
        <v>5213</v>
      </c>
      <c r="G64" s="101" t="s">
        <v>5214</v>
      </c>
      <c r="H64" s="101" t="s">
        <v>5215</v>
      </c>
      <c r="I64" s="101" t="s">
        <v>5216</v>
      </c>
      <c r="J64" s="102" t="s">
        <v>1385</v>
      </c>
      <c r="K64" s="101" t="s">
        <v>1404</v>
      </c>
    </row>
    <row r="65" ht="60" customHeight="1" spans="1:11">
      <c r="A65" s="101" t="s">
        <v>5217</v>
      </c>
      <c r="B65" s="101" t="s">
        <v>5097</v>
      </c>
      <c r="C65" s="101" t="s">
        <v>5175</v>
      </c>
      <c r="D65" s="101" t="s">
        <v>5218</v>
      </c>
      <c r="E65" s="102" t="s">
        <v>7</v>
      </c>
      <c r="F65" s="101" t="s">
        <v>5219</v>
      </c>
      <c r="G65" s="101" t="s">
        <v>5220</v>
      </c>
      <c r="H65" s="101" t="s">
        <v>5221</v>
      </c>
      <c r="I65" s="101" t="s">
        <v>5222</v>
      </c>
      <c r="J65" s="102" t="s">
        <v>1385</v>
      </c>
      <c r="K65" s="101" t="s">
        <v>1404</v>
      </c>
    </row>
    <row r="66" spans="1:11">
      <c r="A66" s="98" t="s">
        <v>5100</v>
      </c>
      <c r="B66" s="99"/>
      <c r="C66" s="99"/>
      <c r="D66" s="99"/>
      <c r="E66" s="99"/>
      <c r="F66" s="99"/>
      <c r="G66" s="99"/>
      <c r="H66" s="99"/>
      <c r="I66" s="99"/>
      <c r="J66" s="99"/>
      <c r="K66" s="100"/>
    </row>
    <row r="67" ht="75" customHeight="1" spans="1:11">
      <c r="A67" s="101" t="s">
        <v>5223</v>
      </c>
      <c r="B67" s="101" t="s">
        <v>5100</v>
      </c>
      <c r="C67" s="101" t="s">
        <v>5224</v>
      </c>
      <c r="D67" s="101" t="s">
        <v>5225</v>
      </c>
      <c r="E67" s="102" t="s">
        <v>7</v>
      </c>
      <c r="F67" s="101" t="s">
        <v>5226</v>
      </c>
      <c r="G67" s="101" t="s">
        <v>5227</v>
      </c>
      <c r="H67" s="101" t="s">
        <v>5228</v>
      </c>
      <c r="I67" s="101" t="s">
        <v>5229</v>
      </c>
      <c r="J67" s="102" t="s">
        <v>1385</v>
      </c>
      <c r="K67" s="101" t="s">
        <v>1404</v>
      </c>
    </row>
    <row r="68" ht="60" customHeight="1" spans="1:11">
      <c r="A68" s="101" t="s">
        <v>5230</v>
      </c>
      <c r="B68" s="101" t="s">
        <v>5100</v>
      </c>
      <c r="C68" s="101" t="s">
        <v>5224</v>
      </c>
      <c r="D68" s="101" t="s">
        <v>5225</v>
      </c>
      <c r="E68" s="102" t="s">
        <v>7</v>
      </c>
      <c r="F68" s="101" t="s">
        <v>5231</v>
      </c>
      <c r="G68" s="101" t="s">
        <v>5232</v>
      </c>
      <c r="H68" s="101" t="s">
        <v>5233</v>
      </c>
      <c r="I68" s="101" t="s">
        <v>5234</v>
      </c>
      <c r="J68" s="102" t="s">
        <v>1385</v>
      </c>
      <c r="K68" s="101" t="s">
        <v>1404</v>
      </c>
    </row>
    <row r="69" ht="45" customHeight="1" spans="1:11">
      <c r="A69" s="101" t="s">
        <v>5235</v>
      </c>
      <c r="B69" s="101" t="s">
        <v>5100</v>
      </c>
      <c r="C69" s="101" t="s">
        <v>5224</v>
      </c>
      <c r="D69" s="101" t="s">
        <v>5236</v>
      </c>
      <c r="E69" s="102" t="s">
        <v>7</v>
      </c>
      <c r="F69" s="101" t="s">
        <v>5237</v>
      </c>
      <c r="G69" s="101" t="s">
        <v>5238</v>
      </c>
      <c r="H69" s="101" t="s">
        <v>5239</v>
      </c>
      <c r="I69" s="101" t="s">
        <v>5240</v>
      </c>
      <c r="J69" s="102" t="s">
        <v>1385</v>
      </c>
      <c r="K69" s="101" t="s">
        <v>1404</v>
      </c>
    </row>
    <row r="70" ht="60" customHeight="1" spans="1:11">
      <c r="A70" s="101" t="s">
        <v>5241</v>
      </c>
      <c r="B70" s="101" t="s">
        <v>5100</v>
      </c>
      <c r="C70" s="101" t="s">
        <v>5224</v>
      </c>
      <c r="D70" s="101" t="s">
        <v>5242</v>
      </c>
      <c r="E70" s="102" t="s">
        <v>7</v>
      </c>
      <c r="F70" s="101" t="s">
        <v>5243</v>
      </c>
      <c r="G70" s="101" t="s">
        <v>5244</v>
      </c>
      <c r="H70" s="101" t="s">
        <v>5245</v>
      </c>
      <c r="I70" s="101" t="s">
        <v>5246</v>
      </c>
      <c r="J70" s="102" t="s">
        <v>1385</v>
      </c>
      <c r="K70" s="101" t="s">
        <v>1404</v>
      </c>
    </row>
    <row r="71" spans="1:11">
      <c r="A71" s="98" t="s">
        <v>5103</v>
      </c>
      <c r="B71" s="99"/>
      <c r="C71" s="99"/>
      <c r="D71" s="99"/>
      <c r="E71" s="99"/>
      <c r="F71" s="99"/>
      <c r="G71" s="99"/>
      <c r="H71" s="99"/>
      <c r="I71" s="99"/>
      <c r="J71" s="99"/>
      <c r="K71" s="100"/>
    </row>
    <row r="72" ht="60" customHeight="1" spans="1:11">
      <c r="A72" s="101" t="s">
        <v>5247</v>
      </c>
      <c r="B72" s="101" t="s">
        <v>5103</v>
      </c>
      <c r="C72" s="101" t="s">
        <v>5248</v>
      </c>
      <c r="D72" s="101" t="s">
        <v>5104</v>
      </c>
      <c r="E72" s="102" t="s">
        <v>7</v>
      </c>
      <c r="F72" s="101" t="s">
        <v>5249</v>
      </c>
      <c r="G72" s="101" t="s">
        <v>5250</v>
      </c>
      <c r="H72" s="101" t="s">
        <v>5251</v>
      </c>
      <c r="I72" s="101" t="s">
        <v>5252</v>
      </c>
      <c r="J72" s="102" t="s">
        <v>1385</v>
      </c>
      <c r="K72" s="101" t="s">
        <v>1404</v>
      </c>
    </row>
    <row r="73" spans="1:11">
      <c r="A73" s="98" t="s">
        <v>5106</v>
      </c>
      <c r="B73" s="99"/>
      <c r="C73" s="99"/>
      <c r="D73" s="99"/>
      <c r="E73" s="99"/>
      <c r="F73" s="99"/>
      <c r="G73" s="99"/>
      <c r="H73" s="99"/>
      <c r="I73" s="99"/>
      <c r="J73" s="99"/>
      <c r="K73" s="100"/>
    </row>
    <row r="74" ht="75" customHeight="1" spans="1:11">
      <c r="A74" s="101" t="s">
        <v>5253</v>
      </c>
      <c r="B74" s="101" t="s">
        <v>5106</v>
      </c>
      <c r="C74" s="101" t="s">
        <v>5254</v>
      </c>
      <c r="D74" s="101" t="s">
        <v>5107</v>
      </c>
      <c r="E74" s="102" t="s">
        <v>7</v>
      </c>
      <c r="F74" s="101" t="s">
        <v>5255</v>
      </c>
      <c r="G74" s="101" t="s">
        <v>5256</v>
      </c>
      <c r="H74" s="101" t="s">
        <v>5257</v>
      </c>
      <c r="I74" s="101" t="s">
        <v>5258</v>
      </c>
      <c r="J74" s="102" t="s">
        <v>1385</v>
      </c>
      <c r="K74" s="101" t="s">
        <v>1404</v>
      </c>
    </row>
    <row r="75" spans="1:11">
      <c r="A75" s="98" t="s">
        <v>5091</v>
      </c>
      <c r="B75" s="99"/>
      <c r="C75" s="99"/>
      <c r="D75" s="99"/>
      <c r="E75" s="99"/>
      <c r="F75" s="99"/>
      <c r="G75" s="99"/>
      <c r="H75" s="99"/>
      <c r="I75" s="99"/>
      <c r="J75" s="99"/>
      <c r="K75" s="100"/>
    </row>
    <row r="76" ht="60" customHeight="1" spans="1:11">
      <c r="A76" s="101" t="s">
        <v>5259</v>
      </c>
      <c r="B76" s="101" t="s">
        <v>5091</v>
      </c>
      <c r="C76" s="101" t="s">
        <v>5260</v>
      </c>
      <c r="D76" s="101" t="s">
        <v>5142</v>
      </c>
      <c r="E76" s="102" t="s">
        <v>7</v>
      </c>
      <c r="F76" s="101" t="s">
        <v>5261</v>
      </c>
      <c r="G76" s="101" t="s">
        <v>428</v>
      </c>
      <c r="H76" s="101" t="s">
        <v>5262</v>
      </c>
      <c r="I76" s="101" t="s">
        <v>5263</v>
      </c>
      <c r="J76" s="102" t="s">
        <v>1508</v>
      </c>
      <c r="K76" s="101" t="s">
        <v>1386</v>
      </c>
    </row>
    <row r="77" spans="1:11">
      <c r="A77" s="98" t="s">
        <v>5100</v>
      </c>
      <c r="B77" s="99"/>
      <c r="C77" s="99"/>
      <c r="D77" s="99"/>
      <c r="E77" s="99"/>
      <c r="F77" s="99"/>
      <c r="G77" s="99"/>
      <c r="H77" s="99"/>
      <c r="I77" s="99"/>
      <c r="J77" s="99"/>
      <c r="K77" s="100"/>
    </row>
    <row r="78" ht="45" customHeight="1" spans="1:11">
      <c r="A78" s="101" t="s">
        <v>5264</v>
      </c>
      <c r="B78" s="101" t="s">
        <v>5100</v>
      </c>
      <c r="C78" s="101" t="s">
        <v>5265</v>
      </c>
      <c r="D78" s="101" t="s">
        <v>5236</v>
      </c>
      <c r="E78" s="102" t="s">
        <v>7</v>
      </c>
      <c r="F78" s="101" t="s">
        <v>5266</v>
      </c>
      <c r="G78" s="101" t="s">
        <v>5267</v>
      </c>
      <c r="H78" s="101" t="s">
        <v>5268</v>
      </c>
      <c r="I78" s="101" t="s">
        <v>5269</v>
      </c>
      <c r="J78" s="102" t="s">
        <v>1508</v>
      </c>
      <c r="K78" s="101" t="s">
        <v>1404</v>
      </c>
    </row>
    <row r="79" ht="45" customHeight="1" spans="1:11">
      <c r="A79" s="101" t="s">
        <v>5270</v>
      </c>
      <c r="B79" s="101" t="s">
        <v>5100</v>
      </c>
      <c r="C79" s="101" t="s">
        <v>5265</v>
      </c>
      <c r="D79" s="101" t="s">
        <v>5236</v>
      </c>
      <c r="E79" s="102" t="s">
        <v>7</v>
      </c>
      <c r="F79" s="101" t="s">
        <v>5271</v>
      </c>
      <c r="G79" s="101" t="s">
        <v>5272</v>
      </c>
      <c r="H79" s="101" t="s">
        <v>5273</v>
      </c>
      <c r="I79" s="101" t="s">
        <v>5274</v>
      </c>
      <c r="J79" s="102" t="s">
        <v>1508</v>
      </c>
      <c r="K79" s="101" t="s">
        <v>1404</v>
      </c>
    </row>
    <row r="80" spans="1:11">
      <c r="A80" s="98" t="s">
        <v>5106</v>
      </c>
      <c r="B80" s="99"/>
      <c r="C80" s="99"/>
      <c r="D80" s="99"/>
      <c r="E80" s="99"/>
      <c r="F80" s="99"/>
      <c r="G80" s="99"/>
      <c r="H80" s="99"/>
      <c r="I80" s="99"/>
      <c r="J80" s="99"/>
      <c r="K80" s="100"/>
    </row>
    <row r="81" ht="60" customHeight="1" spans="1:11">
      <c r="A81" s="101" t="s">
        <v>5275</v>
      </c>
      <c r="B81" s="101" t="s">
        <v>5106</v>
      </c>
      <c r="C81" s="101" t="s">
        <v>5276</v>
      </c>
      <c r="D81" s="101" t="s">
        <v>5107</v>
      </c>
      <c r="E81" s="102" t="s">
        <v>7</v>
      </c>
      <c r="F81" s="101" t="s">
        <v>5277</v>
      </c>
      <c r="G81" s="101" t="s">
        <v>5278</v>
      </c>
      <c r="H81" s="101" t="s">
        <v>5107</v>
      </c>
      <c r="I81" s="101" t="s">
        <v>5279</v>
      </c>
      <c r="J81" s="102" t="s">
        <v>1508</v>
      </c>
      <c r="K81" s="101" t="s">
        <v>1404</v>
      </c>
    </row>
    <row r="83" spans="1:11">
      <c r="A83" s="80" t="s">
        <v>1526</v>
      </c>
      <c r="B83" s="103">
        <f>COUNTIF(J48:J81,"PASS")+COUNTIF(J48:J81,"FAIL")</f>
        <v>25</v>
      </c>
    </row>
    <row r="84" spans="1:11">
      <c r="A84" s="80" t="s">
        <v>1385</v>
      </c>
      <c r="B84" s="103">
        <f>COUNTIF(J48:J81,"PASS")</f>
        <v>21</v>
      </c>
    </row>
    <row r="85" spans="1:11">
      <c r="A85" s="80" t="s">
        <v>1508</v>
      </c>
      <c r="B85" s="103">
        <f>COUNTIF(J48:J81,"FAIL")</f>
        <v>4</v>
      </c>
    </row>
    <row r="86" spans="1:11">
      <c r="A86" s="80" t="s">
        <v>1527</v>
      </c>
      <c r="B86" s="104">
        <f>IFERROR(B84/B83,0)</f>
        <v>0.84</v>
      </c>
    </row>
    <row r="88" spans="1:11">
      <c r="A88" s="105" t="s">
        <v>1528</v>
      </c>
      <c r="B88" s="16"/>
      <c r="C88" s="16"/>
      <c r="D88" s="16"/>
      <c r="E88" s="16"/>
      <c r="F88" s="16"/>
      <c r="G88" s="16"/>
      <c r="H88" s="16"/>
      <c r="I88" s="16"/>
      <c r="J88" s="16"/>
      <c r="K88" s="17"/>
    </row>
    <row r="89" ht="16.5" spans="1:11">
      <c r="A89" s="106" t="s">
        <v>1368</v>
      </c>
      <c r="B89" s="106" t="s">
        <v>1529</v>
      </c>
      <c r="C89" s="16"/>
      <c r="D89" s="16"/>
      <c r="E89" s="16"/>
      <c r="F89" s="16"/>
      <c r="G89" s="16"/>
      <c r="H89" s="17"/>
      <c r="I89" s="106" t="s">
        <v>1530</v>
      </c>
      <c r="J89" s="16"/>
      <c r="K89" s="17"/>
    </row>
    <row r="90" ht="45" customHeight="1" spans="1:11">
      <c r="A90" s="101" t="s">
        <v>5259</v>
      </c>
      <c r="B90" s="101" t="s">
        <v>5280</v>
      </c>
      <c r="C90" s="99"/>
      <c r="D90" s="99"/>
      <c r="E90" s="99"/>
      <c r="F90" s="99"/>
      <c r="G90" s="99"/>
      <c r="H90" s="100"/>
      <c r="I90" s="101" t="s">
        <v>5281</v>
      </c>
      <c r="J90" s="99"/>
      <c r="K90" s="100"/>
    </row>
    <row r="91" ht="30" customHeight="1" spans="1:11">
      <c r="A91" s="101" t="s">
        <v>5264</v>
      </c>
      <c r="B91" s="101" t="s">
        <v>5282</v>
      </c>
      <c r="C91" s="99"/>
      <c r="D91" s="99"/>
      <c r="E91" s="99"/>
      <c r="F91" s="99"/>
      <c r="G91" s="99"/>
      <c r="H91" s="100"/>
      <c r="I91" s="101" t="s">
        <v>5283</v>
      </c>
      <c r="J91" s="99"/>
      <c r="K91" s="100"/>
    </row>
    <row r="92" ht="30" customHeight="1" spans="1:11">
      <c r="A92" s="101" t="s">
        <v>5270</v>
      </c>
      <c r="B92" s="101" t="s">
        <v>5284</v>
      </c>
      <c r="C92" s="99"/>
      <c r="D92" s="99"/>
      <c r="E92" s="99"/>
      <c r="F92" s="99"/>
      <c r="G92" s="99"/>
      <c r="H92" s="100"/>
      <c r="I92" s="101" t="s">
        <v>5285</v>
      </c>
      <c r="J92" s="99"/>
      <c r="K92" s="100"/>
    </row>
    <row r="93" ht="30" customHeight="1" spans="1:11">
      <c r="A93" s="101" t="s">
        <v>5275</v>
      </c>
      <c r="B93" s="101" t="s">
        <v>5286</v>
      </c>
      <c r="C93" s="99"/>
      <c r="D93" s="99"/>
      <c r="E93" s="99"/>
      <c r="F93" s="99"/>
      <c r="G93" s="99"/>
      <c r="H93" s="100"/>
      <c r="I93" s="101" t="s">
        <v>5287</v>
      </c>
      <c r="J93" s="99"/>
      <c r="K93" s="100"/>
    </row>
  </sheetData>
  <mergeCells count="57">
    <mergeCell ref="A1:E1"/>
    <mergeCell ref="A2:E2"/>
    <mergeCell ref="A3:B3"/>
    <mergeCell ref="C3:E3"/>
    <mergeCell ref="A4:B4"/>
    <mergeCell ref="C4:E4"/>
    <mergeCell ref="A5:B5"/>
    <mergeCell ref="C5:E5"/>
    <mergeCell ref="A6:B6"/>
    <mergeCell ref="C6:E6"/>
    <mergeCell ref="A7:B7"/>
    <mergeCell ref="C7:E7"/>
    <mergeCell ref="A8:B8"/>
    <mergeCell ref="C8:E8"/>
    <mergeCell ref="A10:E10"/>
    <mergeCell ref="A11:E11"/>
    <mergeCell ref="C12:D12"/>
    <mergeCell ref="C13:D13"/>
    <mergeCell ref="C14:D14"/>
    <mergeCell ref="C15:D15"/>
    <mergeCell ref="C16:D16"/>
    <mergeCell ref="C17:D17"/>
    <mergeCell ref="C18:D18"/>
    <mergeCell ref="A20:E20"/>
    <mergeCell ref="C21:E21"/>
    <mergeCell ref="C22:E22"/>
    <mergeCell ref="C23:E23"/>
    <mergeCell ref="A25:E25"/>
    <mergeCell ref="C26:E26"/>
    <mergeCell ref="C27:E27"/>
    <mergeCell ref="C28:E28"/>
    <mergeCell ref="C29:E29"/>
    <mergeCell ref="C30:E30"/>
    <mergeCell ref="C31:E31"/>
    <mergeCell ref="A33:E33"/>
    <mergeCell ref="A42:E42"/>
    <mergeCell ref="A46:K46"/>
    <mergeCell ref="A48:K48"/>
    <mergeCell ref="A54:K54"/>
    <mergeCell ref="A57:K57"/>
    <mergeCell ref="A66:K66"/>
    <mergeCell ref="A71:K71"/>
    <mergeCell ref="A73:K73"/>
    <mergeCell ref="A75:K75"/>
    <mergeCell ref="A77:K77"/>
    <mergeCell ref="A80:K80"/>
    <mergeCell ref="A88:K88"/>
    <mergeCell ref="B89:H89"/>
    <mergeCell ref="I89:K89"/>
    <mergeCell ref="B90:H90"/>
    <mergeCell ref="I90:K90"/>
    <mergeCell ref="B91:H91"/>
    <mergeCell ref="I91:K91"/>
    <mergeCell ref="B92:H92"/>
    <mergeCell ref="I92:K92"/>
    <mergeCell ref="B93:H93"/>
    <mergeCell ref="I93:K93"/>
  </mergeCells>
  <conditionalFormatting sqref="J48:J81">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8"/>
  <sheetViews>
    <sheetView workbookViewId="0">
      <pane xSplit="1" ySplit="12" topLeftCell="B13" activePane="bottomRight" state="frozen"/>
      <selection/>
      <selection pane="topRight"/>
      <selection pane="bottomLeft"/>
      <selection pane="bottomRight" activeCell="A1" sqref="A1:J1"/>
    </sheetView>
  </sheetViews>
  <sheetFormatPr defaultColWidth="9" defaultRowHeight="15"/>
  <cols>
    <col min="1" max="1" width="15" customWidth="1"/>
    <col min="2" max="2" width="34" customWidth="1"/>
    <col min="3" max="3" width="9" customWidth="1"/>
    <col min="4" max="4" width="34" customWidth="1"/>
    <col min="5" max="5" width="24" customWidth="1"/>
    <col min="6" max="6" width="34" customWidth="1"/>
    <col min="7" max="7" width="30" customWidth="1"/>
    <col min="8" max="8" width="38" customWidth="1"/>
    <col min="9" max="9" width="11" customWidth="1"/>
    <col min="10" max="10" width="34" customWidth="1"/>
  </cols>
  <sheetData>
    <row r="1" ht="20.25" spans="1:10">
      <c r="A1" s="61" t="s">
        <v>1539</v>
      </c>
    </row>
    <row r="3" spans="1:10">
      <c r="A3" s="62" t="s">
        <v>1008</v>
      </c>
      <c r="B3" s="63" t="s">
        <v>227</v>
      </c>
      <c r="D3" s="62" t="s">
        <v>1540</v>
      </c>
      <c r="E3" s="63" t="s">
        <v>7</v>
      </c>
    </row>
    <row r="4" ht="30" spans="1:10">
      <c r="A4" s="62" t="s">
        <v>1541</v>
      </c>
      <c r="B4" s="64" t="s">
        <v>1542</v>
      </c>
      <c r="D4" s="62" t="s">
        <v>1543</v>
      </c>
      <c r="E4" s="63" t="s">
        <v>233</v>
      </c>
    </row>
    <row r="5" ht="45" spans="1:10">
      <c r="A5" s="62" t="s">
        <v>1544</v>
      </c>
      <c r="B5" s="63" t="s">
        <v>1545</v>
      </c>
      <c r="D5" s="62" t="s">
        <v>1546</v>
      </c>
      <c r="E5" s="64" t="s">
        <v>50</v>
      </c>
    </row>
    <row r="6" ht="45" spans="1:10">
      <c r="A6" s="62" t="s">
        <v>1547</v>
      </c>
      <c r="B6" s="63" t="s">
        <v>1548</v>
      </c>
      <c r="D6" s="62" t="s">
        <v>1549</v>
      </c>
      <c r="E6" s="64" t="s">
        <v>1550</v>
      </c>
    </row>
    <row r="8" ht="15.75" spans="1:10">
      <c r="A8" s="65" t="s">
        <v>1551</v>
      </c>
      <c r="B8" s="66"/>
      <c r="C8" s="66"/>
      <c r="D8" s="66"/>
      <c r="E8" s="66"/>
    </row>
    <row r="9" ht="28.5" spans="1:10">
      <c r="A9" s="67" t="s">
        <v>1552</v>
      </c>
      <c r="B9" s="67" t="s">
        <v>1553</v>
      </c>
      <c r="C9" s="67" t="s">
        <v>1554</v>
      </c>
      <c r="D9" s="67" t="s">
        <v>1555</v>
      </c>
      <c r="E9" s="67" t="s">
        <v>1556</v>
      </c>
    </row>
    <row r="10" spans="1:10">
      <c r="A10" s="68">
        <f>COUNTIF(I13:I48,"Pass")+COUNTIF(I13:I48,"Fail")</f>
        <v>24</v>
      </c>
      <c r="B10" s="68">
        <f>COUNTIF(I13:I48,"Pass")</f>
        <v>22</v>
      </c>
      <c r="C10" s="68">
        <f>COUNTIF(I13:I48,"Fail")</f>
        <v>2</v>
      </c>
      <c r="D10" s="69">
        <f>IFERROR(B10/A10,0)</f>
        <v>0.916666666666667</v>
      </c>
      <c r="E10" s="69">
        <f>IFERROR(C10/A10,0)</f>
        <v>0.0833333333333333</v>
      </c>
    </row>
    <row r="12" ht="28.5" spans="1:10">
      <c r="A12" s="70" t="s">
        <v>1368</v>
      </c>
      <c r="B12" s="70" t="s">
        <v>1557</v>
      </c>
      <c r="C12" s="70" t="s">
        <v>1558</v>
      </c>
      <c r="D12" s="70" t="s">
        <v>1559</v>
      </c>
      <c r="E12" s="70" t="s">
        <v>1560</v>
      </c>
      <c r="F12" s="70" t="s">
        <v>1561</v>
      </c>
      <c r="G12" s="70" t="s">
        <v>1562</v>
      </c>
      <c r="H12" s="70" t="s">
        <v>1563</v>
      </c>
      <c r="I12" s="70" t="s">
        <v>1564</v>
      </c>
      <c r="J12" s="70" t="s">
        <v>1565</v>
      </c>
    </row>
    <row r="13" ht="15.75" spans="1:10">
      <c r="A13" s="71" t="s">
        <v>5288</v>
      </c>
      <c r="B13" s="48"/>
      <c r="C13" s="48"/>
      <c r="D13" s="48"/>
      <c r="E13" s="48"/>
      <c r="F13" s="48"/>
      <c r="G13" s="48"/>
      <c r="H13" s="48"/>
      <c r="I13" s="48"/>
      <c r="J13" s="32"/>
    </row>
    <row r="14" ht="105" customHeight="1" spans="1:10">
      <c r="A14" s="72" t="s">
        <v>5289</v>
      </c>
      <c r="B14" s="72" t="s">
        <v>5290</v>
      </c>
      <c r="C14" s="73" t="s">
        <v>1585</v>
      </c>
      <c r="D14" s="72" t="s">
        <v>5291</v>
      </c>
      <c r="E14" s="72" t="s">
        <v>1595</v>
      </c>
      <c r="F14" s="72" t="s">
        <v>1588</v>
      </c>
      <c r="G14" s="72" t="s">
        <v>5292</v>
      </c>
      <c r="H14" s="72" t="s">
        <v>5293</v>
      </c>
      <c r="I14" s="73" t="s">
        <v>1129</v>
      </c>
      <c r="J14" s="72" t="s">
        <v>7</v>
      </c>
    </row>
    <row r="15" ht="75" customHeight="1" spans="1:10">
      <c r="A15" s="72" t="s">
        <v>5294</v>
      </c>
      <c r="B15" s="72" t="s">
        <v>5295</v>
      </c>
      <c r="C15" s="73" t="s">
        <v>1569</v>
      </c>
      <c r="D15" s="72" t="s">
        <v>5296</v>
      </c>
      <c r="E15" s="72" t="s">
        <v>1595</v>
      </c>
      <c r="F15" s="72" t="s">
        <v>5297</v>
      </c>
      <c r="G15" s="72" t="s">
        <v>5298</v>
      </c>
      <c r="H15" s="72" t="s">
        <v>5299</v>
      </c>
      <c r="I15" s="73" t="s">
        <v>1129</v>
      </c>
      <c r="J15" s="72" t="s">
        <v>7</v>
      </c>
    </row>
    <row r="16" ht="15.75" spans="1:10">
      <c r="A16" s="71" t="s">
        <v>5300</v>
      </c>
      <c r="B16" s="48"/>
      <c r="C16" s="48"/>
      <c r="D16" s="48"/>
      <c r="E16" s="48"/>
      <c r="F16" s="48"/>
      <c r="G16" s="48"/>
      <c r="H16" s="48"/>
      <c r="I16" s="48"/>
      <c r="J16" s="32"/>
    </row>
    <row r="17" ht="45" customHeight="1" spans="1:10">
      <c r="A17" s="72" t="s">
        <v>5301</v>
      </c>
      <c r="B17" s="72" t="s">
        <v>5302</v>
      </c>
      <c r="C17" s="73" t="s">
        <v>1585</v>
      </c>
      <c r="D17" s="72" t="s">
        <v>5303</v>
      </c>
      <c r="E17" s="72" t="s">
        <v>1571</v>
      </c>
      <c r="F17" s="72" t="s">
        <v>1588</v>
      </c>
      <c r="G17" s="72" t="s">
        <v>1669</v>
      </c>
      <c r="H17" s="72" t="s">
        <v>5304</v>
      </c>
      <c r="I17" s="73" t="s">
        <v>1129</v>
      </c>
      <c r="J17" s="72" t="s">
        <v>7</v>
      </c>
    </row>
    <row r="18" ht="300" customHeight="1" spans="1:10">
      <c r="A18" s="72" t="s">
        <v>5305</v>
      </c>
      <c r="B18" s="72" t="s">
        <v>5306</v>
      </c>
      <c r="C18" s="73" t="s">
        <v>1569</v>
      </c>
      <c r="D18" s="72" t="s">
        <v>5307</v>
      </c>
      <c r="E18" s="72" t="s">
        <v>1663</v>
      </c>
      <c r="F18" s="72" t="s">
        <v>5308</v>
      </c>
      <c r="G18" s="72" t="s">
        <v>5309</v>
      </c>
      <c r="H18" s="72" t="s">
        <v>5310</v>
      </c>
      <c r="I18" s="73" t="s">
        <v>1129</v>
      </c>
      <c r="J18" s="72" t="s">
        <v>7</v>
      </c>
    </row>
    <row r="19" ht="300" customHeight="1" spans="1:10">
      <c r="A19" s="72" t="s">
        <v>5311</v>
      </c>
      <c r="B19" s="72" t="s">
        <v>5306</v>
      </c>
      <c r="C19" s="73" t="s">
        <v>1569</v>
      </c>
      <c r="D19" s="72" t="s">
        <v>5312</v>
      </c>
      <c r="E19" s="72" t="s">
        <v>1663</v>
      </c>
      <c r="F19" s="72" t="s">
        <v>5313</v>
      </c>
      <c r="G19" s="72" t="s">
        <v>5314</v>
      </c>
      <c r="H19" s="72" t="s">
        <v>5315</v>
      </c>
      <c r="I19" s="73" t="s">
        <v>1129</v>
      </c>
      <c r="J19" s="72" t="s">
        <v>7</v>
      </c>
    </row>
    <row r="20" ht="300" customHeight="1" spans="1:10">
      <c r="A20" s="72" t="s">
        <v>5316</v>
      </c>
      <c r="B20" s="72" t="s">
        <v>5317</v>
      </c>
      <c r="C20" s="73" t="s">
        <v>1569</v>
      </c>
      <c r="D20" s="72" t="s">
        <v>5318</v>
      </c>
      <c r="E20" s="72" t="s">
        <v>1663</v>
      </c>
      <c r="F20" s="72" t="s">
        <v>5319</v>
      </c>
      <c r="G20" s="72" t="s">
        <v>4156</v>
      </c>
      <c r="H20" s="72" t="s">
        <v>5320</v>
      </c>
      <c r="I20" s="73" t="s">
        <v>1129</v>
      </c>
      <c r="J20" s="72" t="s">
        <v>7</v>
      </c>
    </row>
    <row r="21" ht="300" customHeight="1" spans="1:10">
      <c r="A21" s="72" t="s">
        <v>5321</v>
      </c>
      <c r="B21" s="72" t="s">
        <v>5317</v>
      </c>
      <c r="C21" s="73" t="s">
        <v>1569</v>
      </c>
      <c r="D21" s="72" t="s">
        <v>5322</v>
      </c>
      <c r="E21" s="72" t="s">
        <v>1663</v>
      </c>
      <c r="F21" s="72" t="s">
        <v>5323</v>
      </c>
      <c r="G21" s="72" t="s">
        <v>4156</v>
      </c>
      <c r="H21" s="72" t="s">
        <v>5324</v>
      </c>
      <c r="I21" s="73" t="s">
        <v>1129</v>
      </c>
      <c r="J21" s="72" t="s">
        <v>7</v>
      </c>
    </row>
    <row r="22" ht="15.75" spans="1:10">
      <c r="A22" s="71" t="s">
        <v>1671</v>
      </c>
      <c r="B22" s="48"/>
      <c r="C22" s="48"/>
      <c r="D22" s="48"/>
      <c r="E22" s="48"/>
      <c r="F22" s="48"/>
      <c r="G22" s="48"/>
      <c r="H22" s="48"/>
      <c r="I22" s="48"/>
      <c r="J22" s="32"/>
    </row>
    <row r="23" ht="45" customHeight="1" spans="1:10">
      <c r="A23" s="72" t="s">
        <v>5325</v>
      </c>
      <c r="B23" s="72" t="s">
        <v>5317</v>
      </c>
      <c r="C23" s="73" t="s">
        <v>1569</v>
      </c>
      <c r="D23" s="72" t="s">
        <v>5326</v>
      </c>
      <c r="E23" s="72" t="s">
        <v>1595</v>
      </c>
      <c r="F23" s="72" t="s">
        <v>5327</v>
      </c>
      <c r="G23" s="72" t="s">
        <v>2786</v>
      </c>
      <c r="H23" s="72" t="s">
        <v>2787</v>
      </c>
      <c r="I23" s="73" t="s">
        <v>1129</v>
      </c>
      <c r="J23" s="72" t="s">
        <v>7</v>
      </c>
    </row>
    <row r="24" ht="15.75" spans="1:10">
      <c r="A24" s="71" t="s">
        <v>5300</v>
      </c>
      <c r="B24" s="48"/>
      <c r="C24" s="48"/>
      <c r="D24" s="48"/>
      <c r="E24" s="48"/>
      <c r="F24" s="48"/>
      <c r="G24" s="48"/>
      <c r="H24" s="48"/>
      <c r="I24" s="48"/>
      <c r="J24" s="32"/>
    </row>
    <row r="25" ht="300" customHeight="1" spans="1:10">
      <c r="A25" s="72" t="s">
        <v>5328</v>
      </c>
      <c r="B25" s="72" t="s">
        <v>5317</v>
      </c>
      <c r="C25" s="73" t="s">
        <v>1569</v>
      </c>
      <c r="D25" s="72" t="s">
        <v>5329</v>
      </c>
      <c r="E25" s="72" t="s">
        <v>1663</v>
      </c>
      <c r="F25" s="72" t="s">
        <v>5330</v>
      </c>
      <c r="G25" s="72" t="s">
        <v>5331</v>
      </c>
      <c r="H25" s="72" t="s">
        <v>5332</v>
      </c>
      <c r="I25" s="73" t="s">
        <v>1129</v>
      </c>
      <c r="J25" s="72" t="s">
        <v>7</v>
      </c>
    </row>
    <row r="26" ht="105" customHeight="1" spans="1:10">
      <c r="A26" s="72" t="s">
        <v>5333</v>
      </c>
      <c r="B26" s="72" t="s">
        <v>5334</v>
      </c>
      <c r="C26" s="73" t="s">
        <v>1585</v>
      </c>
      <c r="D26" s="72" t="s">
        <v>5335</v>
      </c>
      <c r="E26" s="72" t="s">
        <v>1663</v>
      </c>
      <c r="F26" s="72" t="s">
        <v>1588</v>
      </c>
      <c r="G26" s="72" t="s">
        <v>1669</v>
      </c>
      <c r="H26" s="72" t="s">
        <v>5336</v>
      </c>
      <c r="I26" s="73" t="s">
        <v>1129</v>
      </c>
      <c r="J26" s="72" t="s">
        <v>7</v>
      </c>
    </row>
    <row r="27" ht="75" customHeight="1" spans="1:10">
      <c r="A27" s="72" t="s">
        <v>5337</v>
      </c>
      <c r="B27" s="72" t="s">
        <v>5338</v>
      </c>
      <c r="C27" s="73" t="s">
        <v>1585</v>
      </c>
      <c r="D27" s="72" t="s">
        <v>5339</v>
      </c>
      <c r="E27" s="72" t="s">
        <v>1663</v>
      </c>
      <c r="F27" s="72" t="s">
        <v>1588</v>
      </c>
      <c r="G27" s="72" t="s">
        <v>2638</v>
      </c>
      <c r="H27" s="72" t="s">
        <v>5340</v>
      </c>
      <c r="I27" s="73" t="s">
        <v>1130</v>
      </c>
      <c r="J27" s="72" t="s">
        <v>2629</v>
      </c>
    </row>
    <row r="28" ht="15.75" spans="1:10">
      <c r="A28" s="71" t="s">
        <v>5341</v>
      </c>
      <c r="B28" s="48"/>
      <c r="C28" s="48"/>
      <c r="D28" s="48"/>
      <c r="E28" s="48"/>
      <c r="F28" s="48"/>
      <c r="G28" s="48"/>
      <c r="H28" s="48"/>
      <c r="I28" s="48"/>
      <c r="J28" s="32"/>
    </row>
    <row r="29" ht="45" customHeight="1" spans="1:10">
      <c r="A29" s="72" t="s">
        <v>5342</v>
      </c>
      <c r="B29" s="72" t="s">
        <v>5343</v>
      </c>
      <c r="C29" s="73" t="s">
        <v>1585</v>
      </c>
      <c r="D29" s="72" t="s">
        <v>5344</v>
      </c>
      <c r="E29" s="72" t="s">
        <v>1595</v>
      </c>
      <c r="F29" s="72" t="s">
        <v>1588</v>
      </c>
      <c r="G29" s="72" t="s">
        <v>5345</v>
      </c>
      <c r="H29" s="72" t="s">
        <v>5346</v>
      </c>
      <c r="I29" s="73" t="s">
        <v>1129</v>
      </c>
      <c r="J29" s="72" t="s">
        <v>7</v>
      </c>
    </row>
    <row r="30" ht="105" customHeight="1" spans="1:10">
      <c r="A30" s="72" t="s">
        <v>5347</v>
      </c>
      <c r="B30" s="72" t="s">
        <v>5290</v>
      </c>
      <c r="C30" s="73" t="s">
        <v>1585</v>
      </c>
      <c r="D30" s="72" t="s">
        <v>5348</v>
      </c>
      <c r="E30" s="72" t="s">
        <v>1595</v>
      </c>
      <c r="F30" s="72" t="s">
        <v>1588</v>
      </c>
      <c r="G30" s="72" t="s">
        <v>5349</v>
      </c>
      <c r="H30" s="72" t="s">
        <v>5350</v>
      </c>
      <c r="I30" s="73" t="s">
        <v>1129</v>
      </c>
      <c r="J30" s="72" t="s">
        <v>7</v>
      </c>
    </row>
    <row r="31" ht="15.75" spans="1:10">
      <c r="A31" s="71" t="s">
        <v>5351</v>
      </c>
      <c r="B31" s="48"/>
      <c r="C31" s="48"/>
      <c r="D31" s="48"/>
      <c r="E31" s="48"/>
      <c r="F31" s="48"/>
      <c r="G31" s="48"/>
      <c r="H31" s="48"/>
      <c r="I31" s="48"/>
      <c r="J31" s="32"/>
    </row>
    <row r="32" ht="105" customHeight="1" spans="1:10">
      <c r="A32" s="72" t="s">
        <v>5352</v>
      </c>
      <c r="B32" s="72" t="s">
        <v>5353</v>
      </c>
      <c r="C32" s="73" t="s">
        <v>1585</v>
      </c>
      <c r="D32" s="72" t="s">
        <v>5354</v>
      </c>
      <c r="E32" s="72" t="s">
        <v>1595</v>
      </c>
      <c r="F32" s="72" t="s">
        <v>1588</v>
      </c>
      <c r="G32" s="72" t="s">
        <v>5355</v>
      </c>
      <c r="H32" s="72" t="s">
        <v>5356</v>
      </c>
      <c r="I32" s="73" t="s">
        <v>1129</v>
      </c>
      <c r="J32" s="72" t="s">
        <v>7</v>
      </c>
    </row>
    <row r="33" ht="45" customHeight="1" spans="1:10">
      <c r="A33" s="72" t="s">
        <v>5357</v>
      </c>
      <c r="B33" s="72" t="s">
        <v>5358</v>
      </c>
      <c r="C33" s="73" t="s">
        <v>1569</v>
      </c>
      <c r="D33" s="72" t="s">
        <v>5359</v>
      </c>
      <c r="E33" s="72" t="s">
        <v>1595</v>
      </c>
      <c r="F33" s="72" t="s">
        <v>5360</v>
      </c>
      <c r="G33" s="72" t="s">
        <v>5361</v>
      </c>
      <c r="H33" s="72" t="s">
        <v>5362</v>
      </c>
      <c r="I33" s="73" t="s">
        <v>1129</v>
      </c>
      <c r="J33" s="72" t="s">
        <v>7</v>
      </c>
    </row>
    <row r="34" ht="45" customHeight="1" spans="1:10">
      <c r="A34" s="72" t="s">
        <v>5363</v>
      </c>
      <c r="B34" s="72" t="s">
        <v>5358</v>
      </c>
      <c r="C34" s="73" t="s">
        <v>1569</v>
      </c>
      <c r="D34" s="72" t="s">
        <v>5364</v>
      </c>
      <c r="E34" s="72" t="s">
        <v>1595</v>
      </c>
      <c r="F34" s="72" t="s">
        <v>5365</v>
      </c>
      <c r="G34" s="72" t="s">
        <v>2819</v>
      </c>
      <c r="H34" s="72" t="s">
        <v>5366</v>
      </c>
      <c r="I34" s="73" t="s">
        <v>1129</v>
      </c>
      <c r="J34" s="72" t="s">
        <v>7</v>
      </c>
    </row>
    <row r="35" ht="15.75" spans="1:10">
      <c r="A35" s="71" t="s">
        <v>5288</v>
      </c>
      <c r="B35" s="48"/>
      <c r="C35" s="48"/>
      <c r="D35" s="48"/>
      <c r="E35" s="48"/>
      <c r="F35" s="48"/>
      <c r="G35" s="48"/>
      <c r="H35" s="48"/>
      <c r="I35" s="48"/>
      <c r="J35" s="32"/>
    </row>
    <row r="36" ht="75" customHeight="1" spans="1:10">
      <c r="A36" s="72" t="s">
        <v>5367</v>
      </c>
      <c r="B36" s="72" t="s">
        <v>3489</v>
      </c>
      <c r="C36" s="73" t="s">
        <v>1569</v>
      </c>
      <c r="D36" s="72" t="s">
        <v>5368</v>
      </c>
      <c r="E36" s="72" t="s">
        <v>1595</v>
      </c>
      <c r="F36" s="72" t="s">
        <v>5369</v>
      </c>
      <c r="G36" s="72" t="s">
        <v>5370</v>
      </c>
      <c r="H36" s="72" t="s">
        <v>5371</v>
      </c>
      <c r="I36" s="73" t="s">
        <v>1129</v>
      </c>
      <c r="J36" s="72" t="s">
        <v>7</v>
      </c>
    </row>
    <row r="37" ht="15.75" spans="1:10">
      <c r="A37" s="71" t="s">
        <v>5351</v>
      </c>
      <c r="B37" s="48"/>
      <c r="C37" s="48"/>
      <c r="D37" s="48"/>
      <c r="E37" s="48"/>
      <c r="F37" s="48"/>
      <c r="G37" s="48"/>
      <c r="H37" s="48"/>
      <c r="I37" s="48"/>
      <c r="J37" s="32"/>
    </row>
    <row r="38" ht="75" customHeight="1" spans="1:10">
      <c r="A38" s="72" t="s">
        <v>5372</v>
      </c>
      <c r="B38" s="72" t="s">
        <v>3489</v>
      </c>
      <c r="C38" s="73" t="s">
        <v>1569</v>
      </c>
      <c r="D38" s="72" t="s">
        <v>5373</v>
      </c>
      <c r="E38" s="72" t="s">
        <v>1595</v>
      </c>
      <c r="F38" s="72" t="s">
        <v>5374</v>
      </c>
      <c r="G38" s="72" t="s">
        <v>5375</v>
      </c>
      <c r="H38" s="72" t="s">
        <v>5376</v>
      </c>
      <c r="I38" s="73" t="s">
        <v>1129</v>
      </c>
      <c r="J38" s="72" t="s">
        <v>7</v>
      </c>
    </row>
    <row r="39" ht="135" customHeight="1" spans="1:10">
      <c r="A39" s="72" t="s">
        <v>5377</v>
      </c>
      <c r="B39" s="72" t="s">
        <v>3499</v>
      </c>
      <c r="C39" s="73" t="s">
        <v>1569</v>
      </c>
      <c r="D39" s="72" t="s">
        <v>5378</v>
      </c>
      <c r="E39" s="72" t="s">
        <v>1595</v>
      </c>
      <c r="F39" s="72" t="s">
        <v>5379</v>
      </c>
      <c r="G39" s="72" t="s">
        <v>5380</v>
      </c>
      <c r="H39" s="72" t="s">
        <v>5381</v>
      </c>
      <c r="I39" s="73" t="s">
        <v>1129</v>
      </c>
      <c r="J39" s="72" t="s">
        <v>7</v>
      </c>
    </row>
    <row r="40" ht="15.75" spans="1:10">
      <c r="A40" s="71" t="s">
        <v>5382</v>
      </c>
      <c r="B40" s="48"/>
      <c r="C40" s="48"/>
      <c r="D40" s="48"/>
      <c r="E40" s="48"/>
      <c r="F40" s="48"/>
      <c r="G40" s="48"/>
      <c r="H40" s="48"/>
      <c r="I40" s="48"/>
      <c r="J40" s="32"/>
    </row>
    <row r="41" ht="45" customHeight="1" spans="1:10">
      <c r="A41" s="72" t="s">
        <v>5383</v>
      </c>
      <c r="B41" s="72" t="s">
        <v>5384</v>
      </c>
      <c r="C41" s="73" t="s">
        <v>1585</v>
      </c>
      <c r="D41" s="72" t="s">
        <v>5385</v>
      </c>
      <c r="E41" s="72" t="s">
        <v>1663</v>
      </c>
      <c r="F41" s="72" t="s">
        <v>1588</v>
      </c>
      <c r="G41" s="72" t="s">
        <v>5386</v>
      </c>
      <c r="H41" s="72" t="s">
        <v>5387</v>
      </c>
      <c r="I41" s="73" t="s">
        <v>1129</v>
      </c>
      <c r="J41" s="72" t="s">
        <v>7</v>
      </c>
    </row>
    <row r="42" ht="45" customHeight="1" spans="1:10">
      <c r="A42" s="72" t="s">
        <v>5388</v>
      </c>
      <c r="B42" s="72" t="s">
        <v>5389</v>
      </c>
      <c r="C42" s="73" t="s">
        <v>1585</v>
      </c>
      <c r="D42" s="72" t="s">
        <v>5390</v>
      </c>
      <c r="E42" s="72" t="s">
        <v>1663</v>
      </c>
      <c r="F42" s="72" t="s">
        <v>1588</v>
      </c>
      <c r="G42" s="72" t="s">
        <v>5391</v>
      </c>
      <c r="H42" s="72" t="s">
        <v>5392</v>
      </c>
      <c r="I42" s="73" t="s">
        <v>1129</v>
      </c>
      <c r="J42" s="72" t="s">
        <v>7</v>
      </c>
    </row>
    <row r="43" ht="15.75" spans="1:10">
      <c r="A43" s="71" t="s">
        <v>5300</v>
      </c>
      <c r="B43" s="48"/>
      <c r="C43" s="48"/>
      <c r="D43" s="48"/>
      <c r="E43" s="48"/>
      <c r="F43" s="48"/>
      <c r="G43" s="48"/>
      <c r="H43" s="48"/>
      <c r="I43" s="48"/>
      <c r="J43" s="32"/>
    </row>
    <row r="44" ht="105" customHeight="1" spans="1:10">
      <c r="A44" s="72" t="s">
        <v>5393</v>
      </c>
      <c r="B44" s="72" t="s">
        <v>5394</v>
      </c>
      <c r="C44" s="73" t="s">
        <v>1603</v>
      </c>
      <c r="D44" s="72" t="s">
        <v>5395</v>
      </c>
      <c r="E44" s="72" t="s">
        <v>1663</v>
      </c>
      <c r="F44" s="72" t="s">
        <v>1588</v>
      </c>
      <c r="G44" s="72" t="s">
        <v>5396</v>
      </c>
      <c r="H44" s="72" t="s">
        <v>5397</v>
      </c>
      <c r="I44" s="73" t="s">
        <v>1129</v>
      </c>
      <c r="J44" s="72" t="s">
        <v>7</v>
      </c>
    </row>
    <row r="45" ht="15.75" spans="1:10">
      <c r="A45" s="71" t="s">
        <v>1671</v>
      </c>
      <c r="B45" s="48"/>
      <c r="C45" s="48"/>
      <c r="D45" s="48"/>
      <c r="E45" s="48"/>
      <c r="F45" s="48"/>
      <c r="G45" s="48"/>
      <c r="H45" s="48"/>
      <c r="I45" s="48"/>
      <c r="J45" s="32"/>
    </row>
    <row r="46" ht="60" customHeight="1" spans="1:10">
      <c r="A46" s="72" t="s">
        <v>5398</v>
      </c>
      <c r="B46" s="72" t="s">
        <v>5334</v>
      </c>
      <c r="C46" s="73" t="s">
        <v>1650</v>
      </c>
      <c r="D46" s="72" t="s">
        <v>5399</v>
      </c>
      <c r="E46" s="72" t="s">
        <v>1668</v>
      </c>
      <c r="F46" s="72" t="s">
        <v>1588</v>
      </c>
      <c r="G46" s="72" t="s">
        <v>4164</v>
      </c>
      <c r="H46" s="72" t="s">
        <v>5400</v>
      </c>
      <c r="I46" s="73" t="s">
        <v>1130</v>
      </c>
      <c r="J46" s="72" t="s">
        <v>1693</v>
      </c>
    </row>
    <row r="47" ht="15.75" spans="1:10">
      <c r="A47" s="71" t="s">
        <v>5300</v>
      </c>
      <c r="B47" s="48"/>
      <c r="C47" s="48"/>
      <c r="D47" s="48"/>
      <c r="E47" s="48"/>
      <c r="F47" s="48"/>
      <c r="G47" s="48"/>
      <c r="H47" s="48"/>
      <c r="I47" s="48"/>
      <c r="J47" s="32"/>
    </row>
    <row r="48" ht="45" customHeight="1" spans="1:10">
      <c r="A48" s="72" t="s">
        <v>5401</v>
      </c>
      <c r="B48" s="72" t="s">
        <v>5334</v>
      </c>
      <c r="C48" s="73" t="s">
        <v>1650</v>
      </c>
      <c r="D48" s="72" t="s">
        <v>5010</v>
      </c>
      <c r="E48" s="72" t="s">
        <v>1663</v>
      </c>
      <c r="F48" s="72" t="s">
        <v>1588</v>
      </c>
      <c r="G48" s="72" t="s">
        <v>1669</v>
      </c>
      <c r="H48" s="72" t="s">
        <v>5402</v>
      </c>
      <c r="I48" s="73" t="s">
        <v>1129</v>
      </c>
      <c r="J48" s="72" t="s">
        <v>7</v>
      </c>
    </row>
  </sheetData>
  <mergeCells count="14">
    <mergeCell ref="A1:J1"/>
    <mergeCell ref="A8:E8"/>
    <mergeCell ref="A13:J13"/>
    <mergeCell ref="A16:J16"/>
    <mergeCell ref="A22:J22"/>
    <mergeCell ref="A24:J24"/>
    <mergeCell ref="A28:J28"/>
    <mergeCell ref="A31:J31"/>
    <mergeCell ref="A35:J35"/>
    <mergeCell ref="A37:J37"/>
    <mergeCell ref="A40:J40"/>
    <mergeCell ref="A43:J43"/>
    <mergeCell ref="A45:J45"/>
    <mergeCell ref="A47:J47"/>
  </mergeCells>
  <conditionalFormatting sqref="I13:I48">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1"/>
  <sheetViews>
    <sheetView workbookViewId="0">
      <selection activeCell="A1" sqref="A1:K1"/>
    </sheetView>
  </sheetViews>
  <sheetFormatPr defaultColWidth="9" defaultRowHeight="15"/>
  <cols>
    <col min="1" max="1" width="7" customWidth="1"/>
    <col min="2" max="2" width="12" customWidth="1"/>
    <col min="3" max="3" width="30" customWidth="1"/>
    <col min="4" max="4" width="20" customWidth="1"/>
    <col min="5" max="5" width="36" customWidth="1"/>
    <col min="6" max="9" width="18" customWidth="1"/>
    <col min="10" max="10" width="10" customWidth="1"/>
    <col min="11" max="11" width="26" customWidth="1"/>
  </cols>
  <sheetData>
    <row r="1" ht="20.25" spans="1:11">
      <c r="A1" s="20" t="s">
        <v>1749</v>
      </c>
    </row>
    <row r="3" ht="28.5" spans="1:11">
      <c r="A3" s="49" t="s">
        <v>1008</v>
      </c>
      <c r="B3" s="49" t="s">
        <v>227</v>
      </c>
      <c r="D3" s="49" t="s">
        <v>1540</v>
      </c>
      <c r="E3" s="49" t="s">
        <v>7</v>
      </c>
    </row>
    <row r="4" ht="42.75" spans="1:11">
      <c r="A4" s="49" t="s">
        <v>1750</v>
      </c>
      <c r="B4" s="50" t="s">
        <v>1751</v>
      </c>
      <c r="D4" s="49" t="s">
        <v>1752</v>
      </c>
      <c r="E4" s="49" t="s">
        <v>1753</v>
      </c>
    </row>
    <row r="5" ht="42.75" spans="1:11">
      <c r="A5" s="49" t="s">
        <v>1754</v>
      </c>
      <c r="B5" s="49" t="s">
        <v>1755</v>
      </c>
      <c r="D5" s="49" t="s">
        <v>1543</v>
      </c>
      <c r="E5" s="49" t="s">
        <v>233</v>
      </c>
    </row>
    <row r="7" ht="15.75" spans="1:11">
      <c r="A7" s="51" t="s">
        <v>1756</v>
      </c>
    </row>
    <row r="8" spans="1:11">
      <c r="A8" s="52" t="s">
        <v>1757</v>
      </c>
      <c r="B8" s="32"/>
      <c r="C8" s="52" t="s">
        <v>1758</v>
      </c>
      <c r="D8" s="52" t="s">
        <v>1553</v>
      </c>
      <c r="E8" s="52" t="s">
        <v>1554</v>
      </c>
      <c r="F8" s="52" t="s">
        <v>1759</v>
      </c>
      <c r="G8" s="52" t="s">
        <v>1760</v>
      </c>
      <c r="H8" s="48"/>
      <c r="I8" s="48"/>
      <c r="J8" s="48"/>
      <c r="K8" s="32"/>
    </row>
    <row r="9" ht="32" customHeight="1" spans="1:11">
      <c r="A9" s="53" t="s">
        <v>1761</v>
      </c>
      <c r="B9" s="54"/>
      <c r="C9" s="55">
        <f>COUNTIF($B$15:$B$91,"Unit Test")-COUNTIFS($B$15:$B$91,"Unit Test",$J$15:$J$91,"Pending")</f>
        <v>25</v>
      </c>
      <c r="D9" s="55">
        <f>COUNTIFS($B$15:$B$91,"Unit Test",$J$15:$J$91,"Pass")</f>
        <v>21</v>
      </c>
      <c r="E9" s="55">
        <f>COUNTIFS($B$15:$B$91,"Unit Test",$J$15:$J$91,"Fail")</f>
        <v>4</v>
      </c>
      <c r="F9" s="56">
        <f>IFERROR(D9/C9,0)</f>
        <v>0.84</v>
      </c>
      <c r="G9" s="57" t="s">
        <v>5090</v>
      </c>
      <c r="H9" s="48"/>
      <c r="I9" s="48"/>
      <c r="J9" s="48"/>
      <c r="K9" s="32"/>
    </row>
    <row r="10" ht="32" customHeight="1" spans="1:11">
      <c r="A10" s="53" t="s">
        <v>1762</v>
      </c>
      <c r="B10" s="54"/>
      <c r="C10" s="55">
        <f>COUNTIF($B$15:$B$91,"API Test")-COUNTIFS($B$15:$B$91,"API Test",$J$15:$J$91,"Pending")</f>
        <v>24</v>
      </c>
      <c r="D10" s="55">
        <f>COUNTIFS($B$15:$B$91,"API Test",$J$15:$J$91,"Pass")</f>
        <v>22</v>
      </c>
      <c r="E10" s="55">
        <f>COUNTIFS($B$15:$B$91,"API Test",$J$15:$J$91,"Fail")</f>
        <v>2</v>
      </c>
      <c r="F10" s="56">
        <f>IFERROR(D10/C10,0)</f>
        <v>0.916666666666667</v>
      </c>
      <c r="G10" s="57" t="s">
        <v>1763</v>
      </c>
      <c r="H10" s="48"/>
      <c r="I10" s="48"/>
      <c r="J10" s="48"/>
      <c r="K10" s="32"/>
    </row>
    <row r="11" ht="32" customHeight="1" spans="1:11">
      <c r="A11" s="53" t="s">
        <v>1764</v>
      </c>
      <c r="B11" s="54"/>
      <c r="C11" s="55">
        <f>COUNTIF($B$15:$B$91,"UI Test")-COUNTIFS($B$15:$B$91,"UI Test",$J$15:$J$91,"Pending")</f>
        <v>25</v>
      </c>
      <c r="D11" s="55">
        <f>COUNTIFS($B$15:$B$91,"UI Test",$J$15:$J$91,"Pass")</f>
        <v>22</v>
      </c>
      <c r="E11" s="55">
        <f>COUNTIFS($B$15:$B$91,"UI Test",$J$15:$J$91,"Fail")</f>
        <v>3</v>
      </c>
      <c r="F11" s="56">
        <f>IFERROR(D11/C11,0)</f>
        <v>0.88</v>
      </c>
      <c r="G11" s="57" t="s">
        <v>5403</v>
      </c>
      <c r="H11" s="48"/>
      <c r="I11" s="48"/>
      <c r="J11" s="48"/>
      <c r="K11" s="32"/>
    </row>
    <row r="13" ht="28.5" spans="1:11">
      <c r="A13" s="25" t="s">
        <v>211</v>
      </c>
      <c r="B13" s="25" t="s">
        <v>1757</v>
      </c>
      <c r="C13" s="25" t="s">
        <v>1766</v>
      </c>
      <c r="D13" s="25" t="s">
        <v>1767</v>
      </c>
      <c r="E13" s="25" t="s">
        <v>1559</v>
      </c>
      <c r="F13" s="25" t="s">
        <v>1768</v>
      </c>
      <c r="G13" s="48"/>
      <c r="H13" s="48"/>
      <c r="I13" s="32"/>
      <c r="J13" s="25" t="s">
        <v>1564</v>
      </c>
      <c r="K13" s="25" t="s">
        <v>1565</v>
      </c>
    </row>
    <row r="15" ht="15.75" spans="1:11">
      <c r="A15" s="58" t="s">
        <v>1769</v>
      </c>
      <c r="B15" s="48"/>
      <c r="C15" s="48"/>
      <c r="D15" s="48"/>
      <c r="E15" s="48"/>
      <c r="F15" s="48"/>
      <c r="G15" s="48"/>
      <c r="H15" s="48"/>
      <c r="I15" s="48"/>
      <c r="J15" s="48"/>
      <c r="K15" s="48"/>
    </row>
    <row r="16" ht="45" customHeight="1" spans="1:11">
      <c r="A16" s="55">
        <v>1</v>
      </c>
      <c r="B16" s="55" t="s">
        <v>1770</v>
      </c>
      <c r="C16" s="59" t="s">
        <v>5404</v>
      </c>
      <c r="D16" s="59" t="s">
        <v>5140</v>
      </c>
      <c r="E16" s="59" t="s">
        <v>5143</v>
      </c>
      <c r="F16" s="60" t="s">
        <v>5405</v>
      </c>
      <c r="G16" s="48"/>
      <c r="H16" s="48"/>
      <c r="I16" s="32"/>
      <c r="J16" s="55" t="s">
        <v>1129</v>
      </c>
      <c r="K16" s="59" t="s">
        <v>7</v>
      </c>
    </row>
    <row r="17" ht="90" customHeight="1" spans="1:11">
      <c r="A17" s="55">
        <v>2</v>
      </c>
      <c r="B17" s="55" t="s">
        <v>1770</v>
      </c>
      <c r="C17" s="59" t="s">
        <v>5404</v>
      </c>
      <c r="D17" s="59" t="s">
        <v>5146</v>
      </c>
      <c r="E17" s="59" t="s">
        <v>5147</v>
      </c>
      <c r="F17" s="60" t="s">
        <v>5406</v>
      </c>
      <c r="G17" s="48"/>
      <c r="H17" s="48"/>
      <c r="I17" s="32"/>
      <c r="J17" s="55" t="s">
        <v>1129</v>
      </c>
      <c r="K17" s="59" t="s">
        <v>7</v>
      </c>
    </row>
    <row r="18" ht="105" customHeight="1" spans="1:11">
      <c r="A18" s="55">
        <v>3</v>
      </c>
      <c r="B18" s="55" t="s">
        <v>1770</v>
      </c>
      <c r="C18" s="59" t="s">
        <v>5404</v>
      </c>
      <c r="D18" s="59" t="s">
        <v>5150</v>
      </c>
      <c r="E18" s="59" t="s">
        <v>5152</v>
      </c>
      <c r="F18" s="60" t="s">
        <v>5407</v>
      </c>
      <c r="G18" s="48"/>
      <c r="H18" s="48"/>
      <c r="I18" s="32"/>
      <c r="J18" s="55" t="s">
        <v>1129</v>
      </c>
      <c r="K18" s="59" t="s">
        <v>7</v>
      </c>
    </row>
    <row r="19" ht="75" customHeight="1" spans="1:11">
      <c r="A19" s="55">
        <v>4</v>
      </c>
      <c r="B19" s="55" t="s">
        <v>1770</v>
      </c>
      <c r="C19" s="59" t="s">
        <v>5404</v>
      </c>
      <c r="D19" s="59" t="s">
        <v>5155</v>
      </c>
      <c r="E19" s="59" t="s">
        <v>5157</v>
      </c>
      <c r="F19" s="60" t="s">
        <v>5408</v>
      </c>
      <c r="G19" s="48"/>
      <c r="H19" s="48"/>
      <c r="I19" s="32"/>
      <c r="J19" s="55" t="s">
        <v>1129</v>
      </c>
      <c r="K19" s="59" t="s">
        <v>7</v>
      </c>
    </row>
    <row r="20" ht="105" customHeight="1" spans="1:11">
      <c r="A20" s="55">
        <v>5</v>
      </c>
      <c r="B20" s="55" t="s">
        <v>1770</v>
      </c>
      <c r="C20" s="59" t="s">
        <v>5404</v>
      </c>
      <c r="D20" s="59" t="s">
        <v>5160</v>
      </c>
      <c r="E20" s="59" t="s">
        <v>5162</v>
      </c>
      <c r="F20" s="60" t="s">
        <v>5409</v>
      </c>
      <c r="G20" s="48"/>
      <c r="H20" s="48"/>
      <c r="I20" s="32"/>
      <c r="J20" s="55" t="s">
        <v>1129</v>
      </c>
      <c r="K20" s="59" t="s">
        <v>7</v>
      </c>
    </row>
    <row r="21" ht="90" customHeight="1" spans="1:11">
      <c r="A21" s="55">
        <v>6</v>
      </c>
      <c r="B21" s="55" t="s">
        <v>1770</v>
      </c>
      <c r="C21" s="59" t="s">
        <v>5410</v>
      </c>
      <c r="D21" s="59" t="s">
        <v>5165</v>
      </c>
      <c r="E21" s="59" t="s">
        <v>5167</v>
      </c>
      <c r="F21" s="60" t="s">
        <v>5411</v>
      </c>
      <c r="G21" s="48"/>
      <c r="H21" s="48"/>
      <c r="I21" s="32"/>
      <c r="J21" s="55" t="s">
        <v>1129</v>
      </c>
      <c r="K21" s="59" t="s">
        <v>7</v>
      </c>
    </row>
    <row r="22" ht="60" customHeight="1" spans="1:11">
      <c r="A22" s="55">
        <v>7</v>
      </c>
      <c r="B22" s="55" t="s">
        <v>1770</v>
      </c>
      <c r="C22" s="59" t="s">
        <v>5410</v>
      </c>
      <c r="D22" s="59" t="s">
        <v>5170</v>
      </c>
      <c r="E22" s="59" t="s">
        <v>5171</v>
      </c>
      <c r="F22" s="60" t="s">
        <v>5412</v>
      </c>
      <c r="G22" s="48"/>
      <c r="H22" s="48"/>
      <c r="I22" s="32"/>
      <c r="J22" s="55" t="s">
        <v>1129</v>
      </c>
      <c r="K22" s="59" t="s">
        <v>7</v>
      </c>
    </row>
    <row r="23" ht="120" customHeight="1" spans="1:11">
      <c r="A23" s="55">
        <v>8</v>
      </c>
      <c r="B23" s="55" t="s">
        <v>1770</v>
      </c>
      <c r="C23" s="59" t="s">
        <v>5413</v>
      </c>
      <c r="D23" s="59" t="s">
        <v>5174</v>
      </c>
      <c r="E23" s="59" t="s">
        <v>5177</v>
      </c>
      <c r="F23" s="60" t="s">
        <v>5414</v>
      </c>
      <c r="G23" s="48"/>
      <c r="H23" s="48"/>
      <c r="I23" s="32"/>
      <c r="J23" s="55" t="s">
        <v>1129</v>
      </c>
      <c r="K23" s="59" t="s">
        <v>7</v>
      </c>
    </row>
    <row r="24" ht="120" customHeight="1" spans="1:11">
      <c r="A24" s="55">
        <v>9</v>
      </c>
      <c r="B24" s="55" t="s">
        <v>1770</v>
      </c>
      <c r="C24" s="59" t="s">
        <v>5413</v>
      </c>
      <c r="D24" s="59" t="s">
        <v>5181</v>
      </c>
      <c r="E24" s="59" t="s">
        <v>5183</v>
      </c>
      <c r="F24" s="60" t="s">
        <v>5415</v>
      </c>
      <c r="G24" s="48"/>
      <c r="H24" s="48"/>
      <c r="I24" s="32"/>
      <c r="J24" s="55" t="s">
        <v>1129</v>
      </c>
      <c r="K24" s="59" t="s">
        <v>7</v>
      </c>
    </row>
    <row r="25" ht="135" customHeight="1" spans="1:11">
      <c r="A25" s="55">
        <v>10</v>
      </c>
      <c r="B25" s="55" t="s">
        <v>1770</v>
      </c>
      <c r="C25" s="59" t="s">
        <v>5413</v>
      </c>
      <c r="D25" s="59" t="s">
        <v>5187</v>
      </c>
      <c r="E25" s="59" t="s">
        <v>5189</v>
      </c>
      <c r="F25" s="60" t="s">
        <v>5416</v>
      </c>
      <c r="G25" s="48"/>
      <c r="H25" s="48"/>
      <c r="I25" s="32"/>
      <c r="J25" s="55" t="s">
        <v>1129</v>
      </c>
      <c r="K25" s="59" t="s">
        <v>7</v>
      </c>
    </row>
    <row r="26" ht="135" customHeight="1" spans="1:11">
      <c r="A26" s="55">
        <v>11</v>
      </c>
      <c r="B26" s="55" t="s">
        <v>1770</v>
      </c>
      <c r="C26" s="59" t="s">
        <v>5413</v>
      </c>
      <c r="D26" s="59" t="s">
        <v>5193</v>
      </c>
      <c r="E26" s="59" t="s">
        <v>5195</v>
      </c>
      <c r="F26" s="60" t="s">
        <v>5417</v>
      </c>
      <c r="G26" s="48"/>
      <c r="H26" s="48"/>
      <c r="I26" s="32"/>
      <c r="J26" s="55" t="s">
        <v>1129</v>
      </c>
      <c r="K26" s="59" t="s">
        <v>7</v>
      </c>
    </row>
    <row r="27" ht="75" customHeight="1" spans="1:11">
      <c r="A27" s="55">
        <v>12</v>
      </c>
      <c r="B27" s="55" t="s">
        <v>1770</v>
      </c>
      <c r="C27" s="59" t="s">
        <v>5413</v>
      </c>
      <c r="D27" s="59" t="s">
        <v>5199</v>
      </c>
      <c r="E27" s="59" t="s">
        <v>5201</v>
      </c>
      <c r="F27" s="60" t="s">
        <v>5418</v>
      </c>
      <c r="G27" s="48"/>
      <c r="H27" s="48"/>
      <c r="I27" s="32"/>
      <c r="J27" s="55" t="s">
        <v>1129</v>
      </c>
      <c r="K27" s="59" t="s">
        <v>7</v>
      </c>
    </row>
    <row r="28" ht="90" customHeight="1" spans="1:11">
      <c r="A28" s="55">
        <v>13</v>
      </c>
      <c r="B28" s="55" t="s">
        <v>1770</v>
      </c>
      <c r="C28" s="59" t="s">
        <v>5413</v>
      </c>
      <c r="D28" s="59" t="s">
        <v>5205</v>
      </c>
      <c r="E28" s="59" t="s">
        <v>5207</v>
      </c>
      <c r="F28" s="60" t="s">
        <v>5419</v>
      </c>
      <c r="G28" s="48"/>
      <c r="H28" s="48"/>
      <c r="I28" s="32"/>
      <c r="J28" s="55" t="s">
        <v>1129</v>
      </c>
      <c r="K28" s="59" t="s">
        <v>7</v>
      </c>
    </row>
    <row r="29" ht="75" customHeight="1" spans="1:11">
      <c r="A29" s="55">
        <v>14</v>
      </c>
      <c r="B29" s="55" t="s">
        <v>1770</v>
      </c>
      <c r="C29" s="59" t="s">
        <v>5413</v>
      </c>
      <c r="D29" s="59" t="s">
        <v>5211</v>
      </c>
      <c r="E29" s="59" t="s">
        <v>5213</v>
      </c>
      <c r="F29" s="60" t="s">
        <v>5420</v>
      </c>
      <c r="G29" s="48"/>
      <c r="H29" s="48"/>
      <c r="I29" s="32"/>
      <c r="J29" s="55" t="s">
        <v>1129</v>
      </c>
      <c r="K29" s="59" t="s">
        <v>7</v>
      </c>
    </row>
    <row r="30" ht="75" customHeight="1" spans="1:11">
      <c r="A30" s="55">
        <v>15</v>
      </c>
      <c r="B30" s="55" t="s">
        <v>1770</v>
      </c>
      <c r="C30" s="59" t="s">
        <v>5413</v>
      </c>
      <c r="D30" s="59" t="s">
        <v>5217</v>
      </c>
      <c r="E30" s="59" t="s">
        <v>5219</v>
      </c>
      <c r="F30" s="60" t="s">
        <v>5421</v>
      </c>
      <c r="G30" s="48"/>
      <c r="H30" s="48"/>
      <c r="I30" s="32"/>
      <c r="J30" s="55" t="s">
        <v>1129</v>
      </c>
      <c r="K30" s="59" t="s">
        <v>7</v>
      </c>
    </row>
    <row r="31" ht="120" customHeight="1" spans="1:11">
      <c r="A31" s="55">
        <v>16</v>
      </c>
      <c r="B31" s="55" t="s">
        <v>1770</v>
      </c>
      <c r="C31" s="59" t="s">
        <v>5422</v>
      </c>
      <c r="D31" s="59" t="s">
        <v>5223</v>
      </c>
      <c r="E31" s="59" t="s">
        <v>5226</v>
      </c>
      <c r="F31" s="60" t="s">
        <v>5423</v>
      </c>
      <c r="G31" s="48"/>
      <c r="H31" s="48"/>
      <c r="I31" s="32"/>
      <c r="J31" s="55" t="s">
        <v>1129</v>
      </c>
      <c r="K31" s="59" t="s">
        <v>7</v>
      </c>
    </row>
    <row r="32" ht="60" customHeight="1" spans="1:11">
      <c r="A32" s="55">
        <v>17</v>
      </c>
      <c r="B32" s="55" t="s">
        <v>1770</v>
      </c>
      <c r="C32" s="59" t="s">
        <v>5422</v>
      </c>
      <c r="D32" s="59" t="s">
        <v>5230</v>
      </c>
      <c r="E32" s="59" t="s">
        <v>5231</v>
      </c>
      <c r="F32" s="60" t="s">
        <v>5424</v>
      </c>
      <c r="G32" s="48"/>
      <c r="H32" s="48"/>
      <c r="I32" s="32"/>
      <c r="J32" s="55" t="s">
        <v>1129</v>
      </c>
      <c r="K32" s="59" t="s">
        <v>7</v>
      </c>
    </row>
    <row r="33" ht="120" customHeight="1" spans="1:11">
      <c r="A33" s="55">
        <v>18</v>
      </c>
      <c r="B33" s="55" t="s">
        <v>1770</v>
      </c>
      <c r="C33" s="59" t="s">
        <v>5422</v>
      </c>
      <c r="D33" s="59" t="s">
        <v>5235</v>
      </c>
      <c r="E33" s="59" t="s">
        <v>5237</v>
      </c>
      <c r="F33" s="60" t="s">
        <v>5425</v>
      </c>
      <c r="G33" s="48"/>
      <c r="H33" s="48"/>
      <c r="I33" s="32"/>
      <c r="J33" s="55" t="s">
        <v>1129</v>
      </c>
      <c r="K33" s="59" t="s">
        <v>7</v>
      </c>
    </row>
    <row r="34" ht="60" customHeight="1" spans="1:11">
      <c r="A34" s="55">
        <v>19</v>
      </c>
      <c r="B34" s="55" t="s">
        <v>1770</v>
      </c>
      <c r="C34" s="59" t="s">
        <v>5422</v>
      </c>
      <c r="D34" s="59" t="s">
        <v>5241</v>
      </c>
      <c r="E34" s="59" t="s">
        <v>5243</v>
      </c>
      <c r="F34" s="60" t="s">
        <v>5426</v>
      </c>
      <c r="G34" s="48"/>
      <c r="H34" s="48"/>
      <c r="I34" s="32"/>
      <c r="J34" s="55" t="s">
        <v>1129</v>
      </c>
      <c r="K34" s="59" t="s">
        <v>7</v>
      </c>
    </row>
    <row r="35" ht="90" customHeight="1" spans="1:11">
      <c r="A35" s="55">
        <v>20</v>
      </c>
      <c r="B35" s="55" t="s">
        <v>1770</v>
      </c>
      <c r="C35" s="59" t="s">
        <v>5427</v>
      </c>
      <c r="D35" s="59" t="s">
        <v>5247</v>
      </c>
      <c r="E35" s="59" t="s">
        <v>5249</v>
      </c>
      <c r="F35" s="60" t="s">
        <v>5428</v>
      </c>
      <c r="G35" s="48"/>
      <c r="H35" s="48"/>
      <c r="I35" s="32"/>
      <c r="J35" s="55" t="s">
        <v>1129</v>
      </c>
      <c r="K35" s="59" t="s">
        <v>7</v>
      </c>
    </row>
    <row r="36" ht="75" customHeight="1" spans="1:11">
      <c r="A36" s="55">
        <v>21</v>
      </c>
      <c r="B36" s="55" t="s">
        <v>1770</v>
      </c>
      <c r="C36" s="59" t="s">
        <v>5429</v>
      </c>
      <c r="D36" s="59" t="s">
        <v>5253</v>
      </c>
      <c r="E36" s="59" t="s">
        <v>5255</v>
      </c>
      <c r="F36" s="60" t="s">
        <v>5430</v>
      </c>
      <c r="G36" s="48"/>
      <c r="H36" s="48"/>
      <c r="I36" s="32"/>
      <c r="J36" s="55" t="s">
        <v>1129</v>
      </c>
      <c r="K36" s="59" t="s">
        <v>7</v>
      </c>
    </row>
    <row r="37" ht="30" customHeight="1" spans="1:11">
      <c r="A37" s="55">
        <v>22</v>
      </c>
      <c r="B37" s="55" t="s">
        <v>1770</v>
      </c>
      <c r="C37" s="59" t="s">
        <v>5431</v>
      </c>
      <c r="D37" s="59" t="s">
        <v>5259</v>
      </c>
      <c r="E37" s="59" t="s">
        <v>5261</v>
      </c>
      <c r="F37" s="60" t="s">
        <v>5432</v>
      </c>
      <c r="G37" s="48"/>
      <c r="H37" s="48"/>
      <c r="I37" s="32"/>
      <c r="J37" s="55" t="s">
        <v>1130</v>
      </c>
      <c r="K37" s="59" t="s">
        <v>7</v>
      </c>
    </row>
    <row r="38" ht="30" customHeight="1" spans="1:11">
      <c r="A38" s="55">
        <v>23</v>
      </c>
      <c r="B38" s="55" t="s">
        <v>1770</v>
      </c>
      <c r="C38" s="59" t="s">
        <v>5433</v>
      </c>
      <c r="D38" s="59" t="s">
        <v>5264</v>
      </c>
      <c r="E38" s="59" t="s">
        <v>5266</v>
      </c>
      <c r="F38" s="60" t="s">
        <v>5434</v>
      </c>
      <c r="G38" s="48"/>
      <c r="H38" s="48"/>
      <c r="I38" s="32"/>
      <c r="J38" s="55" t="s">
        <v>1130</v>
      </c>
      <c r="K38" s="59" t="s">
        <v>7</v>
      </c>
    </row>
    <row r="39" ht="30" customHeight="1" spans="1:11">
      <c r="A39" s="55">
        <v>24</v>
      </c>
      <c r="B39" s="55" t="s">
        <v>1770</v>
      </c>
      <c r="C39" s="59" t="s">
        <v>5433</v>
      </c>
      <c r="D39" s="59" t="s">
        <v>5270</v>
      </c>
      <c r="E39" s="59" t="s">
        <v>5271</v>
      </c>
      <c r="F39" s="60" t="s">
        <v>5435</v>
      </c>
      <c r="G39" s="48"/>
      <c r="H39" s="48"/>
      <c r="I39" s="32"/>
      <c r="J39" s="55" t="s">
        <v>1130</v>
      </c>
      <c r="K39" s="59" t="s">
        <v>7</v>
      </c>
    </row>
    <row r="40" ht="30" customHeight="1" spans="1:11">
      <c r="A40" s="55">
        <v>25</v>
      </c>
      <c r="B40" s="55" t="s">
        <v>1770</v>
      </c>
      <c r="C40" s="59" t="s">
        <v>5436</v>
      </c>
      <c r="D40" s="59" t="s">
        <v>5275</v>
      </c>
      <c r="E40" s="59" t="s">
        <v>5277</v>
      </c>
      <c r="F40" s="60" t="s">
        <v>5437</v>
      </c>
      <c r="G40" s="48"/>
      <c r="H40" s="48"/>
      <c r="I40" s="32"/>
      <c r="J40" s="55" t="s">
        <v>1130</v>
      </c>
      <c r="K40" s="59" t="s">
        <v>7</v>
      </c>
    </row>
    <row r="41" ht="15.75" spans="1:11">
      <c r="A41" s="58" t="s">
        <v>1803</v>
      </c>
      <c r="B41" s="48"/>
      <c r="C41" s="48"/>
      <c r="D41" s="48"/>
      <c r="E41" s="48"/>
      <c r="F41" s="48"/>
      <c r="G41" s="48"/>
      <c r="H41" s="48"/>
      <c r="I41" s="48"/>
      <c r="J41" s="48"/>
      <c r="K41" s="48"/>
    </row>
    <row r="42" ht="30" customHeight="1" spans="1:11">
      <c r="A42" s="55">
        <v>26</v>
      </c>
      <c r="B42" s="55" t="s">
        <v>1804</v>
      </c>
      <c r="C42" s="59" t="s">
        <v>1548</v>
      </c>
      <c r="D42" s="59" t="s">
        <v>5289</v>
      </c>
      <c r="E42" s="59" t="s">
        <v>5291</v>
      </c>
      <c r="F42" s="60" t="s">
        <v>1807</v>
      </c>
      <c r="G42" s="48"/>
      <c r="H42" s="48"/>
      <c r="I42" s="32"/>
      <c r="J42" s="55" t="s">
        <v>1129</v>
      </c>
      <c r="K42" s="59" t="s">
        <v>7</v>
      </c>
    </row>
    <row r="43" ht="45" customHeight="1" spans="1:11">
      <c r="A43" s="55">
        <v>27</v>
      </c>
      <c r="B43" s="55" t="s">
        <v>1804</v>
      </c>
      <c r="C43" s="59" t="s">
        <v>1548</v>
      </c>
      <c r="D43" s="59" t="s">
        <v>5294</v>
      </c>
      <c r="E43" s="59" t="s">
        <v>5296</v>
      </c>
      <c r="F43" s="60" t="s">
        <v>5438</v>
      </c>
      <c r="G43" s="48"/>
      <c r="H43" s="48"/>
      <c r="I43" s="32"/>
      <c r="J43" s="55" t="s">
        <v>1129</v>
      </c>
      <c r="K43" s="59" t="s">
        <v>7</v>
      </c>
    </row>
    <row r="44" ht="30" customHeight="1" spans="1:11">
      <c r="A44" s="55">
        <v>28</v>
      </c>
      <c r="B44" s="55" t="s">
        <v>1804</v>
      </c>
      <c r="C44" s="59" t="s">
        <v>1548</v>
      </c>
      <c r="D44" s="59" t="s">
        <v>5301</v>
      </c>
      <c r="E44" s="59" t="s">
        <v>5303</v>
      </c>
      <c r="F44" s="60" t="s">
        <v>1807</v>
      </c>
      <c r="G44" s="48"/>
      <c r="H44" s="48"/>
      <c r="I44" s="32"/>
      <c r="J44" s="55" t="s">
        <v>1129</v>
      </c>
      <c r="K44" s="59" t="s">
        <v>7</v>
      </c>
    </row>
    <row r="45" ht="60" customHeight="1" spans="1:11">
      <c r="A45" s="55">
        <v>29</v>
      </c>
      <c r="B45" s="55" t="s">
        <v>1804</v>
      </c>
      <c r="C45" s="59" t="s">
        <v>1548</v>
      </c>
      <c r="D45" s="59" t="s">
        <v>5305</v>
      </c>
      <c r="E45" s="59" t="s">
        <v>5307</v>
      </c>
      <c r="F45" s="60" t="s">
        <v>5439</v>
      </c>
      <c r="G45" s="48"/>
      <c r="H45" s="48"/>
      <c r="I45" s="32"/>
      <c r="J45" s="55" t="s">
        <v>1129</v>
      </c>
      <c r="K45" s="59" t="s">
        <v>7</v>
      </c>
    </row>
    <row r="46" ht="45" customHeight="1" spans="1:11">
      <c r="A46" s="55">
        <v>30</v>
      </c>
      <c r="B46" s="55" t="s">
        <v>1804</v>
      </c>
      <c r="C46" s="59" t="s">
        <v>1548</v>
      </c>
      <c r="D46" s="59" t="s">
        <v>5311</v>
      </c>
      <c r="E46" s="59" t="s">
        <v>5312</v>
      </c>
      <c r="F46" s="60" t="s">
        <v>5440</v>
      </c>
      <c r="G46" s="48"/>
      <c r="H46" s="48"/>
      <c r="I46" s="32"/>
      <c r="J46" s="55" t="s">
        <v>1129</v>
      </c>
      <c r="K46" s="59" t="s">
        <v>7</v>
      </c>
    </row>
    <row r="47" ht="30" customHeight="1" spans="1:11">
      <c r="A47" s="55">
        <v>31</v>
      </c>
      <c r="B47" s="55" t="s">
        <v>1804</v>
      </c>
      <c r="C47" s="59" t="s">
        <v>1548</v>
      </c>
      <c r="D47" s="59" t="s">
        <v>5316</v>
      </c>
      <c r="E47" s="59" t="s">
        <v>5318</v>
      </c>
      <c r="F47" s="60" t="s">
        <v>1807</v>
      </c>
      <c r="G47" s="48"/>
      <c r="H47" s="48"/>
      <c r="I47" s="32"/>
      <c r="J47" s="55" t="s">
        <v>1129</v>
      </c>
      <c r="K47" s="59" t="s">
        <v>7</v>
      </c>
    </row>
    <row r="48" ht="30" customHeight="1" spans="1:11">
      <c r="A48" s="55">
        <v>32</v>
      </c>
      <c r="B48" s="55" t="s">
        <v>1804</v>
      </c>
      <c r="C48" s="59" t="s">
        <v>1548</v>
      </c>
      <c r="D48" s="59" t="s">
        <v>5321</v>
      </c>
      <c r="E48" s="59" t="s">
        <v>5322</v>
      </c>
      <c r="F48" s="60" t="s">
        <v>1807</v>
      </c>
      <c r="G48" s="48"/>
      <c r="H48" s="48"/>
      <c r="I48" s="32"/>
      <c r="J48" s="55" t="s">
        <v>1129</v>
      </c>
      <c r="K48" s="59" t="s">
        <v>7</v>
      </c>
    </row>
    <row r="49" ht="30" customHeight="1" spans="1:11">
      <c r="A49" s="55">
        <v>33</v>
      </c>
      <c r="B49" s="55" t="s">
        <v>1804</v>
      </c>
      <c r="C49" s="59" t="s">
        <v>1548</v>
      </c>
      <c r="D49" s="59" t="s">
        <v>5325</v>
      </c>
      <c r="E49" s="59" t="s">
        <v>5326</v>
      </c>
      <c r="F49" s="60" t="s">
        <v>1807</v>
      </c>
      <c r="G49" s="48"/>
      <c r="H49" s="48"/>
      <c r="I49" s="32"/>
      <c r="J49" s="55" t="s">
        <v>1129</v>
      </c>
      <c r="K49" s="59" t="s">
        <v>7</v>
      </c>
    </row>
    <row r="50" ht="60" customHeight="1" spans="1:11">
      <c r="A50" s="55">
        <v>34</v>
      </c>
      <c r="B50" s="55" t="s">
        <v>1804</v>
      </c>
      <c r="C50" s="59" t="s">
        <v>1548</v>
      </c>
      <c r="D50" s="59" t="s">
        <v>5328</v>
      </c>
      <c r="E50" s="59" t="s">
        <v>5329</v>
      </c>
      <c r="F50" s="60" t="s">
        <v>5441</v>
      </c>
      <c r="G50" s="48"/>
      <c r="H50" s="48"/>
      <c r="I50" s="32"/>
      <c r="J50" s="55" t="s">
        <v>1129</v>
      </c>
      <c r="K50" s="59" t="s">
        <v>7</v>
      </c>
    </row>
    <row r="51" ht="30" customHeight="1" spans="1:11">
      <c r="A51" s="55">
        <v>35</v>
      </c>
      <c r="B51" s="55" t="s">
        <v>1804</v>
      </c>
      <c r="C51" s="59" t="s">
        <v>1548</v>
      </c>
      <c r="D51" s="59" t="s">
        <v>5333</v>
      </c>
      <c r="E51" s="59" t="s">
        <v>5335</v>
      </c>
      <c r="F51" s="60" t="s">
        <v>1807</v>
      </c>
      <c r="G51" s="48"/>
      <c r="H51" s="48"/>
      <c r="I51" s="32"/>
      <c r="J51" s="55" t="s">
        <v>1129</v>
      </c>
      <c r="K51" s="59" t="s">
        <v>7</v>
      </c>
    </row>
    <row r="52" ht="30" customHeight="1" spans="1:11">
      <c r="A52" s="55">
        <v>36</v>
      </c>
      <c r="B52" s="55" t="s">
        <v>1804</v>
      </c>
      <c r="C52" s="59" t="s">
        <v>1548</v>
      </c>
      <c r="D52" s="59" t="s">
        <v>5337</v>
      </c>
      <c r="E52" s="59" t="s">
        <v>5339</v>
      </c>
      <c r="F52" s="60" t="s">
        <v>1807</v>
      </c>
      <c r="G52" s="48"/>
      <c r="H52" s="48"/>
      <c r="I52" s="32"/>
      <c r="J52" s="55" t="s">
        <v>1130</v>
      </c>
      <c r="K52" s="59" t="s">
        <v>7</v>
      </c>
    </row>
    <row r="53" ht="60" customHeight="1" spans="1:11">
      <c r="A53" s="55">
        <v>37</v>
      </c>
      <c r="B53" s="55" t="s">
        <v>1804</v>
      </c>
      <c r="C53" s="59" t="s">
        <v>1548</v>
      </c>
      <c r="D53" s="59" t="s">
        <v>5342</v>
      </c>
      <c r="E53" s="59" t="s">
        <v>5344</v>
      </c>
      <c r="F53" s="60" t="s">
        <v>5442</v>
      </c>
      <c r="G53" s="48"/>
      <c r="H53" s="48"/>
      <c r="I53" s="32"/>
      <c r="J53" s="55" t="s">
        <v>1129</v>
      </c>
      <c r="K53" s="59" t="s">
        <v>7</v>
      </c>
    </row>
    <row r="54" ht="60" customHeight="1" spans="1:11">
      <c r="A54" s="55">
        <v>38</v>
      </c>
      <c r="B54" s="55" t="s">
        <v>1804</v>
      </c>
      <c r="C54" s="59" t="s">
        <v>1548</v>
      </c>
      <c r="D54" s="59" t="s">
        <v>5347</v>
      </c>
      <c r="E54" s="59" t="s">
        <v>5348</v>
      </c>
      <c r="F54" s="60" t="s">
        <v>5443</v>
      </c>
      <c r="G54" s="48"/>
      <c r="H54" s="48"/>
      <c r="I54" s="32"/>
      <c r="J54" s="55" t="s">
        <v>1129</v>
      </c>
      <c r="K54" s="59" t="s">
        <v>7</v>
      </c>
    </row>
    <row r="55" ht="60" customHeight="1" spans="1:11">
      <c r="A55" s="55">
        <v>39</v>
      </c>
      <c r="B55" s="55" t="s">
        <v>1804</v>
      </c>
      <c r="C55" s="59" t="s">
        <v>1548</v>
      </c>
      <c r="D55" s="59" t="s">
        <v>5352</v>
      </c>
      <c r="E55" s="59" t="s">
        <v>5354</v>
      </c>
      <c r="F55" s="60" t="s">
        <v>5444</v>
      </c>
      <c r="G55" s="48"/>
      <c r="H55" s="48"/>
      <c r="I55" s="32"/>
      <c r="J55" s="55" t="s">
        <v>1129</v>
      </c>
      <c r="K55" s="59" t="s">
        <v>7</v>
      </c>
    </row>
    <row r="56" ht="60" customHeight="1" spans="1:11">
      <c r="A56" s="55">
        <v>40</v>
      </c>
      <c r="B56" s="55" t="s">
        <v>1804</v>
      </c>
      <c r="C56" s="59" t="s">
        <v>1548</v>
      </c>
      <c r="D56" s="59" t="s">
        <v>5357</v>
      </c>
      <c r="E56" s="59" t="s">
        <v>5359</v>
      </c>
      <c r="F56" s="60" t="s">
        <v>5445</v>
      </c>
      <c r="G56" s="48"/>
      <c r="H56" s="48"/>
      <c r="I56" s="32"/>
      <c r="J56" s="55" t="s">
        <v>1129</v>
      </c>
      <c r="K56" s="59" t="s">
        <v>7</v>
      </c>
    </row>
    <row r="57" ht="30" customHeight="1" spans="1:11">
      <c r="A57" s="55">
        <v>41</v>
      </c>
      <c r="B57" s="55" t="s">
        <v>1804</v>
      </c>
      <c r="C57" s="59" t="s">
        <v>1548</v>
      </c>
      <c r="D57" s="59" t="s">
        <v>5363</v>
      </c>
      <c r="E57" s="59" t="s">
        <v>5364</v>
      </c>
      <c r="F57" s="60" t="s">
        <v>1807</v>
      </c>
      <c r="G57" s="48"/>
      <c r="H57" s="48"/>
      <c r="I57" s="32"/>
      <c r="J57" s="55" t="s">
        <v>1129</v>
      </c>
      <c r="K57" s="59" t="s">
        <v>7</v>
      </c>
    </row>
    <row r="58" ht="75" customHeight="1" spans="1:11">
      <c r="A58" s="55">
        <v>42</v>
      </c>
      <c r="B58" s="55" t="s">
        <v>1804</v>
      </c>
      <c r="C58" s="59" t="s">
        <v>1548</v>
      </c>
      <c r="D58" s="59" t="s">
        <v>5367</v>
      </c>
      <c r="E58" s="59" t="s">
        <v>5368</v>
      </c>
      <c r="F58" s="60" t="s">
        <v>5446</v>
      </c>
      <c r="G58" s="48"/>
      <c r="H58" s="48"/>
      <c r="I58" s="32"/>
      <c r="J58" s="55" t="s">
        <v>1129</v>
      </c>
      <c r="K58" s="59" t="s">
        <v>7</v>
      </c>
    </row>
    <row r="59" ht="60" customHeight="1" spans="1:11">
      <c r="A59" s="55">
        <v>43</v>
      </c>
      <c r="B59" s="55" t="s">
        <v>1804</v>
      </c>
      <c r="C59" s="59" t="s">
        <v>1548</v>
      </c>
      <c r="D59" s="59" t="s">
        <v>5372</v>
      </c>
      <c r="E59" s="59" t="s">
        <v>5373</v>
      </c>
      <c r="F59" s="60" t="s">
        <v>5447</v>
      </c>
      <c r="G59" s="48"/>
      <c r="H59" s="48"/>
      <c r="I59" s="32"/>
      <c r="J59" s="55" t="s">
        <v>1129</v>
      </c>
      <c r="K59" s="59" t="s">
        <v>7</v>
      </c>
    </row>
    <row r="60" ht="30" customHeight="1" spans="1:11">
      <c r="A60" s="55">
        <v>44</v>
      </c>
      <c r="B60" s="55" t="s">
        <v>1804</v>
      </c>
      <c r="C60" s="59" t="s">
        <v>1548</v>
      </c>
      <c r="D60" s="59" t="s">
        <v>5377</v>
      </c>
      <c r="E60" s="59" t="s">
        <v>5378</v>
      </c>
      <c r="F60" s="60" t="s">
        <v>1807</v>
      </c>
      <c r="G60" s="48"/>
      <c r="H60" s="48"/>
      <c r="I60" s="32"/>
      <c r="J60" s="55" t="s">
        <v>1129</v>
      </c>
      <c r="K60" s="59" t="s">
        <v>7</v>
      </c>
    </row>
    <row r="61" ht="60" customHeight="1" spans="1:11">
      <c r="A61" s="55">
        <v>45</v>
      </c>
      <c r="B61" s="55" t="s">
        <v>1804</v>
      </c>
      <c r="C61" s="59" t="s">
        <v>1548</v>
      </c>
      <c r="D61" s="59" t="s">
        <v>5383</v>
      </c>
      <c r="E61" s="59" t="s">
        <v>5385</v>
      </c>
      <c r="F61" s="60" t="s">
        <v>5448</v>
      </c>
      <c r="G61" s="48"/>
      <c r="H61" s="48"/>
      <c r="I61" s="32"/>
      <c r="J61" s="55" t="s">
        <v>1129</v>
      </c>
      <c r="K61" s="59" t="s">
        <v>7</v>
      </c>
    </row>
    <row r="62" ht="30" customHeight="1" spans="1:11">
      <c r="A62" s="55">
        <v>46</v>
      </c>
      <c r="B62" s="55" t="s">
        <v>1804</v>
      </c>
      <c r="C62" s="59" t="s">
        <v>1548</v>
      </c>
      <c r="D62" s="59" t="s">
        <v>5388</v>
      </c>
      <c r="E62" s="59" t="s">
        <v>5390</v>
      </c>
      <c r="F62" s="60" t="s">
        <v>1807</v>
      </c>
      <c r="G62" s="48"/>
      <c r="H62" s="48"/>
      <c r="I62" s="32"/>
      <c r="J62" s="55" t="s">
        <v>1129</v>
      </c>
      <c r="K62" s="59" t="s">
        <v>7</v>
      </c>
    </row>
    <row r="63" ht="45" customHeight="1" spans="1:11">
      <c r="A63" s="55">
        <v>47</v>
      </c>
      <c r="B63" s="55" t="s">
        <v>1804</v>
      </c>
      <c r="C63" s="59" t="s">
        <v>1548</v>
      </c>
      <c r="D63" s="59" t="s">
        <v>5393</v>
      </c>
      <c r="E63" s="59" t="s">
        <v>5395</v>
      </c>
      <c r="F63" s="60" t="s">
        <v>5449</v>
      </c>
      <c r="G63" s="48"/>
      <c r="H63" s="48"/>
      <c r="I63" s="32"/>
      <c r="J63" s="55" t="s">
        <v>1129</v>
      </c>
      <c r="K63" s="59" t="s">
        <v>7</v>
      </c>
    </row>
    <row r="64" ht="30" customHeight="1" spans="1:11">
      <c r="A64" s="55">
        <v>48</v>
      </c>
      <c r="B64" s="55" t="s">
        <v>1804</v>
      </c>
      <c r="C64" s="59" t="s">
        <v>1548</v>
      </c>
      <c r="D64" s="59" t="s">
        <v>5398</v>
      </c>
      <c r="E64" s="59" t="s">
        <v>5399</v>
      </c>
      <c r="F64" s="60" t="s">
        <v>1807</v>
      </c>
      <c r="G64" s="48"/>
      <c r="H64" s="48"/>
      <c r="I64" s="32"/>
      <c r="J64" s="55" t="s">
        <v>1130</v>
      </c>
      <c r="K64" s="59" t="s">
        <v>7</v>
      </c>
    </row>
    <row r="65" ht="30" customHeight="1" spans="1:11">
      <c r="A65" s="55">
        <v>49</v>
      </c>
      <c r="B65" s="55" t="s">
        <v>1804</v>
      </c>
      <c r="C65" s="59" t="s">
        <v>1548</v>
      </c>
      <c r="D65" s="59" t="s">
        <v>5401</v>
      </c>
      <c r="E65" s="59" t="s">
        <v>5010</v>
      </c>
      <c r="F65" s="60" t="s">
        <v>1807</v>
      </c>
      <c r="G65" s="48"/>
      <c r="H65" s="48"/>
      <c r="I65" s="32"/>
      <c r="J65" s="55" t="s">
        <v>1129</v>
      </c>
      <c r="K65" s="59" t="s">
        <v>7</v>
      </c>
    </row>
    <row r="66" ht="15.75" spans="1:11">
      <c r="A66" s="58" t="s">
        <v>1818</v>
      </c>
      <c r="B66" s="48"/>
      <c r="C66" s="48"/>
      <c r="D66" s="48"/>
      <c r="E66" s="48"/>
      <c r="F66" s="48"/>
      <c r="G66" s="48"/>
      <c r="H66" s="48"/>
      <c r="I66" s="48"/>
      <c r="J66" s="48"/>
      <c r="K66" s="48"/>
    </row>
    <row r="67" ht="30" customHeight="1" spans="1:11">
      <c r="A67" s="55">
        <v>50</v>
      </c>
      <c r="B67" s="55" t="s">
        <v>1819</v>
      </c>
      <c r="C67" s="59" t="s">
        <v>5450</v>
      </c>
      <c r="D67" s="59" t="s">
        <v>4941</v>
      </c>
      <c r="E67" s="59" t="s">
        <v>4942</v>
      </c>
      <c r="F67" s="60" t="s">
        <v>4944</v>
      </c>
      <c r="G67" s="48"/>
      <c r="H67" s="48"/>
      <c r="I67" s="32"/>
      <c r="J67" s="55" t="s">
        <v>1129</v>
      </c>
      <c r="K67" s="59" t="s">
        <v>7</v>
      </c>
    </row>
    <row r="68" ht="30" customHeight="1" spans="1:11">
      <c r="A68" s="55">
        <v>51</v>
      </c>
      <c r="B68" s="55" t="s">
        <v>1819</v>
      </c>
      <c r="C68" s="59" t="s">
        <v>5450</v>
      </c>
      <c r="D68" s="59" t="s">
        <v>4947</v>
      </c>
      <c r="E68" s="59" t="s">
        <v>4948</v>
      </c>
      <c r="F68" s="60" t="s">
        <v>4950</v>
      </c>
      <c r="G68" s="48"/>
      <c r="H68" s="48"/>
      <c r="I68" s="32"/>
      <c r="J68" s="55" t="s">
        <v>1129</v>
      </c>
      <c r="K68" s="59" t="s">
        <v>7</v>
      </c>
    </row>
    <row r="69" ht="30" customHeight="1" spans="1:11">
      <c r="A69" s="55">
        <v>52</v>
      </c>
      <c r="B69" s="55" t="s">
        <v>1819</v>
      </c>
      <c r="C69" s="59" t="s">
        <v>5450</v>
      </c>
      <c r="D69" s="59" t="s">
        <v>4953</v>
      </c>
      <c r="E69" s="59" t="s">
        <v>4954</v>
      </c>
      <c r="F69" s="60" t="s">
        <v>4956</v>
      </c>
      <c r="G69" s="48"/>
      <c r="H69" s="48"/>
      <c r="I69" s="32"/>
      <c r="J69" s="55" t="s">
        <v>1129</v>
      </c>
      <c r="K69" s="59" t="s">
        <v>7</v>
      </c>
    </row>
    <row r="70" ht="30" customHeight="1" spans="1:11">
      <c r="A70" s="55">
        <v>53</v>
      </c>
      <c r="B70" s="55" t="s">
        <v>1819</v>
      </c>
      <c r="C70" s="59" t="s">
        <v>5450</v>
      </c>
      <c r="D70" s="59" t="s">
        <v>4958</v>
      </c>
      <c r="E70" s="59" t="s">
        <v>4959</v>
      </c>
      <c r="F70" s="60" t="s">
        <v>4961</v>
      </c>
      <c r="G70" s="48"/>
      <c r="H70" s="48"/>
      <c r="I70" s="32"/>
      <c r="J70" s="55" t="s">
        <v>1129</v>
      </c>
      <c r="K70" s="59" t="s">
        <v>7</v>
      </c>
    </row>
    <row r="71" ht="45" customHeight="1" spans="1:11">
      <c r="A71" s="55">
        <v>54</v>
      </c>
      <c r="B71" s="55" t="s">
        <v>1819</v>
      </c>
      <c r="C71" s="59" t="s">
        <v>5450</v>
      </c>
      <c r="D71" s="59" t="s">
        <v>4963</v>
      </c>
      <c r="E71" s="59" t="s">
        <v>4964</v>
      </c>
      <c r="F71" s="60" t="s">
        <v>4966</v>
      </c>
      <c r="G71" s="48"/>
      <c r="H71" s="48"/>
      <c r="I71" s="32"/>
      <c r="J71" s="55" t="s">
        <v>1129</v>
      </c>
      <c r="K71" s="59" t="s">
        <v>7</v>
      </c>
    </row>
    <row r="72" ht="30" customHeight="1" spans="1:11">
      <c r="A72" s="55">
        <v>55</v>
      </c>
      <c r="B72" s="55" t="s">
        <v>1819</v>
      </c>
      <c r="C72" s="59" t="s">
        <v>5450</v>
      </c>
      <c r="D72" s="59" t="s">
        <v>4968</v>
      </c>
      <c r="E72" s="59" t="s">
        <v>4969</v>
      </c>
      <c r="F72" s="60" t="s">
        <v>4971</v>
      </c>
      <c r="G72" s="48"/>
      <c r="H72" s="48"/>
      <c r="I72" s="32"/>
      <c r="J72" s="55" t="s">
        <v>1129</v>
      </c>
      <c r="K72" s="59" t="s">
        <v>7</v>
      </c>
    </row>
    <row r="73" ht="75" customHeight="1" spans="1:11">
      <c r="A73" s="55">
        <v>56</v>
      </c>
      <c r="B73" s="55" t="s">
        <v>1819</v>
      </c>
      <c r="C73" s="59" t="s">
        <v>5450</v>
      </c>
      <c r="D73" s="59" t="s">
        <v>4974</v>
      </c>
      <c r="E73" s="59" t="s">
        <v>4975</v>
      </c>
      <c r="F73" s="60" t="s">
        <v>4977</v>
      </c>
      <c r="G73" s="48"/>
      <c r="H73" s="48"/>
      <c r="I73" s="32"/>
      <c r="J73" s="55" t="s">
        <v>1129</v>
      </c>
      <c r="K73" s="59" t="s">
        <v>7</v>
      </c>
    </row>
    <row r="74" ht="45" customHeight="1" spans="1:11">
      <c r="A74" s="55">
        <v>57</v>
      </c>
      <c r="B74" s="55" t="s">
        <v>1819</v>
      </c>
      <c r="C74" s="59" t="s">
        <v>5450</v>
      </c>
      <c r="D74" s="59" t="s">
        <v>4980</v>
      </c>
      <c r="E74" s="59" t="s">
        <v>4981</v>
      </c>
      <c r="F74" s="60" t="s">
        <v>4983</v>
      </c>
      <c r="G74" s="48"/>
      <c r="H74" s="48"/>
      <c r="I74" s="32"/>
      <c r="J74" s="55" t="s">
        <v>1129</v>
      </c>
      <c r="K74" s="59" t="s">
        <v>7</v>
      </c>
    </row>
    <row r="75" ht="30" customHeight="1" spans="1:11">
      <c r="A75" s="55">
        <v>58</v>
      </c>
      <c r="B75" s="55" t="s">
        <v>1819</v>
      </c>
      <c r="C75" s="59" t="s">
        <v>5450</v>
      </c>
      <c r="D75" s="59" t="s">
        <v>4986</v>
      </c>
      <c r="E75" s="59" t="s">
        <v>4987</v>
      </c>
      <c r="F75" s="60" t="s">
        <v>4989</v>
      </c>
      <c r="G75" s="48"/>
      <c r="H75" s="48"/>
      <c r="I75" s="32"/>
      <c r="J75" s="55" t="s">
        <v>1129</v>
      </c>
      <c r="K75" s="59" t="s">
        <v>7</v>
      </c>
    </row>
    <row r="76" ht="45" customHeight="1" spans="1:11">
      <c r="A76" s="55">
        <v>59</v>
      </c>
      <c r="B76" s="55" t="s">
        <v>1819</v>
      </c>
      <c r="C76" s="59" t="s">
        <v>5450</v>
      </c>
      <c r="D76" s="59" t="s">
        <v>4991</v>
      </c>
      <c r="E76" s="59" t="s">
        <v>4992</v>
      </c>
      <c r="F76" s="60" t="s">
        <v>4994</v>
      </c>
      <c r="G76" s="48"/>
      <c r="H76" s="48"/>
      <c r="I76" s="32"/>
      <c r="J76" s="55" t="s">
        <v>1129</v>
      </c>
      <c r="K76" s="59" t="s">
        <v>7</v>
      </c>
    </row>
    <row r="77" ht="45" customHeight="1" spans="1:11">
      <c r="A77" s="55">
        <v>60</v>
      </c>
      <c r="B77" s="55" t="s">
        <v>1819</v>
      </c>
      <c r="C77" s="59" t="s">
        <v>5450</v>
      </c>
      <c r="D77" s="59" t="s">
        <v>4997</v>
      </c>
      <c r="E77" s="59" t="s">
        <v>4998</v>
      </c>
      <c r="F77" s="60" t="s">
        <v>5000</v>
      </c>
      <c r="G77" s="48"/>
      <c r="H77" s="48"/>
      <c r="I77" s="32"/>
      <c r="J77" s="55" t="s">
        <v>1129</v>
      </c>
      <c r="K77" s="59" t="s">
        <v>7</v>
      </c>
    </row>
    <row r="78" ht="30" customHeight="1" spans="1:11">
      <c r="A78" s="55">
        <v>61</v>
      </c>
      <c r="B78" s="55" t="s">
        <v>1819</v>
      </c>
      <c r="C78" s="59" t="s">
        <v>5450</v>
      </c>
      <c r="D78" s="59" t="s">
        <v>5003</v>
      </c>
      <c r="E78" s="59" t="s">
        <v>5004</v>
      </c>
      <c r="F78" s="60" t="s">
        <v>5006</v>
      </c>
      <c r="G78" s="48"/>
      <c r="H78" s="48"/>
      <c r="I78" s="32"/>
      <c r="J78" s="55" t="s">
        <v>1130</v>
      </c>
      <c r="K78" s="59" t="s">
        <v>7</v>
      </c>
    </row>
    <row r="79" ht="30" customHeight="1" spans="1:11">
      <c r="A79" s="55">
        <v>62</v>
      </c>
      <c r="B79" s="55" t="s">
        <v>1819</v>
      </c>
      <c r="C79" s="59" t="s">
        <v>5450</v>
      </c>
      <c r="D79" s="59" t="s">
        <v>5009</v>
      </c>
      <c r="E79" s="59" t="s">
        <v>5010</v>
      </c>
      <c r="F79" s="60" t="s">
        <v>5012</v>
      </c>
      <c r="G79" s="48"/>
      <c r="H79" s="48"/>
      <c r="I79" s="32"/>
      <c r="J79" s="55" t="s">
        <v>1129</v>
      </c>
      <c r="K79" s="59" t="s">
        <v>7</v>
      </c>
    </row>
    <row r="80" ht="30" customHeight="1" spans="1:11">
      <c r="A80" s="55">
        <v>63</v>
      </c>
      <c r="B80" s="55" t="s">
        <v>1819</v>
      </c>
      <c r="C80" s="59" t="s">
        <v>5450</v>
      </c>
      <c r="D80" s="59" t="s">
        <v>5016</v>
      </c>
      <c r="E80" s="59" t="s">
        <v>5017</v>
      </c>
      <c r="F80" s="60" t="s">
        <v>5019</v>
      </c>
      <c r="G80" s="48"/>
      <c r="H80" s="48"/>
      <c r="I80" s="32"/>
      <c r="J80" s="55" t="s">
        <v>1129</v>
      </c>
      <c r="K80" s="59" t="s">
        <v>7</v>
      </c>
    </row>
    <row r="81" ht="30" customHeight="1" spans="1:11">
      <c r="A81" s="55">
        <v>64</v>
      </c>
      <c r="B81" s="55" t="s">
        <v>1819</v>
      </c>
      <c r="C81" s="59" t="s">
        <v>5450</v>
      </c>
      <c r="D81" s="59" t="s">
        <v>5022</v>
      </c>
      <c r="E81" s="59" t="s">
        <v>5023</v>
      </c>
      <c r="F81" s="60" t="s">
        <v>5025</v>
      </c>
      <c r="G81" s="48"/>
      <c r="H81" s="48"/>
      <c r="I81" s="32"/>
      <c r="J81" s="55" t="s">
        <v>1129</v>
      </c>
      <c r="K81" s="59" t="s">
        <v>7</v>
      </c>
    </row>
    <row r="82" ht="30" customHeight="1" spans="1:11">
      <c r="A82" s="55">
        <v>65</v>
      </c>
      <c r="B82" s="55" t="s">
        <v>1819</v>
      </c>
      <c r="C82" s="59" t="s">
        <v>5450</v>
      </c>
      <c r="D82" s="59" t="s">
        <v>5027</v>
      </c>
      <c r="E82" s="59" t="s">
        <v>5028</v>
      </c>
      <c r="F82" s="60" t="s">
        <v>5030</v>
      </c>
      <c r="G82" s="48"/>
      <c r="H82" s="48"/>
      <c r="I82" s="32"/>
      <c r="J82" s="55" t="s">
        <v>1129</v>
      </c>
      <c r="K82" s="59" t="s">
        <v>7</v>
      </c>
    </row>
    <row r="83" ht="30" customHeight="1" spans="1:11">
      <c r="A83" s="55">
        <v>66</v>
      </c>
      <c r="B83" s="55" t="s">
        <v>1819</v>
      </c>
      <c r="C83" s="59" t="s">
        <v>5450</v>
      </c>
      <c r="D83" s="59" t="s">
        <v>5033</v>
      </c>
      <c r="E83" s="59" t="s">
        <v>5034</v>
      </c>
      <c r="F83" s="60" t="s">
        <v>5036</v>
      </c>
      <c r="G83" s="48"/>
      <c r="H83" s="48"/>
      <c r="I83" s="32"/>
      <c r="J83" s="55" t="s">
        <v>1129</v>
      </c>
      <c r="K83" s="59" t="s">
        <v>7</v>
      </c>
    </row>
    <row r="84" ht="30" customHeight="1" spans="1:11">
      <c r="A84" s="55">
        <v>67</v>
      </c>
      <c r="B84" s="55" t="s">
        <v>1819</v>
      </c>
      <c r="C84" s="59" t="s">
        <v>5450</v>
      </c>
      <c r="D84" s="59" t="s">
        <v>5039</v>
      </c>
      <c r="E84" s="59" t="s">
        <v>5040</v>
      </c>
      <c r="F84" s="60" t="s">
        <v>5042</v>
      </c>
      <c r="G84" s="48"/>
      <c r="H84" s="48"/>
      <c r="I84" s="32"/>
      <c r="J84" s="55" t="s">
        <v>1129</v>
      </c>
      <c r="K84" s="59" t="s">
        <v>7</v>
      </c>
    </row>
    <row r="85" ht="45" customHeight="1" spans="1:11">
      <c r="A85" s="55">
        <v>68</v>
      </c>
      <c r="B85" s="55" t="s">
        <v>1819</v>
      </c>
      <c r="C85" s="59" t="s">
        <v>5450</v>
      </c>
      <c r="D85" s="59" t="s">
        <v>5045</v>
      </c>
      <c r="E85" s="59" t="s">
        <v>5046</v>
      </c>
      <c r="F85" s="60" t="s">
        <v>5048</v>
      </c>
      <c r="G85" s="48"/>
      <c r="H85" s="48"/>
      <c r="I85" s="32"/>
      <c r="J85" s="55" t="s">
        <v>1129</v>
      </c>
      <c r="K85" s="59" t="s">
        <v>7</v>
      </c>
    </row>
    <row r="86" ht="30" customHeight="1" spans="1:11">
      <c r="A86" s="55">
        <v>69</v>
      </c>
      <c r="B86" s="55" t="s">
        <v>1819</v>
      </c>
      <c r="C86" s="59" t="s">
        <v>5450</v>
      </c>
      <c r="D86" s="59" t="s">
        <v>5051</v>
      </c>
      <c r="E86" s="59" t="s">
        <v>5052</v>
      </c>
      <c r="F86" s="60" t="s">
        <v>5054</v>
      </c>
      <c r="G86" s="48"/>
      <c r="H86" s="48"/>
      <c r="I86" s="32"/>
      <c r="J86" s="55" t="s">
        <v>1129</v>
      </c>
      <c r="K86" s="59" t="s">
        <v>7</v>
      </c>
    </row>
    <row r="87" ht="30" customHeight="1" spans="1:11">
      <c r="A87" s="55">
        <v>70</v>
      </c>
      <c r="B87" s="55" t="s">
        <v>1819</v>
      </c>
      <c r="C87" s="59" t="s">
        <v>5450</v>
      </c>
      <c r="D87" s="59" t="s">
        <v>5057</v>
      </c>
      <c r="E87" s="59" t="s">
        <v>5058</v>
      </c>
      <c r="F87" s="60" t="s">
        <v>5060</v>
      </c>
      <c r="G87" s="48"/>
      <c r="H87" s="48"/>
      <c r="I87" s="32"/>
      <c r="J87" s="55" t="s">
        <v>1129</v>
      </c>
      <c r="K87" s="59" t="s">
        <v>7</v>
      </c>
    </row>
    <row r="88" ht="45" customHeight="1" spans="1:11">
      <c r="A88" s="55">
        <v>71</v>
      </c>
      <c r="B88" s="55" t="s">
        <v>1819</v>
      </c>
      <c r="C88" s="59" t="s">
        <v>5450</v>
      </c>
      <c r="D88" s="59" t="s">
        <v>5063</v>
      </c>
      <c r="E88" s="59" t="s">
        <v>5064</v>
      </c>
      <c r="F88" s="60" t="s">
        <v>5066</v>
      </c>
      <c r="G88" s="48"/>
      <c r="H88" s="48"/>
      <c r="I88" s="32"/>
      <c r="J88" s="55" t="s">
        <v>1130</v>
      </c>
      <c r="K88" s="59" t="s">
        <v>7</v>
      </c>
    </row>
    <row r="89" ht="30" customHeight="1" spans="1:11">
      <c r="A89" s="55">
        <v>72</v>
      </c>
      <c r="B89" s="55" t="s">
        <v>1819</v>
      </c>
      <c r="C89" s="59" t="s">
        <v>5450</v>
      </c>
      <c r="D89" s="59" t="s">
        <v>5069</v>
      </c>
      <c r="E89" s="59" t="s">
        <v>5070</v>
      </c>
      <c r="F89" s="60" t="s">
        <v>5072</v>
      </c>
      <c r="G89" s="48"/>
      <c r="H89" s="48"/>
      <c r="I89" s="32"/>
      <c r="J89" s="55" t="s">
        <v>1129</v>
      </c>
      <c r="K89" s="59" t="s">
        <v>7</v>
      </c>
    </row>
    <row r="90" ht="30" customHeight="1" spans="1:11">
      <c r="A90" s="55">
        <v>73</v>
      </c>
      <c r="B90" s="55" t="s">
        <v>1819</v>
      </c>
      <c r="C90" s="59" t="s">
        <v>5450</v>
      </c>
      <c r="D90" s="59" t="s">
        <v>5075</v>
      </c>
      <c r="E90" s="59" t="s">
        <v>5076</v>
      </c>
      <c r="F90" s="60" t="s">
        <v>5078</v>
      </c>
      <c r="G90" s="48"/>
      <c r="H90" s="48"/>
      <c r="I90" s="32"/>
      <c r="J90" s="55" t="s">
        <v>1129</v>
      </c>
      <c r="K90" s="59" t="s">
        <v>7</v>
      </c>
    </row>
    <row r="91" ht="30" customHeight="1" spans="1:11">
      <c r="A91" s="55">
        <v>74</v>
      </c>
      <c r="B91" s="55" t="s">
        <v>1819</v>
      </c>
      <c r="C91" s="59" t="s">
        <v>5450</v>
      </c>
      <c r="D91" s="59" t="s">
        <v>5081</v>
      </c>
      <c r="E91" s="59" t="s">
        <v>5082</v>
      </c>
      <c r="F91" s="60" t="s">
        <v>5084</v>
      </c>
      <c r="G91" s="48"/>
      <c r="H91" s="48"/>
      <c r="I91" s="32"/>
      <c r="J91" s="55" t="s">
        <v>1130</v>
      </c>
      <c r="K91" s="59" t="s">
        <v>7</v>
      </c>
    </row>
  </sheetData>
  <mergeCells count="91">
    <mergeCell ref="A1:K1"/>
    <mergeCell ref="B3:C3"/>
    <mergeCell ref="B4:C4"/>
    <mergeCell ref="B5:C5"/>
    <mergeCell ref="A7:K7"/>
    <mergeCell ref="A8:B8"/>
    <mergeCell ref="G8:K8"/>
    <mergeCell ref="A9:B9"/>
    <mergeCell ref="G9:K9"/>
    <mergeCell ref="A10:B10"/>
    <mergeCell ref="G10:K10"/>
    <mergeCell ref="A11:B11"/>
    <mergeCell ref="G11:K11"/>
    <mergeCell ref="F13:I13"/>
    <mergeCell ref="A15:K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35:I35"/>
    <mergeCell ref="F36:I36"/>
    <mergeCell ref="F37:I37"/>
    <mergeCell ref="F38:I38"/>
    <mergeCell ref="F39:I39"/>
    <mergeCell ref="F40:I40"/>
    <mergeCell ref="A41:K41"/>
    <mergeCell ref="F42:I42"/>
    <mergeCell ref="F43:I43"/>
    <mergeCell ref="F44:I44"/>
    <mergeCell ref="F45:I45"/>
    <mergeCell ref="F46:I46"/>
    <mergeCell ref="F47:I47"/>
    <mergeCell ref="F48:I48"/>
    <mergeCell ref="F49:I49"/>
    <mergeCell ref="F50:I50"/>
    <mergeCell ref="F51:I51"/>
    <mergeCell ref="F52:I52"/>
    <mergeCell ref="F53:I53"/>
    <mergeCell ref="F54:I54"/>
    <mergeCell ref="F55:I55"/>
    <mergeCell ref="F56:I56"/>
    <mergeCell ref="F57:I57"/>
    <mergeCell ref="F58:I58"/>
    <mergeCell ref="F59:I59"/>
    <mergeCell ref="F60:I60"/>
    <mergeCell ref="F61:I61"/>
    <mergeCell ref="F62:I62"/>
    <mergeCell ref="F63:I63"/>
    <mergeCell ref="F64:I64"/>
    <mergeCell ref="F65:I65"/>
    <mergeCell ref="A66:K66"/>
    <mergeCell ref="F67:I67"/>
    <mergeCell ref="F68:I68"/>
    <mergeCell ref="F69:I69"/>
    <mergeCell ref="F70:I70"/>
    <mergeCell ref="F71:I71"/>
    <mergeCell ref="F72:I72"/>
    <mergeCell ref="F73:I73"/>
    <mergeCell ref="F74:I74"/>
    <mergeCell ref="F75:I75"/>
    <mergeCell ref="F76:I76"/>
    <mergeCell ref="F77:I77"/>
    <mergeCell ref="F78:I78"/>
    <mergeCell ref="F79:I79"/>
    <mergeCell ref="F80:I80"/>
    <mergeCell ref="F81:I81"/>
    <mergeCell ref="F82:I82"/>
    <mergeCell ref="F83:I83"/>
    <mergeCell ref="F84:I84"/>
    <mergeCell ref="F85:I85"/>
    <mergeCell ref="F86:I86"/>
    <mergeCell ref="F87:I87"/>
    <mergeCell ref="F88:I88"/>
    <mergeCell ref="F89:I89"/>
    <mergeCell ref="F90:I90"/>
    <mergeCell ref="F91:I91"/>
  </mergeCells>
  <conditionalFormatting sqref="J15:J91">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1"/>
  <sheetViews>
    <sheetView workbookViewId="0">
      <selection activeCell="A1" sqref="A1:H1"/>
    </sheetView>
  </sheetViews>
  <sheetFormatPr defaultColWidth="9" defaultRowHeight="15"/>
  <cols>
    <col min="1" max="1" width="9" customWidth="1"/>
    <col min="2" max="2" width="14" customWidth="1"/>
    <col min="3" max="3" width="40" customWidth="1"/>
    <col min="4" max="4" width="30" customWidth="1"/>
    <col min="5" max="5" width="10" customWidth="1"/>
    <col min="6" max="6" width="9" customWidth="1"/>
    <col min="7" max="12" width="10" customWidth="1"/>
    <col min="13" max="13" width="12" customWidth="1"/>
    <col min="14" max="15" width="10" customWidth="1"/>
  </cols>
  <sheetData>
    <row r="1" ht="20.25" spans="1:4">
      <c r="A1" s="20" t="s">
        <v>5451</v>
      </c>
    </row>
    <row r="3" ht="28.5" spans="1:4">
      <c r="A3" s="21" t="s">
        <v>1822</v>
      </c>
      <c r="B3" s="22" t="s">
        <v>1823</v>
      </c>
    </row>
    <row r="4" ht="28.5" spans="1:4">
      <c r="A4" s="21" t="s">
        <v>1544</v>
      </c>
      <c r="B4" s="23" t="s">
        <v>5452</v>
      </c>
    </row>
    <row r="5" ht="42.75" spans="1:4">
      <c r="A5" s="21" t="s">
        <v>1825</v>
      </c>
      <c r="B5" s="23" t="s">
        <v>1826</v>
      </c>
    </row>
    <row r="7" ht="15.75" spans="1:4">
      <c r="A7" s="24" t="s">
        <v>1827</v>
      </c>
    </row>
    <row r="8" ht="28.5" spans="1:4">
      <c r="A8" s="25" t="s">
        <v>211</v>
      </c>
      <c r="B8" s="25" t="s">
        <v>1828</v>
      </c>
      <c r="C8" s="25" t="s">
        <v>1829</v>
      </c>
      <c r="D8" s="25" t="s">
        <v>1830</v>
      </c>
    </row>
    <row r="9" ht="45" customHeight="1" spans="1:4">
      <c r="A9" s="26">
        <v>1</v>
      </c>
      <c r="B9" s="27" t="s">
        <v>1831</v>
      </c>
      <c r="C9" s="28" t="s">
        <v>5453</v>
      </c>
      <c r="D9" s="29" t="s">
        <v>1833</v>
      </c>
    </row>
    <row r="11" ht="15.75" spans="1:4">
      <c r="A11" s="30" t="s">
        <v>1837</v>
      </c>
    </row>
    <row r="12" spans="1:4">
      <c r="A12" s="31" t="s">
        <v>1838</v>
      </c>
      <c r="B12" s="32"/>
      <c r="C12" s="31" t="s">
        <v>1839</v>
      </c>
      <c r="D12" s="32"/>
    </row>
    <row r="13" customHeight="1" spans="1:4">
      <c r="A13" s="33" t="s">
        <v>1840</v>
      </c>
      <c r="B13" s="32"/>
      <c r="C13" s="34" t="s">
        <v>1841</v>
      </c>
      <c r="D13" s="32"/>
    </row>
    <row r="14" customHeight="1" spans="1:4">
      <c r="A14" s="33" t="s">
        <v>1842</v>
      </c>
      <c r="B14" s="32"/>
      <c r="C14" s="34" t="s">
        <v>1843</v>
      </c>
      <c r="D14" s="32"/>
    </row>
    <row r="15" customHeight="1" spans="1:4">
      <c r="A15" s="33" t="s">
        <v>1844</v>
      </c>
      <c r="B15" s="32"/>
      <c r="C15" s="34" t="s">
        <v>1845</v>
      </c>
      <c r="D15" s="32"/>
    </row>
    <row r="16" customHeight="1" spans="1:4">
      <c r="A16" s="33" t="s">
        <v>1846</v>
      </c>
      <c r="B16" s="32"/>
      <c r="C16" s="34" t="s">
        <v>1847</v>
      </c>
      <c r="D16" s="32"/>
    </row>
    <row r="17" customHeight="1" spans="1:15">
      <c r="A17" s="33" t="s">
        <v>1848</v>
      </c>
      <c r="B17" s="32"/>
      <c r="C17" s="34" t="s">
        <v>1849</v>
      </c>
      <c r="D17" s="32"/>
    </row>
    <row r="18" ht="30" customHeight="1" spans="1:15">
      <c r="A18" s="33" t="s">
        <v>1850</v>
      </c>
      <c r="B18" s="32"/>
      <c r="C18" s="34" t="s">
        <v>1851</v>
      </c>
      <c r="D18" s="32"/>
    </row>
    <row r="19" ht="30" customHeight="1" spans="1:15">
      <c r="A19" s="33" t="s">
        <v>1852</v>
      </c>
      <c r="B19" s="32"/>
      <c r="C19" s="34" t="s">
        <v>1853</v>
      </c>
      <c r="D19" s="32"/>
    </row>
    <row r="20" customHeight="1" spans="1:15">
      <c r="A20" s="33" t="s">
        <v>1854</v>
      </c>
      <c r="B20" s="32"/>
      <c r="C20" s="34" t="s">
        <v>1855</v>
      </c>
      <c r="D20" s="32"/>
    </row>
    <row r="22" ht="15.75" spans="1:15">
      <c r="A22" s="24" t="s">
        <v>1856</v>
      </c>
    </row>
    <row r="23" ht="28.5" spans="1:15">
      <c r="A23" s="31" t="s">
        <v>211</v>
      </c>
      <c r="B23" s="31" t="s">
        <v>1857</v>
      </c>
      <c r="C23" s="32"/>
      <c r="D23" s="31" t="s">
        <v>1858</v>
      </c>
    </row>
    <row r="24" ht="30" customHeight="1" spans="1:15">
      <c r="A24" s="35">
        <v>1</v>
      </c>
      <c r="B24" s="33" t="s">
        <v>5454</v>
      </c>
      <c r="C24" s="32"/>
      <c r="D24" s="34" t="s">
        <v>5455</v>
      </c>
    </row>
    <row r="25" customHeight="1" spans="1:15">
      <c r="A25" s="35">
        <v>2</v>
      </c>
      <c r="B25" s="33" t="s">
        <v>5456</v>
      </c>
      <c r="C25" s="32"/>
      <c r="D25" s="34" t="s">
        <v>5457</v>
      </c>
    </row>
    <row r="27" spans="1:15">
      <c r="A27" s="36" t="s">
        <v>1863</v>
      </c>
      <c r="B27" s="37"/>
      <c r="C27" s="37"/>
      <c r="D27" s="37"/>
      <c r="E27" s="37"/>
      <c r="F27" s="37"/>
      <c r="G27" s="37"/>
      <c r="H27" s="37"/>
      <c r="I27" s="37"/>
      <c r="J27" s="37"/>
      <c r="K27" s="37"/>
      <c r="L27" s="37"/>
      <c r="M27" s="37"/>
      <c r="N27" s="37"/>
      <c r="O27" s="37"/>
    </row>
    <row r="28" ht="32" customHeight="1" spans="1:15">
      <c r="A28" s="38" t="s">
        <v>211</v>
      </c>
      <c r="B28" s="38" t="s">
        <v>1828</v>
      </c>
      <c r="C28" s="38" t="s">
        <v>1864</v>
      </c>
      <c r="D28" s="38" t="s">
        <v>1865</v>
      </c>
      <c r="E28" s="38" t="s">
        <v>1866</v>
      </c>
      <c r="F28" s="38" t="s">
        <v>1867</v>
      </c>
      <c r="G28" s="38" t="s">
        <v>1868</v>
      </c>
      <c r="H28" s="38" t="s">
        <v>1869</v>
      </c>
      <c r="I28" s="38" t="s">
        <v>1870</v>
      </c>
      <c r="J28" s="38" t="s">
        <v>1871</v>
      </c>
      <c r="K28" s="38" t="s">
        <v>1872</v>
      </c>
      <c r="L28" s="38" t="s">
        <v>1873</v>
      </c>
      <c r="M28" s="38" t="s">
        <v>1874</v>
      </c>
      <c r="N28" s="38" t="s">
        <v>1875</v>
      </c>
      <c r="O28" s="38" t="s">
        <v>1876</v>
      </c>
    </row>
    <row r="29" ht="30" customHeight="1" spans="1:15">
      <c r="A29" s="39">
        <v>1</v>
      </c>
      <c r="B29" s="39" t="s">
        <v>1831</v>
      </c>
      <c r="C29" s="40" t="s">
        <v>5458</v>
      </c>
      <c r="D29" s="39" t="s">
        <v>1878</v>
      </c>
      <c r="E29" s="39">
        <v>20</v>
      </c>
      <c r="F29" s="39">
        <v>30</v>
      </c>
      <c r="G29" s="39">
        <v>43</v>
      </c>
      <c r="H29" s="39">
        <v>20715</v>
      </c>
      <c r="I29" s="39">
        <v>29</v>
      </c>
      <c r="J29" s="39">
        <v>49</v>
      </c>
      <c r="K29" s="39">
        <v>9</v>
      </c>
      <c r="L29" s="39">
        <v>184</v>
      </c>
      <c r="M29" s="39">
        <v>690.1</v>
      </c>
      <c r="N29" s="41">
        <v>0</v>
      </c>
      <c r="O29" s="39" t="s">
        <v>1385</v>
      </c>
    </row>
    <row r="30" customHeight="1" spans="1:15">
      <c r="A30" s="39">
        <v>2</v>
      </c>
      <c r="B30" s="39" t="s">
        <v>1831</v>
      </c>
      <c r="C30" s="40" t="s">
        <v>5459</v>
      </c>
      <c r="D30" s="39" t="s">
        <v>1878</v>
      </c>
      <c r="E30" s="39">
        <v>20</v>
      </c>
      <c r="F30" s="39">
        <v>30</v>
      </c>
      <c r="G30" s="39">
        <v>7</v>
      </c>
      <c r="H30" s="39">
        <v>102226</v>
      </c>
      <c r="I30" s="39">
        <v>6</v>
      </c>
      <c r="J30" s="39">
        <v>8</v>
      </c>
      <c r="K30" s="39">
        <v>1</v>
      </c>
      <c r="L30" s="39">
        <v>30</v>
      </c>
      <c r="M30" s="39">
        <v>3407</v>
      </c>
      <c r="N30" s="41">
        <v>0</v>
      </c>
      <c r="O30" s="39" t="s">
        <v>1385</v>
      </c>
    </row>
    <row r="31" ht="30" customHeight="1" spans="1:15">
      <c r="A31" s="39">
        <v>3</v>
      </c>
      <c r="B31" s="39" t="s">
        <v>1831</v>
      </c>
      <c r="C31" s="40" t="s">
        <v>5460</v>
      </c>
      <c r="D31" s="39" t="s">
        <v>1878</v>
      </c>
      <c r="E31" s="39">
        <v>20</v>
      </c>
      <c r="F31" s="39">
        <v>30</v>
      </c>
      <c r="G31" s="39">
        <v>18</v>
      </c>
      <c r="H31" s="39">
        <v>43335</v>
      </c>
      <c r="I31" s="39">
        <v>14</v>
      </c>
      <c r="J31" s="39">
        <v>21</v>
      </c>
      <c r="K31" s="39">
        <v>5</v>
      </c>
      <c r="L31" s="39">
        <v>114</v>
      </c>
      <c r="M31" s="39">
        <v>1444</v>
      </c>
      <c r="N31" s="41">
        <v>0</v>
      </c>
      <c r="O31" s="39" t="s">
        <v>1385</v>
      </c>
    </row>
    <row r="32" spans="1:15">
      <c r="A32" s="42" t="s">
        <v>1882</v>
      </c>
      <c r="B32" s="42" t="s">
        <v>1883</v>
      </c>
      <c r="C32" s="42" t="s">
        <v>1884</v>
      </c>
      <c r="D32" s="42" t="s">
        <v>1885</v>
      </c>
      <c r="H32" s="43">
        <f>SUM(H29:H31)</f>
        <v>166276</v>
      </c>
      <c r="I32" s="44">
        <f>IFERROR(SUMPRODUCT(H29:H31,I29:I31)/H32,0)</f>
        <v>10.9503536289062</v>
      </c>
      <c r="N32" s="45">
        <f>IFERROR(SUMPRODUCT(H29:H31,N29:N31)/H32,0)</f>
        <v>0</v>
      </c>
      <c r="O32" s="43" t="str">
        <f>IF(COUNTIF(O29:O31,"FAIL")=0,"PASS","FAIL")</f>
        <v>PASS</v>
      </c>
    </row>
    <row r="34" spans="1:15">
      <c r="A34" s="46" t="s">
        <v>1886</v>
      </c>
      <c r="B34" s="16"/>
      <c r="C34" s="16"/>
      <c r="D34" s="16"/>
      <c r="E34" s="17"/>
    </row>
    <row r="35" ht="30" spans="1:15">
      <c r="A35" s="38" t="s">
        <v>1887</v>
      </c>
      <c r="B35" s="38" t="s">
        <v>332</v>
      </c>
      <c r="C35" s="38" t="s">
        <v>1888</v>
      </c>
      <c r="D35" s="38" t="s">
        <v>1889</v>
      </c>
      <c r="E35" s="38" t="s">
        <v>430</v>
      </c>
    </row>
    <row r="36" ht="30" customHeight="1" spans="1:15">
      <c r="A36" s="47" t="s">
        <v>1831</v>
      </c>
      <c r="B36" s="47" t="s">
        <v>1878</v>
      </c>
      <c r="C36" s="47" t="s">
        <v>1890</v>
      </c>
      <c r="D36" s="47" t="s">
        <v>1891</v>
      </c>
      <c r="E36" s="47" t="s">
        <v>5458</v>
      </c>
    </row>
    <row r="37" ht="30" customHeight="1" spans="1:15">
      <c r="A37" s="47" t="s">
        <v>1831</v>
      </c>
      <c r="B37" s="47" t="s">
        <v>1878</v>
      </c>
      <c r="C37" s="47" t="s">
        <v>1890</v>
      </c>
      <c r="D37" s="47" t="s">
        <v>1891</v>
      </c>
      <c r="E37" s="47" t="s">
        <v>5459</v>
      </c>
    </row>
    <row r="38" ht="30" customHeight="1" spans="1:15">
      <c r="A38" s="47" t="s">
        <v>1831</v>
      </c>
      <c r="B38" s="47" t="s">
        <v>1878</v>
      </c>
      <c r="C38" s="47" t="s">
        <v>1890</v>
      </c>
      <c r="D38" s="47" t="s">
        <v>1891</v>
      </c>
      <c r="E38" s="47" t="s">
        <v>5460</v>
      </c>
    </row>
    <row r="40" spans="1:15">
      <c r="A40" s="46" t="s">
        <v>1893</v>
      </c>
      <c r="B40" s="16"/>
      <c r="C40" s="16"/>
      <c r="D40" s="16"/>
      <c r="E40" s="16"/>
      <c r="F40" s="16"/>
      <c r="G40" s="16"/>
      <c r="H40" s="16"/>
      <c r="I40" s="16"/>
      <c r="J40" s="16"/>
      <c r="K40" s="16"/>
      <c r="L40" s="16"/>
      <c r="M40" s="16"/>
      <c r="N40" s="16"/>
      <c r="O40" s="17"/>
    </row>
    <row r="41" customHeight="1" spans="1:15">
      <c r="A41" s="47" t="s">
        <v>1894</v>
      </c>
      <c r="B41" s="48"/>
      <c r="C41" s="48"/>
      <c r="D41" s="48"/>
      <c r="E41" s="48"/>
      <c r="F41" s="48"/>
      <c r="G41" s="48"/>
      <c r="H41" s="48"/>
      <c r="I41" s="48"/>
      <c r="J41" s="48"/>
      <c r="K41" s="48"/>
      <c r="L41" s="48"/>
      <c r="M41" s="48"/>
      <c r="N41" s="48"/>
      <c r="O41" s="32"/>
    </row>
  </sheetData>
  <mergeCells count="32">
    <mergeCell ref="A1:H1"/>
    <mergeCell ref="B3:H3"/>
    <mergeCell ref="B4:H4"/>
    <mergeCell ref="B5:H5"/>
    <mergeCell ref="A7:D7"/>
    <mergeCell ref="A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2:D22"/>
    <mergeCell ref="B23:C23"/>
    <mergeCell ref="B24:C24"/>
    <mergeCell ref="B25:C25"/>
    <mergeCell ref="A27:O27"/>
    <mergeCell ref="A34:E34"/>
    <mergeCell ref="A40:O40"/>
    <mergeCell ref="A41:O41"/>
  </mergeCells>
  <conditionalFormatting sqref="O29:O32">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workbookViewId="0">
      <selection activeCell="A1" sqref="A1:G1"/>
    </sheetView>
  </sheetViews>
  <sheetFormatPr defaultColWidth="9" defaultRowHeight="15" outlineLevelCol="6"/>
  <cols>
    <col min="1" max="1" width="34" customWidth="1"/>
    <col min="2" max="2" width="14" customWidth="1"/>
    <col min="3" max="6" width="13" customWidth="1"/>
    <col min="7" max="7" width="44" customWidth="1"/>
  </cols>
  <sheetData>
    <row r="1" ht="19.5" spans="1:7">
      <c r="A1" s="1" t="s">
        <v>1895</v>
      </c>
    </row>
    <row r="2" spans="1:7">
      <c r="A2" s="2" t="s">
        <v>226</v>
      </c>
      <c r="C2" s="2" t="s">
        <v>227</v>
      </c>
    </row>
    <row r="3" spans="1:7">
      <c r="A3" s="2" t="s">
        <v>528</v>
      </c>
      <c r="C3" s="2" t="s">
        <v>231</v>
      </c>
    </row>
    <row r="4" spans="1:7">
      <c r="A4" s="2" t="s">
        <v>1896</v>
      </c>
      <c r="C4" s="3" t="s">
        <v>50</v>
      </c>
    </row>
    <row r="5" spans="1:7">
      <c r="A5" s="2" t="s">
        <v>1897</v>
      </c>
      <c r="C5" s="2" t="s">
        <v>7</v>
      </c>
    </row>
    <row r="6" spans="1:7">
      <c r="A6" s="2" t="s">
        <v>1898</v>
      </c>
      <c r="C6" s="2" t="s">
        <v>233</v>
      </c>
    </row>
    <row r="7" spans="1:7">
      <c r="A7" s="2" t="s">
        <v>1899</v>
      </c>
      <c r="C7" s="2">
        <f>B16</f>
        <v>74</v>
      </c>
    </row>
    <row r="8" spans="1:7">
      <c r="A8" s="2" t="s">
        <v>1900</v>
      </c>
      <c r="C8" s="3" t="s">
        <v>1901</v>
      </c>
    </row>
    <row r="10" spans="1:7">
      <c r="A10" s="4" t="s">
        <v>1902</v>
      </c>
      <c r="B10" s="5"/>
      <c r="C10" s="5"/>
      <c r="D10" s="5"/>
      <c r="E10" s="5"/>
      <c r="F10" s="5"/>
      <c r="G10" s="6"/>
    </row>
    <row r="11" ht="32" customHeight="1" spans="1:7">
      <c r="A11" s="7" t="s">
        <v>1903</v>
      </c>
      <c r="B11" s="7" t="s">
        <v>1904</v>
      </c>
      <c r="C11" s="7" t="s">
        <v>1553</v>
      </c>
      <c r="D11" s="7" t="s">
        <v>1554</v>
      </c>
      <c r="E11" s="7" t="s">
        <v>1905</v>
      </c>
      <c r="F11" s="7" t="s">
        <v>1759</v>
      </c>
      <c r="G11" s="7" t="s">
        <v>1906</v>
      </c>
    </row>
    <row r="12" customHeight="1" spans="1:7">
      <c r="A12" s="8" t="s">
        <v>1907</v>
      </c>
      <c r="B12" s="9">
        <f>'PH6-Kiểm thử giao diện'!C14</f>
        <v>25</v>
      </c>
      <c r="C12" s="9">
        <f>'PH6-Kiểm thử giao diện'!E14</f>
        <v>22</v>
      </c>
      <c r="D12" s="9">
        <f>'PH6-Kiểm thử giao diện'!F14</f>
        <v>3</v>
      </c>
      <c r="E12" s="9">
        <f>'PH6-Kiểm thử giao diện'!D14</f>
        <v>0</v>
      </c>
      <c r="F12" s="10">
        <f>IFERROR(C12/B12,0)</f>
        <v>0.88</v>
      </c>
      <c r="G12" s="11" t="s">
        <v>5461</v>
      </c>
    </row>
    <row r="13" ht="30" customHeight="1" spans="1:7">
      <c r="A13" s="8" t="s">
        <v>1909</v>
      </c>
      <c r="B13" s="9">
        <f>'PH6-Kiểm thử API(Postman)'!A10</f>
        <v>24</v>
      </c>
      <c r="C13" s="9">
        <f>'PH6-Kiểm thử API(Postman)'!B10</f>
        <v>22</v>
      </c>
      <c r="D13" s="9">
        <f>'PH6-Kiểm thử API(Postman)'!C10</f>
        <v>2</v>
      </c>
      <c r="E13" s="9">
        <v>0</v>
      </c>
      <c r="F13" s="10">
        <f>IFERROR(C13/B13,0)</f>
        <v>0.916666666666667</v>
      </c>
      <c r="G13" s="11" t="s">
        <v>5462</v>
      </c>
    </row>
    <row r="14" ht="30" customHeight="1" spans="1:7">
      <c r="A14" s="8" t="s">
        <v>1911</v>
      </c>
      <c r="B14" s="9">
        <f>'PH6-Unit test'!B83</f>
        <v>25</v>
      </c>
      <c r="C14" s="9">
        <f>'PH6-Unit test'!B84</f>
        <v>21</v>
      </c>
      <c r="D14" s="9">
        <f>'PH6-Unit test'!B85</f>
        <v>4</v>
      </c>
      <c r="E14" s="9">
        <v>0</v>
      </c>
      <c r="F14" s="10">
        <f>IFERROR(C14/B14,0)</f>
        <v>0.84</v>
      </c>
      <c r="G14" s="11" t="s">
        <v>5463</v>
      </c>
    </row>
    <row r="15" ht="30" customHeight="1" spans="1:7">
      <c r="A15" s="8" t="s">
        <v>1913</v>
      </c>
      <c r="B15" s="9">
        <f>COUNTA('PH6-Kiểm thử hiệu năng'!O29:O31)</f>
        <v>3</v>
      </c>
      <c r="C15" s="9">
        <f>COUNTIF('PH6-Kiểm thử hiệu năng'!O29:O31,"PASS")</f>
        <v>3</v>
      </c>
      <c r="D15" s="9">
        <f>COUNTIF('PH6-Kiểm thử hiệu năng'!O29:O31,"FAIL")</f>
        <v>0</v>
      </c>
      <c r="E15" s="9">
        <v>0</v>
      </c>
      <c r="F15" s="10">
        <f>IFERROR(C15/B15,0)</f>
        <v>1</v>
      </c>
      <c r="G15" s="11" t="s">
        <v>1894</v>
      </c>
    </row>
    <row r="16" spans="1:7">
      <c r="A16" s="12" t="s">
        <v>1914</v>
      </c>
      <c r="B16" s="7">
        <f>SUMIF($A$12:$A$15,"&lt;&gt;Kiểm thử Hiệu năng*",B12:B15)</f>
        <v>74</v>
      </c>
      <c r="C16" s="7">
        <f>SUMIF($A$12:$A$15,"&lt;&gt;Kiểm thử Hiệu năng*",C12:C15)</f>
        <v>65</v>
      </c>
      <c r="D16" s="7">
        <f>SUMIF($A$12:$A$15,"&lt;&gt;Kiểm thử Hiệu năng*",D12:D15)</f>
        <v>9</v>
      </c>
      <c r="E16" s="7">
        <f>SUMIF($A$12:$A$15,"&lt;&gt;Kiểm thử Hiệu năng*",E12:E15)</f>
        <v>0</v>
      </c>
      <c r="F16" s="13">
        <f>IFERROR(C16/B16,0)</f>
        <v>0.878378378378378</v>
      </c>
      <c r="G16" s="12" t="s">
        <v>7</v>
      </c>
    </row>
    <row r="18" ht="400" customHeight="1" spans="1:7">
      <c r="A18" s="14" t="s">
        <v>1915</v>
      </c>
      <c r="B18" s="15" t="s">
        <v>5464</v>
      </c>
      <c r="C18" s="16"/>
      <c r="D18" s="16"/>
      <c r="E18" s="16"/>
      <c r="F18" s="16"/>
      <c r="G18" s="17"/>
    </row>
    <row r="19" ht="375" customHeight="1" spans="1:7">
      <c r="A19" s="18" t="s">
        <v>1917</v>
      </c>
      <c r="B19" s="15" t="s">
        <v>5465</v>
      </c>
      <c r="C19" s="16"/>
      <c r="D19" s="16"/>
      <c r="E19" s="17"/>
      <c r="F19" s="15" t="s">
        <v>5466</v>
      </c>
      <c r="G19" s="17"/>
    </row>
    <row r="20" ht="180" customHeight="1" spans="1:7">
      <c r="A20" s="14" t="s">
        <v>1920</v>
      </c>
      <c r="B20" s="15" t="s">
        <v>4928</v>
      </c>
      <c r="C20" s="16"/>
      <c r="D20" s="16"/>
      <c r="E20" s="16"/>
      <c r="F20" s="16"/>
      <c r="G20" s="17"/>
    </row>
    <row r="21" ht="45" customHeight="1" spans="1:7">
      <c r="A21" s="14" t="s">
        <v>1921</v>
      </c>
      <c r="B21" s="15" t="s">
        <v>5467</v>
      </c>
      <c r="C21" s="16"/>
      <c r="D21" s="16"/>
      <c r="E21" s="16"/>
      <c r="F21" s="16"/>
      <c r="G21" s="17"/>
    </row>
    <row r="22" ht="32" customHeight="1" spans="1:7">
      <c r="A22" s="19" t="s">
        <v>1923</v>
      </c>
    </row>
  </sheetData>
  <mergeCells count="21">
    <mergeCell ref="A1:G1"/>
    <mergeCell ref="A2:B2"/>
    <mergeCell ref="C2:F2"/>
    <mergeCell ref="A3:B3"/>
    <mergeCell ref="C3:F3"/>
    <mergeCell ref="A4:B4"/>
    <mergeCell ref="C4:F4"/>
    <mergeCell ref="A5:B5"/>
    <mergeCell ref="C5:F5"/>
    <mergeCell ref="A6:B6"/>
    <mergeCell ref="C6:F6"/>
    <mergeCell ref="A7:B7"/>
    <mergeCell ref="C7:F7"/>
    <mergeCell ref="A8:B8"/>
    <mergeCell ref="C8:F8"/>
    <mergeCell ref="A10:G10"/>
    <mergeCell ref="B18:G18"/>
    <mergeCell ref="B19:E19"/>
    <mergeCell ref="F19:G19"/>
    <mergeCell ref="B20:G20"/>
    <mergeCell ref="B21:G21"/>
  </mergeCells>
  <pageMargins left="0.75" right="0.75" top="1" bottom="1" header="0.5" footer="0.5"/>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
  <sheetViews>
    <sheetView workbookViewId="0">
      <pane xSplit="1" ySplit="13" topLeftCell="B14" activePane="bottomRight" state="frozen"/>
      <selection/>
      <selection pane="topRight"/>
      <selection pane="bottomLeft"/>
      <selection pane="bottomRight" activeCell="A1" sqref="A1:F1"/>
    </sheetView>
  </sheetViews>
  <sheetFormatPr defaultColWidth="9" defaultRowHeight="15" outlineLevelCol="5"/>
  <cols>
    <col min="1" max="1" width="57.7142857142857" customWidth="1"/>
    <col min="2" max="2" width="11.1428571428571" customWidth="1"/>
    <col min="3" max="3" width="13.5714285714286" customWidth="1"/>
    <col min="4" max="4" width="13" customWidth="1"/>
    <col min="5" max="5" width="38.5714285714286" customWidth="1"/>
    <col min="6" max="6" width="13" customWidth="1"/>
  </cols>
  <sheetData>
    <row r="1" ht="24" customHeight="1" spans="1:6">
      <c r="A1" s="144" t="s">
        <v>69</v>
      </c>
    </row>
    <row r="3" customHeight="1" spans="1:6">
      <c r="A3" s="145" t="s">
        <v>226</v>
      </c>
      <c r="B3" s="146" t="s">
        <v>227</v>
      </c>
      <c r="C3" s="147"/>
      <c r="D3" s="147"/>
      <c r="E3" s="147"/>
      <c r="F3" s="147"/>
    </row>
    <row r="4" customHeight="1" spans="1:6">
      <c r="A4" s="145" t="s">
        <v>528</v>
      </c>
      <c r="B4" s="146" t="s">
        <v>231</v>
      </c>
      <c r="C4" s="147"/>
      <c r="D4" s="147"/>
      <c r="E4" s="147"/>
      <c r="F4" s="147"/>
    </row>
    <row r="5" customHeight="1" spans="1:6">
      <c r="A5" s="145" t="s">
        <v>529</v>
      </c>
      <c r="B5" s="146" t="s">
        <v>51</v>
      </c>
      <c r="C5" s="147"/>
      <c r="D5" s="147"/>
      <c r="E5" s="147"/>
      <c r="F5" s="147"/>
    </row>
    <row r="6" customHeight="1" spans="1:6">
      <c r="A6" s="145" t="s">
        <v>422</v>
      </c>
      <c r="B6" s="146" t="s">
        <v>60</v>
      </c>
      <c r="C6" s="147"/>
      <c r="D6" s="147"/>
      <c r="E6" s="147"/>
      <c r="F6" s="147"/>
    </row>
    <row r="7" customHeight="1" spans="1:6">
      <c r="A7" s="145" t="s">
        <v>238</v>
      </c>
      <c r="B7" s="146" t="s">
        <v>7</v>
      </c>
      <c r="C7" s="147"/>
      <c r="D7" s="147"/>
      <c r="E7" s="147"/>
      <c r="F7" s="147"/>
    </row>
    <row r="8" customHeight="1" spans="1:6">
      <c r="A8" s="145" t="s">
        <v>421</v>
      </c>
      <c r="B8" s="146" t="s">
        <v>233</v>
      </c>
      <c r="C8" s="147"/>
      <c r="D8" s="147"/>
      <c r="E8" s="147"/>
      <c r="F8" s="147"/>
    </row>
    <row r="9" ht="45" customHeight="1" spans="1:6">
      <c r="A9" s="145" t="s">
        <v>423</v>
      </c>
      <c r="B9" s="148" t="s">
        <v>5468</v>
      </c>
      <c r="C9" s="147"/>
      <c r="D9" s="147"/>
      <c r="E9" s="147"/>
      <c r="F9" s="147"/>
    </row>
    <row r="10" customHeight="1" spans="1:6">
      <c r="A10" s="145" t="s">
        <v>532</v>
      </c>
      <c r="B10" s="146" t="s">
        <v>103</v>
      </c>
      <c r="C10" s="147"/>
      <c r="D10" s="147"/>
      <c r="E10" s="147"/>
      <c r="F10" s="147"/>
    </row>
    <row r="11" ht="90" customHeight="1" spans="1:6">
      <c r="A11" s="145" t="s">
        <v>935</v>
      </c>
      <c r="B11" s="148" t="s">
        <v>5469</v>
      </c>
      <c r="C11" s="147"/>
      <c r="D11" s="147"/>
      <c r="E11" s="147"/>
      <c r="F11" s="147"/>
    </row>
    <row r="13" spans="1:6">
      <c r="A13" s="149" t="s">
        <v>426</v>
      </c>
      <c r="B13" s="150" t="s">
        <v>427</v>
      </c>
      <c r="C13" s="150" t="s">
        <v>428</v>
      </c>
      <c r="D13" s="150" t="s">
        <v>429</v>
      </c>
      <c r="E13" s="150" t="s">
        <v>430</v>
      </c>
      <c r="F13" s="150" t="s">
        <v>431</v>
      </c>
    </row>
    <row r="14" spans="1:6">
      <c r="A14" s="149" t="s">
        <v>432</v>
      </c>
      <c r="B14" s="149"/>
      <c r="C14" s="149"/>
      <c r="D14" s="149"/>
      <c r="E14" s="149"/>
      <c r="F14" s="149"/>
    </row>
    <row r="15" ht="75" customHeight="1" spans="1:6">
      <c r="A15" s="151" t="s">
        <v>433</v>
      </c>
      <c r="B15" s="152"/>
      <c r="C15" s="152" t="s">
        <v>434</v>
      </c>
      <c r="D15" s="152"/>
      <c r="E15" s="151" t="s">
        <v>5470</v>
      </c>
      <c r="F15" s="152" t="s">
        <v>436</v>
      </c>
    </row>
    <row r="16" ht="45" customHeight="1" spans="1:6">
      <c r="A16" s="151" t="s">
        <v>437</v>
      </c>
      <c r="B16" s="152"/>
      <c r="C16" s="152" t="s">
        <v>434</v>
      </c>
      <c r="D16" s="152"/>
      <c r="E16" s="151" t="s">
        <v>5471</v>
      </c>
      <c r="F16" s="152" t="s">
        <v>436</v>
      </c>
    </row>
    <row r="17" ht="60" customHeight="1" spans="1:6">
      <c r="A17" s="151" t="s">
        <v>535</v>
      </c>
      <c r="B17" s="152"/>
      <c r="C17" s="152" t="s">
        <v>434</v>
      </c>
      <c r="D17" s="152"/>
      <c r="E17" s="151" t="s">
        <v>5472</v>
      </c>
      <c r="F17" s="152" t="s">
        <v>436</v>
      </c>
    </row>
    <row r="18" ht="45" customHeight="1" spans="1:6">
      <c r="A18" s="151" t="s">
        <v>537</v>
      </c>
      <c r="B18" s="152"/>
      <c r="C18" s="152" t="s">
        <v>434</v>
      </c>
      <c r="D18" s="152"/>
      <c r="E18" s="151" t="s">
        <v>5473</v>
      </c>
      <c r="F18" s="152" t="s">
        <v>436</v>
      </c>
    </row>
    <row r="19" ht="30" customHeight="1" spans="1:6">
      <c r="A19" s="151" t="s">
        <v>539</v>
      </c>
      <c r="B19" s="152"/>
      <c r="C19" s="152" t="s">
        <v>434</v>
      </c>
      <c r="D19" s="152"/>
      <c r="E19" s="151" t="s">
        <v>5474</v>
      </c>
      <c r="F19" s="152" t="s">
        <v>436</v>
      </c>
    </row>
    <row r="20" ht="30" customHeight="1" spans="1:6">
      <c r="A20" s="151" t="s">
        <v>541</v>
      </c>
      <c r="B20" s="152"/>
      <c r="C20" s="152" t="s">
        <v>434</v>
      </c>
      <c r="D20" s="152"/>
      <c r="E20" s="151" t="s">
        <v>3702</v>
      </c>
      <c r="F20" s="152" t="s">
        <v>436</v>
      </c>
    </row>
    <row r="21" ht="45" customHeight="1" spans="1:6">
      <c r="A21" s="151" t="s">
        <v>543</v>
      </c>
      <c r="B21" s="152"/>
      <c r="C21" s="152" t="s">
        <v>434</v>
      </c>
      <c r="D21" s="152"/>
      <c r="E21" s="151" t="s">
        <v>5475</v>
      </c>
      <c r="F21" s="152" t="s">
        <v>436</v>
      </c>
    </row>
    <row r="22" ht="30" customHeight="1" spans="1:6">
      <c r="A22" s="151" t="s">
        <v>449</v>
      </c>
      <c r="B22" s="152"/>
      <c r="C22" s="152"/>
      <c r="D22" s="152" t="s">
        <v>434</v>
      </c>
      <c r="E22" s="151" t="s">
        <v>5476</v>
      </c>
      <c r="F22" s="152" t="s">
        <v>436</v>
      </c>
    </row>
    <row r="23" ht="30" customHeight="1" spans="1:6">
      <c r="A23" s="151" t="s">
        <v>451</v>
      </c>
      <c r="B23" s="152"/>
      <c r="C23" s="152"/>
      <c r="D23" s="152" t="s">
        <v>434</v>
      </c>
      <c r="E23" s="151" t="s">
        <v>4246</v>
      </c>
      <c r="F23" s="152" t="s">
        <v>436</v>
      </c>
    </row>
    <row r="24" spans="1:6">
      <c r="A24" s="149" t="s">
        <v>547</v>
      </c>
      <c r="B24" s="149"/>
      <c r="C24" s="149"/>
      <c r="D24" s="149"/>
      <c r="E24" s="149"/>
      <c r="F24" s="149"/>
    </row>
    <row r="25" ht="75" customHeight="1" spans="1:6">
      <c r="A25" s="151" t="s">
        <v>548</v>
      </c>
      <c r="B25" s="152" t="s">
        <v>434</v>
      </c>
      <c r="C25" s="152"/>
      <c r="D25" s="152"/>
      <c r="E25" s="151" t="s">
        <v>5477</v>
      </c>
      <c r="F25" s="152" t="s">
        <v>436</v>
      </c>
    </row>
    <row r="26" ht="75" customHeight="1" spans="1:6">
      <c r="A26" s="151" t="s">
        <v>550</v>
      </c>
      <c r="B26" s="152" t="s">
        <v>434</v>
      </c>
      <c r="C26" s="152"/>
      <c r="D26" s="152"/>
      <c r="E26" s="151" t="s">
        <v>5478</v>
      </c>
      <c r="F26" s="152" t="s">
        <v>436</v>
      </c>
    </row>
    <row r="27" ht="60" customHeight="1" spans="1:6">
      <c r="A27" s="151" t="s">
        <v>552</v>
      </c>
      <c r="B27" s="152"/>
      <c r="C27" s="152" t="s">
        <v>434</v>
      </c>
      <c r="D27" s="152"/>
      <c r="E27" s="151" t="s">
        <v>5479</v>
      </c>
      <c r="F27" s="152" t="s">
        <v>436</v>
      </c>
    </row>
    <row r="28" customHeight="1" spans="1:6">
      <c r="A28" s="151" t="s">
        <v>554</v>
      </c>
      <c r="B28" s="152"/>
      <c r="C28" s="152" t="s">
        <v>434</v>
      </c>
      <c r="D28" s="152"/>
      <c r="E28" s="151" t="s">
        <v>5480</v>
      </c>
      <c r="F28" s="152" t="s">
        <v>436</v>
      </c>
    </row>
    <row r="29" customHeight="1" spans="1:6">
      <c r="A29" s="151" t="s">
        <v>556</v>
      </c>
      <c r="B29" s="152"/>
      <c r="C29" s="152"/>
      <c r="D29" s="152" t="s">
        <v>434</v>
      </c>
      <c r="E29" s="151" t="s">
        <v>5481</v>
      </c>
      <c r="F29" s="152" t="s">
        <v>7</v>
      </c>
    </row>
    <row r="30" customHeight="1" spans="1:6">
      <c r="A30" s="151" t="s">
        <v>224</v>
      </c>
      <c r="B30" s="152"/>
      <c r="C30" s="152"/>
      <c r="D30" s="152" t="s">
        <v>434</v>
      </c>
      <c r="E30" s="151" t="s">
        <v>5481</v>
      </c>
      <c r="F30" s="152" t="s">
        <v>7</v>
      </c>
    </row>
    <row r="31" customHeight="1" spans="1:6">
      <c r="A31" s="151" t="s">
        <v>558</v>
      </c>
      <c r="B31" s="152"/>
      <c r="C31" s="152"/>
      <c r="D31" s="152" t="s">
        <v>434</v>
      </c>
      <c r="E31" s="151" t="s">
        <v>5481</v>
      </c>
      <c r="F31" s="152" t="s">
        <v>7</v>
      </c>
    </row>
    <row r="32" customHeight="1" spans="1:6">
      <c r="A32" s="151" t="s">
        <v>246</v>
      </c>
      <c r="B32" s="152"/>
      <c r="C32" s="152"/>
      <c r="D32" s="152" t="s">
        <v>434</v>
      </c>
      <c r="E32" s="151" t="s">
        <v>5481</v>
      </c>
      <c r="F32" s="152" t="s">
        <v>7</v>
      </c>
    </row>
    <row r="33" ht="60" customHeight="1" spans="1:6">
      <c r="A33" s="151" t="s">
        <v>559</v>
      </c>
      <c r="B33" s="152" t="s">
        <v>434</v>
      </c>
      <c r="C33" s="152"/>
      <c r="D33" s="152"/>
      <c r="E33" s="151" t="s">
        <v>5482</v>
      </c>
      <c r="F33" s="152" t="s">
        <v>436</v>
      </c>
    </row>
    <row r="34" ht="30" customHeight="1" spans="1:6">
      <c r="A34" s="151" t="s">
        <v>561</v>
      </c>
      <c r="B34" s="152"/>
      <c r="C34" s="152" t="s">
        <v>434</v>
      </c>
      <c r="D34" s="152"/>
      <c r="E34" s="151" t="s">
        <v>5483</v>
      </c>
      <c r="F34" s="152" t="s">
        <v>436</v>
      </c>
    </row>
    <row r="35" spans="1:6">
      <c r="A35" s="149" t="s">
        <v>563</v>
      </c>
      <c r="B35" s="149"/>
      <c r="C35" s="149"/>
      <c r="D35" s="149"/>
      <c r="E35" s="149"/>
      <c r="F35" s="149"/>
    </row>
    <row r="36" ht="75" customHeight="1" spans="1:6">
      <c r="A36" s="151" t="s">
        <v>564</v>
      </c>
      <c r="B36" s="152" t="s">
        <v>434</v>
      </c>
      <c r="C36" s="152"/>
      <c r="D36" s="152"/>
      <c r="E36" s="151" t="s">
        <v>5484</v>
      </c>
      <c r="F36" s="152" t="s">
        <v>436</v>
      </c>
    </row>
    <row r="37" ht="30" customHeight="1" spans="1:6">
      <c r="A37" s="151" t="s">
        <v>566</v>
      </c>
      <c r="B37" s="152" t="s">
        <v>434</v>
      </c>
      <c r="C37" s="152"/>
      <c r="D37" s="152"/>
      <c r="E37" s="151" t="s">
        <v>5485</v>
      </c>
      <c r="F37" s="152" t="s">
        <v>436</v>
      </c>
    </row>
    <row r="38" ht="30" customHeight="1" spans="1:6">
      <c r="A38" s="151" t="s">
        <v>568</v>
      </c>
      <c r="B38" s="152"/>
      <c r="C38" s="152" t="s">
        <v>434</v>
      </c>
      <c r="D38" s="152"/>
      <c r="E38" s="151" t="s">
        <v>5486</v>
      </c>
      <c r="F38" s="152" t="s">
        <v>436</v>
      </c>
    </row>
    <row r="39" ht="30" customHeight="1" spans="1:6">
      <c r="A39" s="151" t="s">
        <v>570</v>
      </c>
      <c r="B39" s="152" t="s">
        <v>434</v>
      </c>
      <c r="C39" s="152"/>
      <c r="D39" s="152"/>
      <c r="E39" s="151" t="s">
        <v>5487</v>
      </c>
      <c r="F39" s="152" t="s">
        <v>436</v>
      </c>
    </row>
    <row r="40" ht="135" customHeight="1" spans="1:6">
      <c r="A40" s="151" t="s">
        <v>572</v>
      </c>
      <c r="B40" s="152"/>
      <c r="C40" s="152" t="s">
        <v>434</v>
      </c>
      <c r="D40" s="152"/>
      <c r="E40" s="151" t="s">
        <v>5488</v>
      </c>
      <c r="F40" s="152" t="s">
        <v>436</v>
      </c>
    </row>
    <row r="41" ht="75" customHeight="1" spans="1:6">
      <c r="A41" s="151" t="s">
        <v>574</v>
      </c>
      <c r="B41" s="152"/>
      <c r="C41" s="152" t="s">
        <v>434</v>
      </c>
      <c r="D41" s="152"/>
      <c r="E41" s="151" t="s">
        <v>5489</v>
      </c>
      <c r="F41" s="152" t="s">
        <v>7</v>
      </c>
    </row>
    <row r="42" ht="45" customHeight="1" spans="1:6">
      <c r="A42" s="151" t="s">
        <v>576</v>
      </c>
      <c r="B42" s="152"/>
      <c r="C42" s="152" t="s">
        <v>434</v>
      </c>
      <c r="D42" s="152"/>
      <c r="E42" s="151" t="s">
        <v>5490</v>
      </c>
      <c r="F42" s="152" t="s">
        <v>7</v>
      </c>
    </row>
    <row r="43" ht="75" customHeight="1" spans="1:6">
      <c r="A43" s="151" t="s">
        <v>578</v>
      </c>
      <c r="B43" s="152" t="s">
        <v>434</v>
      </c>
      <c r="C43" s="152"/>
      <c r="D43" s="152"/>
      <c r="E43" s="151" t="s">
        <v>5491</v>
      </c>
      <c r="F43" s="152" t="s">
        <v>7</v>
      </c>
    </row>
    <row r="44" customHeight="1" spans="1:6">
      <c r="A44" s="151" t="s">
        <v>580</v>
      </c>
      <c r="B44" s="152"/>
      <c r="C44" s="152" t="s">
        <v>434</v>
      </c>
      <c r="D44" s="152"/>
      <c r="E44" s="151" t="s">
        <v>5492</v>
      </c>
      <c r="F44" s="152" t="s">
        <v>436</v>
      </c>
    </row>
    <row r="45" ht="60" customHeight="1" spans="1:6">
      <c r="A45" s="151" t="s">
        <v>582</v>
      </c>
      <c r="B45" s="152" t="s">
        <v>434</v>
      </c>
      <c r="C45" s="152"/>
      <c r="D45" s="152"/>
      <c r="E45" s="151" t="s">
        <v>5493</v>
      </c>
      <c r="F45" s="152" t="s">
        <v>7</v>
      </c>
    </row>
    <row r="46" ht="75" customHeight="1" spans="1:6">
      <c r="A46" s="151" t="s">
        <v>584</v>
      </c>
      <c r="B46" s="152"/>
      <c r="C46" s="152" t="s">
        <v>434</v>
      </c>
      <c r="D46" s="152"/>
      <c r="E46" s="151" t="s">
        <v>5494</v>
      </c>
      <c r="F46" s="152" t="s">
        <v>7</v>
      </c>
    </row>
    <row r="47" spans="1:6">
      <c r="A47" s="153" t="s">
        <v>586</v>
      </c>
      <c r="B47" s="149"/>
      <c r="C47" s="149"/>
      <c r="D47" s="149"/>
      <c r="E47" s="149"/>
      <c r="F47" s="149"/>
    </row>
    <row r="48" ht="45" customHeight="1" spans="1:6">
      <c r="A48" s="151" t="s">
        <v>962</v>
      </c>
      <c r="B48" s="152"/>
      <c r="C48" s="152" t="s">
        <v>434</v>
      </c>
      <c r="D48" s="152"/>
      <c r="E48" s="151" t="s">
        <v>5495</v>
      </c>
      <c r="F48" s="152" t="s">
        <v>436</v>
      </c>
    </row>
    <row r="49" ht="120" customHeight="1" spans="1:6">
      <c r="A49" s="151" t="s">
        <v>589</v>
      </c>
      <c r="B49" s="152"/>
      <c r="C49" s="152" t="s">
        <v>434</v>
      </c>
      <c r="D49" s="152"/>
      <c r="E49" s="151" t="s">
        <v>5496</v>
      </c>
      <c r="F49" s="152" t="s">
        <v>436</v>
      </c>
    </row>
    <row r="50" ht="45" customHeight="1" spans="1:6">
      <c r="A50" s="151" t="s">
        <v>591</v>
      </c>
      <c r="B50" s="152"/>
      <c r="C50" s="152" t="s">
        <v>434</v>
      </c>
      <c r="D50" s="152"/>
      <c r="E50" s="151" t="s">
        <v>5497</v>
      </c>
      <c r="F50" s="152" t="s">
        <v>436</v>
      </c>
    </row>
    <row r="51" ht="30" customHeight="1" spans="1:6">
      <c r="A51" s="151" t="s">
        <v>593</v>
      </c>
      <c r="B51" s="152"/>
      <c r="C51" s="152" t="s">
        <v>434</v>
      </c>
      <c r="D51" s="152"/>
      <c r="E51" s="151" t="s">
        <v>5498</v>
      </c>
      <c r="F51" s="152" t="s">
        <v>436</v>
      </c>
    </row>
    <row r="52" ht="75" customHeight="1" spans="1:6">
      <c r="A52" s="151" t="s">
        <v>595</v>
      </c>
      <c r="B52" s="152"/>
      <c r="C52" s="152" t="s">
        <v>434</v>
      </c>
      <c r="D52" s="152"/>
      <c r="E52" s="151" t="s">
        <v>5499</v>
      </c>
      <c r="F52" s="152" t="s">
        <v>7</v>
      </c>
    </row>
    <row r="53" ht="45" customHeight="1" spans="1:6">
      <c r="A53" s="151" t="s">
        <v>597</v>
      </c>
      <c r="B53" s="152"/>
      <c r="C53" s="152" t="s">
        <v>434</v>
      </c>
      <c r="D53" s="152"/>
      <c r="E53" s="151" t="s">
        <v>5500</v>
      </c>
      <c r="F53" s="152" t="s">
        <v>436</v>
      </c>
    </row>
    <row r="54" ht="60" customHeight="1" spans="1:6">
      <c r="A54" s="151" t="s">
        <v>599</v>
      </c>
      <c r="B54" s="152"/>
      <c r="C54" s="152" t="s">
        <v>434</v>
      </c>
      <c r="D54" s="152"/>
      <c r="E54" s="151" t="s">
        <v>5501</v>
      </c>
      <c r="F54" s="152" t="s">
        <v>7</v>
      </c>
    </row>
    <row r="55" ht="45" customHeight="1" spans="1:6">
      <c r="A55" s="151" t="s">
        <v>601</v>
      </c>
      <c r="B55" s="152" t="s">
        <v>434</v>
      </c>
      <c r="C55" s="152"/>
      <c r="D55" s="152"/>
      <c r="E55" s="151" t="s">
        <v>5502</v>
      </c>
      <c r="F55" s="152" t="s">
        <v>7</v>
      </c>
    </row>
    <row r="56" ht="60" customHeight="1" spans="1:6">
      <c r="A56" s="151" t="s">
        <v>603</v>
      </c>
      <c r="B56" s="152"/>
      <c r="C56" s="152" t="s">
        <v>434</v>
      </c>
      <c r="D56" s="152"/>
      <c r="E56" s="151" t="s">
        <v>5503</v>
      </c>
      <c r="F56" s="152" t="s">
        <v>7</v>
      </c>
    </row>
    <row r="57" ht="75" customHeight="1" spans="1:6">
      <c r="A57" s="151" t="s">
        <v>605</v>
      </c>
      <c r="B57" s="152"/>
      <c r="C57" s="152" t="s">
        <v>434</v>
      </c>
      <c r="D57" s="152"/>
      <c r="E57" s="151" t="s">
        <v>5504</v>
      </c>
      <c r="F57" s="152" t="s">
        <v>7</v>
      </c>
    </row>
    <row r="58" ht="75" customHeight="1" spans="1:6">
      <c r="A58" s="151" t="s">
        <v>607</v>
      </c>
      <c r="B58" s="152"/>
      <c r="C58" s="152" t="s">
        <v>434</v>
      </c>
      <c r="D58" s="152"/>
      <c r="E58" s="151" t="s">
        <v>5505</v>
      </c>
      <c r="F58" s="152" t="s">
        <v>7</v>
      </c>
    </row>
    <row r="59" ht="60" customHeight="1" spans="1:6">
      <c r="A59" s="151" t="s">
        <v>609</v>
      </c>
      <c r="B59" s="152" t="s">
        <v>434</v>
      </c>
      <c r="C59" s="152"/>
      <c r="D59" s="152"/>
      <c r="E59" s="151" t="s">
        <v>5506</v>
      </c>
      <c r="F59" s="152" t="s">
        <v>7</v>
      </c>
    </row>
    <row r="60" spans="1:6">
      <c r="A60" s="153" t="s">
        <v>611</v>
      </c>
      <c r="B60" s="149"/>
      <c r="C60" s="149"/>
      <c r="D60" s="149"/>
      <c r="E60" s="149"/>
      <c r="F60" s="149"/>
    </row>
    <row r="61" ht="60" customHeight="1" spans="1:6">
      <c r="A61" s="151" t="s">
        <v>612</v>
      </c>
      <c r="B61" s="152"/>
      <c r="C61" s="152" t="s">
        <v>434</v>
      </c>
      <c r="D61" s="152"/>
      <c r="E61" s="151" t="s">
        <v>5507</v>
      </c>
      <c r="F61" s="152" t="s">
        <v>436</v>
      </c>
    </row>
    <row r="62" ht="60" customHeight="1" spans="1:6">
      <c r="A62" s="151" t="s">
        <v>614</v>
      </c>
      <c r="B62" s="152" t="s">
        <v>434</v>
      </c>
      <c r="C62" s="152"/>
      <c r="D62" s="152"/>
      <c r="E62" s="151" t="s">
        <v>5508</v>
      </c>
      <c r="F62" s="152" t="s">
        <v>436</v>
      </c>
    </row>
    <row r="63" ht="45" customHeight="1" spans="1:6">
      <c r="A63" s="151" t="s">
        <v>616</v>
      </c>
      <c r="B63" s="152" t="s">
        <v>434</v>
      </c>
      <c r="C63" s="152"/>
      <c r="D63" s="152"/>
      <c r="E63" s="151" t="s">
        <v>5509</v>
      </c>
      <c r="F63" s="152" t="s">
        <v>7</v>
      </c>
    </row>
    <row r="64" ht="60" customHeight="1" spans="1:6">
      <c r="A64" s="151" t="s">
        <v>978</v>
      </c>
      <c r="B64" s="152"/>
      <c r="C64" s="152" t="s">
        <v>434</v>
      </c>
      <c r="D64" s="152"/>
      <c r="E64" s="151" t="s">
        <v>5510</v>
      </c>
      <c r="F64" s="152" t="s">
        <v>436</v>
      </c>
    </row>
    <row r="65" ht="30" customHeight="1" spans="1:6">
      <c r="A65" s="151" t="s">
        <v>620</v>
      </c>
      <c r="B65" s="152"/>
      <c r="C65" s="152" t="s">
        <v>434</v>
      </c>
      <c r="D65" s="152"/>
      <c r="E65" s="151" t="s">
        <v>5511</v>
      </c>
      <c r="F65" s="152" t="s">
        <v>7</v>
      </c>
    </row>
    <row r="66" ht="75" customHeight="1" spans="1:6">
      <c r="A66" s="151" t="s">
        <v>622</v>
      </c>
      <c r="B66" s="152"/>
      <c r="C66" s="152" t="s">
        <v>434</v>
      </c>
      <c r="D66" s="152"/>
      <c r="E66" s="151" t="s">
        <v>5512</v>
      </c>
      <c r="F66" s="152" t="s">
        <v>7</v>
      </c>
    </row>
    <row r="67" ht="25.5" spans="1:6">
      <c r="A67" s="153" t="s">
        <v>624</v>
      </c>
      <c r="B67" s="149"/>
      <c r="C67" s="149"/>
      <c r="D67" s="149"/>
      <c r="E67" s="149"/>
      <c r="F67" s="149"/>
    </row>
    <row r="68" ht="60" customHeight="1" spans="1:6">
      <c r="A68" s="151" t="s">
        <v>625</v>
      </c>
      <c r="B68" s="152"/>
      <c r="C68" s="152" t="s">
        <v>434</v>
      </c>
      <c r="D68" s="152"/>
      <c r="E68" s="151" t="s">
        <v>5513</v>
      </c>
      <c r="F68" s="152" t="s">
        <v>436</v>
      </c>
    </row>
    <row r="69" ht="60" customHeight="1" spans="1:6">
      <c r="A69" s="151" t="s">
        <v>627</v>
      </c>
      <c r="B69" s="152" t="s">
        <v>434</v>
      </c>
      <c r="C69" s="152"/>
      <c r="D69" s="152"/>
      <c r="E69" s="151" t="s">
        <v>5514</v>
      </c>
      <c r="F69" s="152" t="s">
        <v>7</v>
      </c>
    </row>
    <row r="70" customHeight="1" spans="1:6">
      <c r="A70" s="151" t="s">
        <v>629</v>
      </c>
      <c r="B70" s="152"/>
      <c r="C70" s="152" t="s">
        <v>434</v>
      </c>
      <c r="D70" s="152"/>
      <c r="E70" s="151" t="s">
        <v>5515</v>
      </c>
      <c r="F70" s="152" t="s">
        <v>7</v>
      </c>
    </row>
    <row r="71" ht="30" customHeight="1" spans="1:6">
      <c r="A71" s="151" t="s">
        <v>631</v>
      </c>
      <c r="B71" s="152"/>
      <c r="C71" s="152" t="s">
        <v>434</v>
      </c>
      <c r="D71" s="152"/>
      <c r="E71" s="151" t="s">
        <v>5516</v>
      </c>
      <c r="F71" s="152" t="s">
        <v>7</v>
      </c>
    </row>
    <row r="72" ht="45" customHeight="1" spans="1:6">
      <c r="A72" s="151" t="s">
        <v>633</v>
      </c>
      <c r="B72" s="152" t="s">
        <v>434</v>
      </c>
      <c r="C72" s="152"/>
      <c r="D72" s="152"/>
      <c r="E72" s="151" t="s">
        <v>5517</v>
      </c>
      <c r="F72" s="152" t="s">
        <v>7</v>
      </c>
    </row>
    <row r="73" ht="45" customHeight="1" spans="1:6">
      <c r="A73" s="151" t="s">
        <v>635</v>
      </c>
      <c r="B73" s="152"/>
      <c r="C73" s="152" t="s">
        <v>434</v>
      </c>
      <c r="D73" s="152"/>
      <c r="E73" s="151" t="s">
        <v>5518</v>
      </c>
      <c r="F73" s="152" t="s">
        <v>7</v>
      </c>
    </row>
    <row r="74" ht="45" customHeight="1" spans="1:6">
      <c r="A74" s="151" t="s">
        <v>637</v>
      </c>
      <c r="B74" s="152"/>
      <c r="C74" s="152" t="s">
        <v>434</v>
      </c>
      <c r="D74" s="152"/>
      <c r="E74" s="151" t="s">
        <v>5519</v>
      </c>
      <c r="F74" s="152" t="s">
        <v>436</v>
      </c>
    </row>
    <row r="75" ht="45" customHeight="1" spans="1:6">
      <c r="A75" s="151" t="s">
        <v>639</v>
      </c>
      <c r="B75" s="152"/>
      <c r="C75" s="152" t="s">
        <v>434</v>
      </c>
      <c r="D75" s="152"/>
      <c r="E75" s="151" t="s">
        <v>5520</v>
      </c>
      <c r="F75" s="152" t="s">
        <v>7</v>
      </c>
    </row>
    <row r="76" ht="45" customHeight="1" spans="1:6">
      <c r="A76" s="151" t="s">
        <v>641</v>
      </c>
      <c r="B76" s="152" t="s">
        <v>434</v>
      </c>
      <c r="C76" s="152"/>
      <c r="D76" s="152"/>
      <c r="E76" s="151" t="s">
        <v>5521</v>
      </c>
      <c r="F76" s="152" t="s">
        <v>436</v>
      </c>
    </row>
    <row r="77" customHeight="1" spans="1:6">
      <c r="A77" s="151" t="s">
        <v>643</v>
      </c>
      <c r="B77" s="152" t="s">
        <v>434</v>
      </c>
      <c r="C77" s="152"/>
      <c r="D77" s="152"/>
      <c r="E77" s="151" t="s">
        <v>5522</v>
      </c>
      <c r="F77" s="152" t="s">
        <v>7</v>
      </c>
    </row>
    <row r="78" ht="45" customHeight="1" spans="1:6">
      <c r="A78" s="151" t="s">
        <v>645</v>
      </c>
      <c r="B78" s="152"/>
      <c r="C78" s="152" t="s">
        <v>434</v>
      </c>
      <c r="D78" s="152"/>
      <c r="E78" s="151" t="s">
        <v>5523</v>
      </c>
      <c r="F78" s="152" t="s">
        <v>436</v>
      </c>
    </row>
    <row r="79" customHeight="1" spans="1:6">
      <c r="A79" s="151" t="s">
        <v>647</v>
      </c>
      <c r="B79" s="152"/>
      <c r="C79" s="152"/>
      <c r="D79" s="152" t="s">
        <v>434</v>
      </c>
      <c r="E79" s="151" t="s">
        <v>3752</v>
      </c>
      <c r="F79" s="152" t="s">
        <v>7</v>
      </c>
    </row>
    <row r="80" customHeight="1" spans="1:6">
      <c r="A80" s="151" t="s">
        <v>649</v>
      </c>
      <c r="B80" s="152" t="s">
        <v>434</v>
      </c>
      <c r="C80" s="152"/>
      <c r="D80" s="152"/>
      <c r="E80" s="151" t="s">
        <v>5524</v>
      </c>
      <c r="F80" s="152" t="s">
        <v>7</v>
      </c>
    </row>
    <row r="81" ht="45" customHeight="1" spans="1:6">
      <c r="A81" s="151" t="s">
        <v>650</v>
      </c>
      <c r="B81" s="152" t="s">
        <v>434</v>
      </c>
      <c r="C81" s="152"/>
      <c r="D81" s="152"/>
      <c r="E81" s="151" t="s">
        <v>5525</v>
      </c>
      <c r="F81" s="152" t="s">
        <v>436</v>
      </c>
    </row>
    <row r="82" ht="60" customHeight="1" spans="1:6">
      <c r="A82" s="151" t="s">
        <v>652</v>
      </c>
      <c r="B82" s="152" t="s">
        <v>434</v>
      </c>
      <c r="C82" s="152"/>
      <c r="D82" s="152"/>
      <c r="E82" s="151" t="s">
        <v>5526</v>
      </c>
      <c r="F82" s="152" t="s">
        <v>436</v>
      </c>
    </row>
    <row r="83" ht="30" customHeight="1" spans="1:6">
      <c r="A83" s="151" t="s">
        <v>654</v>
      </c>
      <c r="B83" s="152" t="s">
        <v>434</v>
      </c>
      <c r="C83" s="152"/>
      <c r="D83" s="152"/>
      <c r="E83" s="151" t="s">
        <v>5527</v>
      </c>
      <c r="F83" s="152" t="s">
        <v>7</v>
      </c>
    </row>
    <row r="84" ht="30" customHeight="1" spans="1:6">
      <c r="A84" s="151" t="s">
        <v>656</v>
      </c>
      <c r="B84" s="152"/>
      <c r="C84" s="152" t="s">
        <v>434</v>
      </c>
      <c r="D84" s="152"/>
      <c r="E84" s="151" t="s">
        <v>5528</v>
      </c>
      <c r="F84" s="152" t="s">
        <v>7</v>
      </c>
    </row>
    <row r="85" ht="30" customHeight="1" spans="1:6">
      <c r="A85" s="151" t="s">
        <v>658</v>
      </c>
      <c r="B85" s="152" t="s">
        <v>434</v>
      </c>
      <c r="C85" s="152"/>
      <c r="D85" s="152"/>
      <c r="E85" s="151" t="s">
        <v>5529</v>
      </c>
      <c r="F85" s="152" t="s">
        <v>7</v>
      </c>
    </row>
    <row r="86" ht="45" customHeight="1" spans="1:6">
      <c r="A86" s="151" t="s">
        <v>660</v>
      </c>
      <c r="B86" s="152"/>
      <c r="C86" s="152" t="s">
        <v>434</v>
      </c>
      <c r="D86" s="152"/>
      <c r="E86" s="151" t="s">
        <v>5530</v>
      </c>
      <c r="F86" s="152" t="s">
        <v>436</v>
      </c>
    </row>
    <row r="87" ht="30" customHeight="1" spans="1:6">
      <c r="A87" s="151" t="s">
        <v>662</v>
      </c>
      <c r="B87" s="152" t="s">
        <v>434</v>
      </c>
      <c r="C87" s="152"/>
      <c r="D87" s="152"/>
      <c r="E87" s="151" t="s">
        <v>5531</v>
      </c>
      <c r="F87" s="152" t="s">
        <v>7</v>
      </c>
    </row>
    <row r="88" ht="105" customHeight="1" spans="1:6">
      <c r="A88" s="151" t="s">
        <v>660</v>
      </c>
      <c r="B88" s="152"/>
      <c r="C88" s="152" t="s">
        <v>434</v>
      </c>
      <c r="D88" s="152"/>
      <c r="E88" s="151" t="s">
        <v>5532</v>
      </c>
      <c r="F88" s="152" t="s">
        <v>436</v>
      </c>
    </row>
    <row r="89" ht="30" customHeight="1" spans="1:6">
      <c r="A89" s="151" t="s">
        <v>665</v>
      </c>
      <c r="B89" s="152"/>
      <c r="C89" s="152" t="s">
        <v>434</v>
      </c>
      <c r="D89" s="152"/>
      <c r="E89" s="151" t="s">
        <v>5533</v>
      </c>
      <c r="F89" s="152" t="s">
        <v>7</v>
      </c>
    </row>
    <row r="90" customHeight="1" spans="1:6">
      <c r="A90" s="151" t="s">
        <v>660</v>
      </c>
      <c r="B90" s="152"/>
      <c r="C90" s="152"/>
      <c r="D90" s="152" t="s">
        <v>434</v>
      </c>
      <c r="E90" s="151" t="s">
        <v>5534</v>
      </c>
      <c r="F90" s="152" t="s">
        <v>436</v>
      </c>
    </row>
    <row r="91" spans="1:6">
      <c r="A91" s="149" t="s">
        <v>519</v>
      </c>
      <c r="B91" s="150">
        <f>COUNTIF(B14:B90,"x")</f>
        <v>22</v>
      </c>
      <c r="C91" s="150">
        <f>COUNTIF(C14:C90,"x")</f>
        <v>41</v>
      </c>
      <c r="D91" s="150">
        <f>COUNTIF(D14:D90,"x")</f>
        <v>8</v>
      </c>
    </row>
    <row r="93" spans="1:6">
      <c r="A93" s="149" t="s">
        <v>1004</v>
      </c>
      <c r="B93" s="154"/>
      <c r="C93" s="154"/>
      <c r="D93" s="154"/>
      <c r="E93" s="154"/>
      <c r="F93" s="155"/>
    </row>
    <row r="94" ht="90" customHeight="1" spans="1:6">
      <c r="A94" s="151" t="s">
        <v>5535</v>
      </c>
      <c r="B94" s="156"/>
      <c r="C94" s="156"/>
      <c r="D94" s="156"/>
      <c r="E94" s="156"/>
      <c r="F94" s="157"/>
    </row>
    <row r="95" spans="1:6">
      <c r="A95" s="149" t="s">
        <v>522</v>
      </c>
      <c r="B95" s="154"/>
      <c r="C95" s="154"/>
      <c r="D95" s="154"/>
      <c r="E95" s="154"/>
      <c r="F95" s="155"/>
    </row>
    <row r="96" ht="135" customHeight="1" spans="1:6">
      <c r="A96" s="151" t="s">
        <v>5536</v>
      </c>
      <c r="B96" s="156"/>
      <c r="C96" s="156"/>
      <c r="D96" s="156"/>
      <c r="E96" s="156"/>
      <c r="F96" s="157"/>
    </row>
    <row r="97" spans="1:6">
      <c r="A97" s="158" t="s">
        <v>524</v>
      </c>
      <c r="B97" s="156"/>
      <c r="C97" s="156"/>
      <c r="D97" s="156"/>
      <c r="E97" s="156"/>
      <c r="F97" s="157"/>
    </row>
    <row r="98" spans="1:6">
      <c r="A98" s="158" t="s">
        <v>525</v>
      </c>
      <c r="B98" s="156"/>
      <c r="C98" s="156"/>
      <c r="D98" s="156"/>
      <c r="E98" s="156"/>
      <c r="F98" s="157"/>
    </row>
    <row r="99" spans="1:6">
      <c r="A99" s="158" t="s">
        <v>526</v>
      </c>
      <c r="B99" s="156"/>
      <c r="C99" s="156"/>
      <c r="D99" s="156"/>
      <c r="E99" s="156"/>
      <c r="F99" s="157"/>
    </row>
  </sheetData>
  <mergeCells count="17">
    <mergeCell ref="A1:F1"/>
    <mergeCell ref="B3:F3"/>
    <mergeCell ref="B4:F4"/>
    <mergeCell ref="B5:F5"/>
    <mergeCell ref="B6:F6"/>
    <mergeCell ref="B7:F7"/>
    <mergeCell ref="B8:F8"/>
    <mergeCell ref="B9:F9"/>
    <mergeCell ref="B10:F10"/>
    <mergeCell ref="B11:F11"/>
    <mergeCell ref="A93:F93"/>
    <mergeCell ref="A94:F94"/>
    <mergeCell ref="A95:F95"/>
    <mergeCell ref="A96:F96"/>
    <mergeCell ref="A97:F97"/>
    <mergeCell ref="A98:F98"/>
    <mergeCell ref="A99:F99"/>
  </mergeCells>
  <pageMargins left="0.75" right="0.75" top="1" bottom="1" header="0.5" footer="0.5"/>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0"/>
  <sheetViews>
    <sheetView workbookViewId="0">
      <pane xSplit="1" ySplit="12" topLeftCell="B13" activePane="bottomRight" state="frozen"/>
      <selection/>
      <selection pane="topRight"/>
      <selection pane="bottomLeft"/>
      <selection pane="bottomRight" activeCell="A1" sqref="A1:F1"/>
    </sheetView>
  </sheetViews>
  <sheetFormatPr defaultColWidth="9" defaultRowHeight="15" outlineLevelCol="5"/>
  <cols>
    <col min="1" max="1" width="64.2857142857143" customWidth="1"/>
    <col min="2" max="2" width="7.42857142857143" customWidth="1"/>
    <col min="3" max="3" width="6.71428571428571" customWidth="1"/>
    <col min="4" max="4" width="4" customWidth="1"/>
    <col min="5" max="5" width="53.8571428571429" customWidth="1"/>
    <col min="6" max="6" width="9.14285714285714" customWidth="1"/>
  </cols>
  <sheetData>
    <row r="1" ht="24" customHeight="1" spans="1:6">
      <c r="A1" s="128" t="s">
        <v>1007</v>
      </c>
      <c r="B1" s="129"/>
      <c r="C1" s="129"/>
      <c r="D1" s="129"/>
      <c r="E1" s="129"/>
      <c r="F1" s="130"/>
    </row>
    <row r="3" customHeight="1" spans="1:6">
      <c r="A3" s="131" t="s">
        <v>1008</v>
      </c>
      <c r="B3" s="132" t="s">
        <v>227</v>
      </c>
      <c r="C3" s="133"/>
      <c r="D3" s="133"/>
      <c r="E3" s="133"/>
      <c r="F3" s="134"/>
    </row>
    <row r="4" ht="30" customHeight="1" spans="1:6">
      <c r="A4" s="131" t="s">
        <v>1009</v>
      </c>
      <c r="B4" s="135" t="s">
        <v>5537</v>
      </c>
      <c r="C4" s="133"/>
      <c r="D4" s="133"/>
      <c r="E4" s="133"/>
      <c r="F4" s="134"/>
    </row>
    <row r="5" customHeight="1" spans="1:6">
      <c r="A5" s="131" t="s">
        <v>1011</v>
      </c>
      <c r="B5" s="132" t="s">
        <v>231</v>
      </c>
      <c r="C5" s="133"/>
      <c r="D5" s="133"/>
      <c r="E5" s="133"/>
      <c r="F5" s="134"/>
    </row>
    <row r="6" customHeight="1" spans="1:6">
      <c r="A6" s="131" t="s">
        <v>1012</v>
      </c>
      <c r="B6" s="132" t="s">
        <v>60</v>
      </c>
      <c r="C6" s="133"/>
      <c r="D6" s="133"/>
      <c r="E6" s="133"/>
      <c r="F6" s="134"/>
    </row>
    <row r="7" customHeight="1" spans="1:6">
      <c r="A7" s="131" t="s">
        <v>1013</v>
      </c>
      <c r="B7" s="132" t="s">
        <v>7</v>
      </c>
      <c r="C7" s="133"/>
      <c r="D7" s="133"/>
      <c r="E7" s="133"/>
      <c r="F7" s="134"/>
    </row>
    <row r="8" customHeight="1" spans="1:6">
      <c r="A8" s="131" t="s">
        <v>1014</v>
      </c>
      <c r="B8" s="132" t="s">
        <v>233</v>
      </c>
      <c r="C8" s="133"/>
      <c r="D8" s="133"/>
      <c r="E8" s="133"/>
      <c r="F8" s="134"/>
    </row>
    <row r="9" ht="75" customHeight="1" spans="1:6">
      <c r="A9" s="131" t="s">
        <v>1015</v>
      </c>
      <c r="B9" s="135" t="s">
        <v>5538</v>
      </c>
      <c r="C9" s="133"/>
      <c r="D9" s="133"/>
      <c r="E9" s="133"/>
      <c r="F9" s="134"/>
    </row>
    <row r="10" customHeight="1" spans="1:6">
      <c r="A10" s="131" t="s">
        <v>1017</v>
      </c>
      <c r="B10" s="132" t="s">
        <v>103</v>
      </c>
      <c r="C10" s="133"/>
      <c r="D10" s="133"/>
      <c r="E10" s="133"/>
      <c r="F10" s="134"/>
    </row>
    <row r="12" spans="1:6">
      <c r="A12" s="136" t="s">
        <v>426</v>
      </c>
      <c r="B12" s="137" t="s">
        <v>427</v>
      </c>
      <c r="C12" s="137" t="s">
        <v>428</v>
      </c>
      <c r="D12" s="137" t="s">
        <v>429</v>
      </c>
      <c r="E12" s="137" t="s">
        <v>430</v>
      </c>
    </row>
    <row r="13" spans="1:6">
      <c r="A13" s="136" t="s">
        <v>1018</v>
      </c>
      <c r="B13" s="136"/>
      <c r="C13" s="136"/>
      <c r="D13" s="136"/>
      <c r="E13" s="136"/>
    </row>
    <row r="14" ht="90" customHeight="1" spans="1:6">
      <c r="A14" s="138" t="s">
        <v>1019</v>
      </c>
      <c r="B14" s="139" t="s">
        <v>434</v>
      </c>
      <c r="C14" s="139"/>
      <c r="D14" s="139"/>
      <c r="E14" s="138" t="s">
        <v>5539</v>
      </c>
    </row>
    <row r="15" spans="1:6">
      <c r="A15" s="136" t="s">
        <v>1021</v>
      </c>
      <c r="B15" s="136"/>
      <c r="C15" s="136"/>
      <c r="D15" s="136"/>
      <c r="E15" s="136"/>
    </row>
    <row r="16" ht="135" customHeight="1" spans="1:6">
      <c r="A16" s="138" t="s">
        <v>1022</v>
      </c>
      <c r="B16" s="139" t="s">
        <v>434</v>
      </c>
      <c r="C16" s="139"/>
      <c r="D16" s="139"/>
      <c r="E16" s="138" t="s">
        <v>5540</v>
      </c>
    </row>
    <row r="17" ht="90" customHeight="1" spans="1:5">
      <c r="A17" s="138" t="s">
        <v>1024</v>
      </c>
      <c r="B17" s="139" t="s">
        <v>434</v>
      </c>
      <c r="C17" s="139"/>
      <c r="D17" s="139"/>
      <c r="E17" s="138" t="s">
        <v>5541</v>
      </c>
    </row>
    <row r="18" ht="60" customHeight="1" spans="1:5">
      <c r="A18" s="138" t="s">
        <v>1026</v>
      </c>
      <c r="B18" s="139"/>
      <c r="C18" s="139" t="s">
        <v>434</v>
      </c>
      <c r="D18" s="139"/>
      <c r="E18" s="138" t="s">
        <v>5542</v>
      </c>
    </row>
    <row r="19" ht="30" customHeight="1" spans="1:5">
      <c r="A19" s="138" t="s">
        <v>1028</v>
      </c>
      <c r="B19" s="139" t="s">
        <v>434</v>
      </c>
      <c r="C19" s="139"/>
      <c r="D19" s="139"/>
      <c r="E19" s="138" t="s">
        <v>5543</v>
      </c>
    </row>
    <row r="20" ht="30" customHeight="1" spans="1:5">
      <c r="A20" s="138" t="s">
        <v>1030</v>
      </c>
      <c r="B20" s="139"/>
      <c r="C20" s="139" t="s">
        <v>434</v>
      </c>
      <c r="D20" s="139"/>
      <c r="E20" s="138" t="s">
        <v>5544</v>
      </c>
    </row>
    <row r="21" ht="90" customHeight="1" spans="1:5">
      <c r="A21" s="138" t="s">
        <v>1032</v>
      </c>
      <c r="B21" s="139"/>
      <c r="C21" s="139" t="s">
        <v>434</v>
      </c>
      <c r="D21" s="139"/>
      <c r="E21" s="138" t="s">
        <v>5545</v>
      </c>
    </row>
    <row r="22" ht="45" customHeight="1" spans="1:5">
      <c r="A22" s="138" t="s">
        <v>1034</v>
      </c>
      <c r="B22" s="139" t="s">
        <v>434</v>
      </c>
      <c r="C22" s="139"/>
      <c r="D22" s="139"/>
      <c r="E22" s="138" t="s">
        <v>5546</v>
      </c>
    </row>
    <row r="23" ht="75" customHeight="1" spans="1:5">
      <c r="A23" s="138" t="s">
        <v>1036</v>
      </c>
      <c r="B23" s="139"/>
      <c r="C23" s="139" t="s">
        <v>434</v>
      </c>
      <c r="D23" s="139"/>
      <c r="E23" s="138" t="s">
        <v>5547</v>
      </c>
    </row>
    <row r="24" ht="120" customHeight="1" spans="1:5">
      <c r="A24" s="138" t="s">
        <v>1038</v>
      </c>
      <c r="B24" s="139"/>
      <c r="C24" s="139" t="s">
        <v>434</v>
      </c>
      <c r="D24" s="139"/>
      <c r="E24" s="138" t="s">
        <v>5548</v>
      </c>
    </row>
    <row r="25" ht="30" customHeight="1" spans="1:5">
      <c r="A25" s="138" t="s">
        <v>1040</v>
      </c>
      <c r="B25" s="139"/>
      <c r="C25" s="139"/>
      <c r="D25" s="139" t="s">
        <v>434</v>
      </c>
      <c r="E25" s="138" t="s">
        <v>5549</v>
      </c>
    </row>
    <row r="26" ht="135" customHeight="1" spans="1:5">
      <c r="A26" s="138" t="s">
        <v>1042</v>
      </c>
      <c r="B26" s="139"/>
      <c r="C26" s="139" t="s">
        <v>434</v>
      </c>
      <c r="D26" s="139"/>
      <c r="E26" s="138" t="s">
        <v>5550</v>
      </c>
    </row>
    <row r="27" ht="30" customHeight="1" spans="1:5">
      <c r="A27" s="138" t="s">
        <v>1044</v>
      </c>
      <c r="B27" s="139" t="s">
        <v>434</v>
      </c>
      <c r="C27" s="139"/>
      <c r="D27" s="139"/>
      <c r="E27" s="138" t="s">
        <v>5551</v>
      </c>
    </row>
    <row r="28" ht="75" customHeight="1" spans="1:5">
      <c r="A28" s="138" t="s">
        <v>1046</v>
      </c>
      <c r="B28" s="139" t="s">
        <v>434</v>
      </c>
      <c r="C28" s="139"/>
      <c r="D28" s="139"/>
      <c r="E28" s="138" t="s">
        <v>5552</v>
      </c>
    </row>
    <row r="29" ht="105" customHeight="1" spans="1:5">
      <c r="A29" s="138" t="s">
        <v>1048</v>
      </c>
      <c r="B29" s="139" t="s">
        <v>434</v>
      </c>
      <c r="C29" s="139"/>
      <c r="D29" s="139"/>
      <c r="E29" s="138" t="s">
        <v>5553</v>
      </c>
    </row>
    <row r="30" spans="1:5">
      <c r="A30" s="136" t="s">
        <v>1050</v>
      </c>
      <c r="B30" s="136"/>
      <c r="C30" s="136"/>
      <c r="D30" s="136"/>
      <c r="E30" s="136"/>
    </row>
    <row r="31" ht="120" customHeight="1" spans="1:5">
      <c r="A31" s="138" t="s">
        <v>1051</v>
      </c>
      <c r="B31" s="139"/>
      <c r="C31" s="139" t="s">
        <v>434</v>
      </c>
      <c r="D31" s="139"/>
      <c r="E31" s="138" t="s">
        <v>5554</v>
      </c>
    </row>
    <row r="32" ht="135" customHeight="1" spans="1:5">
      <c r="A32" s="138" t="s">
        <v>1053</v>
      </c>
      <c r="B32" s="139"/>
      <c r="C32" s="139" t="s">
        <v>434</v>
      </c>
      <c r="D32" s="139"/>
      <c r="E32" s="138" t="s">
        <v>5555</v>
      </c>
    </row>
    <row r="33" ht="90" customHeight="1" spans="1:5">
      <c r="A33" s="138" t="s">
        <v>1055</v>
      </c>
      <c r="B33" s="139"/>
      <c r="C33" s="139" t="s">
        <v>434</v>
      </c>
      <c r="D33" s="139"/>
      <c r="E33" s="138" t="s">
        <v>5556</v>
      </c>
    </row>
    <row r="34" spans="1:5">
      <c r="A34" s="136" t="s">
        <v>1057</v>
      </c>
      <c r="B34" s="136"/>
      <c r="C34" s="136"/>
      <c r="D34" s="136"/>
      <c r="E34" s="136"/>
    </row>
    <row r="35" ht="75" customHeight="1" spans="1:5">
      <c r="A35" s="138" t="s">
        <v>1058</v>
      </c>
      <c r="B35" s="139" t="s">
        <v>434</v>
      </c>
      <c r="C35" s="139"/>
      <c r="D35" s="139"/>
      <c r="E35" s="138" t="s">
        <v>5557</v>
      </c>
    </row>
    <row r="36" ht="75" customHeight="1" spans="1:5">
      <c r="A36" s="138" t="s">
        <v>1060</v>
      </c>
      <c r="B36" s="139" t="s">
        <v>434</v>
      </c>
      <c r="C36" s="139"/>
      <c r="D36" s="139"/>
      <c r="E36" s="138" t="s">
        <v>5558</v>
      </c>
    </row>
    <row r="37" ht="30" customHeight="1" spans="1:5">
      <c r="A37" s="138" t="s">
        <v>1062</v>
      </c>
      <c r="B37" s="139"/>
      <c r="C37" s="139" t="s">
        <v>434</v>
      </c>
      <c r="D37" s="139"/>
      <c r="E37" s="138" t="s">
        <v>5559</v>
      </c>
    </row>
    <row r="38" spans="1:5">
      <c r="A38" s="136" t="s">
        <v>1064</v>
      </c>
      <c r="B38" s="136"/>
      <c r="C38" s="136"/>
      <c r="D38" s="136"/>
      <c r="E38" s="136"/>
    </row>
    <row r="39" ht="75" customHeight="1" spans="1:5">
      <c r="A39" s="138" t="s">
        <v>1065</v>
      </c>
      <c r="B39" s="139" t="s">
        <v>434</v>
      </c>
      <c r="C39" s="139"/>
      <c r="D39" s="139"/>
      <c r="E39" s="138" t="s">
        <v>5560</v>
      </c>
    </row>
    <row r="40" ht="180" customHeight="1" spans="1:5">
      <c r="A40" s="138" t="s">
        <v>1067</v>
      </c>
      <c r="B40" s="139"/>
      <c r="C40" s="139" t="s">
        <v>434</v>
      </c>
      <c r="D40" s="139"/>
      <c r="E40" s="138" t="s">
        <v>5561</v>
      </c>
    </row>
    <row r="41" customHeight="1" spans="1:5">
      <c r="A41" s="138" t="s">
        <v>1069</v>
      </c>
      <c r="B41" s="139"/>
      <c r="C41" s="139"/>
      <c r="D41" s="139" t="s">
        <v>434</v>
      </c>
      <c r="E41" s="138" t="s">
        <v>5562</v>
      </c>
    </row>
    <row r="42" ht="60" customHeight="1" spans="1:5">
      <c r="A42" s="138" t="s">
        <v>1071</v>
      </c>
      <c r="B42" s="139"/>
      <c r="C42" s="139" t="s">
        <v>434</v>
      </c>
      <c r="D42" s="139"/>
      <c r="E42" s="138" t="s">
        <v>5563</v>
      </c>
    </row>
    <row r="43" spans="1:5">
      <c r="A43" s="136" t="s">
        <v>1073</v>
      </c>
      <c r="B43" s="136"/>
      <c r="C43" s="136"/>
      <c r="D43" s="136"/>
      <c r="E43" s="136"/>
    </row>
    <row r="44" ht="60" customHeight="1" spans="1:5">
      <c r="A44" s="138" t="s">
        <v>1074</v>
      </c>
      <c r="B44" s="139" t="s">
        <v>434</v>
      </c>
      <c r="C44" s="139"/>
      <c r="D44" s="139"/>
      <c r="E44" s="138" t="s">
        <v>5564</v>
      </c>
    </row>
    <row r="45" ht="60" customHeight="1" spans="1:5">
      <c r="A45" s="138" t="s">
        <v>1076</v>
      </c>
      <c r="B45" s="139"/>
      <c r="C45" s="139" t="s">
        <v>434</v>
      </c>
      <c r="D45" s="139"/>
      <c r="E45" s="138" t="s">
        <v>5565</v>
      </c>
    </row>
    <row r="46" ht="60" customHeight="1" spans="1:5">
      <c r="A46" s="138" t="s">
        <v>1078</v>
      </c>
      <c r="B46" s="139" t="s">
        <v>434</v>
      </c>
      <c r="C46" s="139"/>
      <c r="D46" s="139"/>
      <c r="E46" s="138" t="s">
        <v>5566</v>
      </c>
    </row>
    <row r="47" spans="1:5">
      <c r="A47" s="136" t="s">
        <v>1080</v>
      </c>
      <c r="B47" s="136"/>
      <c r="C47" s="136"/>
      <c r="D47" s="136"/>
      <c r="E47" s="136"/>
    </row>
    <row r="48" ht="135" customHeight="1" spans="1:5">
      <c r="A48" s="138" t="s">
        <v>1081</v>
      </c>
      <c r="B48" s="139" t="s">
        <v>434</v>
      </c>
      <c r="C48" s="139"/>
      <c r="D48" s="139"/>
      <c r="E48" s="138" t="s">
        <v>5567</v>
      </c>
    </row>
    <row r="49" ht="75" customHeight="1" spans="1:6">
      <c r="A49" s="138" t="s">
        <v>1083</v>
      </c>
      <c r="B49" s="139" t="s">
        <v>434</v>
      </c>
      <c r="C49" s="139"/>
      <c r="D49" s="139"/>
      <c r="E49" s="138" t="s">
        <v>5568</v>
      </c>
    </row>
    <row r="50" ht="60" customHeight="1" spans="1:6">
      <c r="A50" s="138" t="s">
        <v>1085</v>
      </c>
      <c r="B50" s="139"/>
      <c r="C50" s="139" t="s">
        <v>434</v>
      </c>
      <c r="D50" s="139"/>
      <c r="E50" s="138" t="s">
        <v>5569</v>
      </c>
    </row>
    <row r="51" spans="1:6">
      <c r="A51" s="136" t="s">
        <v>1087</v>
      </c>
      <c r="B51" s="136"/>
      <c r="C51" s="136"/>
      <c r="D51" s="136"/>
      <c r="E51" s="136"/>
    </row>
    <row r="52" ht="165" customHeight="1" spans="1:6">
      <c r="A52" s="138" t="s">
        <v>1088</v>
      </c>
      <c r="B52" s="139"/>
      <c r="C52" s="139" t="s">
        <v>434</v>
      </c>
      <c r="D52" s="139"/>
      <c r="E52" s="138" t="s">
        <v>5570</v>
      </c>
    </row>
    <row r="53" ht="30" customHeight="1" spans="1:6">
      <c r="A53" s="138" t="s">
        <v>1090</v>
      </c>
      <c r="B53" s="139"/>
      <c r="C53" s="139"/>
      <c r="D53" s="139" t="s">
        <v>434</v>
      </c>
      <c r="E53" s="138" t="s">
        <v>5571</v>
      </c>
    </row>
    <row r="54" ht="30" customHeight="1" spans="1:6">
      <c r="A54" s="138" t="s">
        <v>1092</v>
      </c>
      <c r="B54" s="139" t="s">
        <v>434</v>
      </c>
      <c r="C54" s="139"/>
      <c r="D54" s="139"/>
      <c r="E54" s="138" t="s">
        <v>5572</v>
      </c>
    </row>
    <row r="55" ht="120" customHeight="1" spans="1:6">
      <c r="A55" s="138" t="s">
        <v>1094</v>
      </c>
      <c r="B55" s="139" t="s">
        <v>434</v>
      </c>
      <c r="C55" s="139"/>
      <c r="D55" s="139"/>
      <c r="E55" s="138" t="s">
        <v>5573</v>
      </c>
    </row>
    <row r="56" spans="1:6">
      <c r="A56" s="136" t="s">
        <v>3099</v>
      </c>
      <c r="B56" s="136"/>
      <c r="C56" s="136"/>
      <c r="D56" s="136"/>
      <c r="E56" s="136"/>
    </row>
    <row r="57" ht="90" customHeight="1" spans="1:6">
      <c r="A57" s="138" t="s">
        <v>5574</v>
      </c>
      <c r="B57" s="139"/>
      <c r="C57" s="139" t="s">
        <v>434</v>
      </c>
      <c r="D57" s="139"/>
      <c r="E57" s="138" t="s">
        <v>5575</v>
      </c>
    </row>
    <row r="58" ht="150" customHeight="1" spans="1:6">
      <c r="A58" s="138" t="s">
        <v>5576</v>
      </c>
      <c r="B58" s="139"/>
      <c r="C58" s="139" t="s">
        <v>434</v>
      </c>
      <c r="D58" s="139"/>
      <c r="E58" s="138" t="s">
        <v>5577</v>
      </c>
    </row>
    <row r="59" ht="30" customHeight="1" spans="1:6">
      <c r="A59" s="138" t="s">
        <v>5578</v>
      </c>
      <c r="B59" s="139"/>
      <c r="C59" s="139" t="s">
        <v>434</v>
      </c>
      <c r="D59" s="139"/>
      <c r="E59" s="138" t="s">
        <v>5579</v>
      </c>
    </row>
    <row r="60" ht="135" customHeight="1" spans="1:6">
      <c r="A60" s="138" t="s">
        <v>5580</v>
      </c>
      <c r="B60" s="139" t="s">
        <v>434</v>
      </c>
      <c r="C60" s="139"/>
      <c r="D60" s="139"/>
      <c r="E60" s="138" t="s">
        <v>5581</v>
      </c>
    </row>
    <row r="61" ht="135" customHeight="1" spans="1:6">
      <c r="A61" s="138" t="s">
        <v>5582</v>
      </c>
      <c r="B61" s="139"/>
      <c r="C61" s="139" t="s">
        <v>434</v>
      </c>
      <c r="D61" s="139"/>
      <c r="E61" s="138" t="s">
        <v>5583</v>
      </c>
    </row>
    <row r="62" spans="1:6">
      <c r="A62" s="136" t="s">
        <v>519</v>
      </c>
      <c r="B62" s="137">
        <f>COUNTIF(B13:B61,"x")</f>
        <v>18</v>
      </c>
      <c r="C62" s="137">
        <f>COUNTIF(C13:C61,"x")</f>
        <v>19</v>
      </c>
      <c r="D62" s="137">
        <f>COUNTIF(D13:D61,"x")</f>
        <v>3</v>
      </c>
    </row>
    <row r="64" spans="1:6">
      <c r="A64" s="136" t="s">
        <v>1004</v>
      </c>
      <c r="B64" s="140"/>
      <c r="C64" s="140"/>
      <c r="D64" s="140"/>
      <c r="E64" s="140"/>
      <c r="F64" s="141"/>
    </row>
    <row r="65" ht="60" customHeight="1" spans="1:6">
      <c r="A65" s="138" t="s">
        <v>5584</v>
      </c>
      <c r="B65" s="140"/>
      <c r="C65" s="140"/>
      <c r="D65" s="140"/>
      <c r="E65" s="140"/>
      <c r="F65" s="142"/>
    </row>
    <row r="66" spans="1:6">
      <c r="A66" s="136" t="s">
        <v>522</v>
      </c>
      <c r="B66" s="140"/>
      <c r="C66" s="140"/>
      <c r="D66" s="140"/>
      <c r="E66" s="140"/>
      <c r="F66" s="141"/>
    </row>
    <row r="67" ht="135" customHeight="1" spans="1:6">
      <c r="A67" s="138" t="s">
        <v>5585</v>
      </c>
      <c r="B67" s="140"/>
      <c r="C67" s="140"/>
      <c r="D67" s="140"/>
      <c r="E67" s="140"/>
      <c r="F67" s="142"/>
    </row>
    <row r="68" spans="1:6">
      <c r="A68" s="143" t="s">
        <v>524</v>
      </c>
      <c r="B68" s="140"/>
      <c r="C68" s="140"/>
      <c r="D68" s="140"/>
      <c r="E68" s="140"/>
      <c r="F68" s="142"/>
    </row>
    <row r="69" spans="1:6">
      <c r="A69" s="143" t="s">
        <v>525</v>
      </c>
      <c r="B69" s="140"/>
      <c r="C69" s="140"/>
      <c r="D69" s="140"/>
      <c r="E69" s="140"/>
      <c r="F69" s="142"/>
    </row>
    <row r="70" spans="1:6">
      <c r="A70" s="143" t="s">
        <v>526</v>
      </c>
      <c r="B70" s="140"/>
      <c r="C70" s="140"/>
      <c r="D70" s="140"/>
      <c r="E70" s="140"/>
      <c r="F70" s="142"/>
    </row>
  </sheetData>
  <mergeCells count="16">
    <mergeCell ref="A1:F1"/>
    <mergeCell ref="B3:F3"/>
    <mergeCell ref="B4:F4"/>
    <mergeCell ref="B5:F5"/>
    <mergeCell ref="B6:F6"/>
    <mergeCell ref="B7:F7"/>
    <mergeCell ref="B8:F8"/>
    <mergeCell ref="B9:F9"/>
    <mergeCell ref="B10:F10"/>
    <mergeCell ref="A64:F64"/>
    <mergeCell ref="A65:F65"/>
    <mergeCell ref="A66:F66"/>
    <mergeCell ref="A67:F67"/>
    <mergeCell ref="A68:F68"/>
    <mergeCell ref="A69:F69"/>
    <mergeCell ref="A70:F70"/>
  </mergeCells>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8"/>
  <sheetViews>
    <sheetView workbookViewId="0">
      <selection activeCell="A1" sqref="A1:C1"/>
    </sheetView>
  </sheetViews>
  <sheetFormatPr defaultColWidth="9" defaultRowHeight="15"/>
  <cols>
    <col min="1" max="1" width="18" customWidth="1"/>
    <col min="2" max="2" width="34" customWidth="1"/>
    <col min="3" max="3" width="13" customWidth="1"/>
    <col min="4" max="4" width="26" customWidth="1"/>
    <col min="5" max="6" width="40" customWidth="1"/>
    <col min="7" max="7" width="10" customWidth="1"/>
    <col min="8" max="8" width="9" customWidth="1"/>
    <col min="9" max="9" width="36" customWidth="1"/>
  </cols>
  <sheetData>
    <row r="1" spans="1:14">
      <c r="A1" s="107" t="s">
        <v>1108</v>
      </c>
      <c r="B1" s="16"/>
      <c r="C1" s="17"/>
    </row>
    <row r="2" ht="15.75" spans="1:14">
      <c r="A2" s="108" t="s">
        <v>1109</v>
      </c>
      <c r="B2" s="108" t="s">
        <v>13</v>
      </c>
      <c r="C2" s="108" t="s">
        <v>1110</v>
      </c>
    </row>
    <row r="3" ht="15.75" spans="1:14">
      <c r="A3" s="127" t="s">
        <v>5586</v>
      </c>
      <c r="B3" s="16"/>
      <c r="C3" s="17"/>
    </row>
    <row r="4" ht="120" customHeight="1" spans="1:14">
      <c r="A4" s="110" t="s">
        <v>1112</v>
      </c>
      <c r="B4" s="110" t="s">
        <v>5587</v>
      </c>
      <c r="C4" s="111" t="s">
        <v>5588</v>
      </c>
    </row>
    <row r="5" ht="90" customHeight="1" spans="1:14">
      <c r="A5" s="110" t="s">
        <v>1115</v>
      </c>
      <c r="B5" s="110" t="s">
        <v>5589</v>
      </c>
      <c r="C5" s="111" t="s">
        <v>5590</v>
      </c>
    </row>
    <row r="6" ht="105" customHeight="1" spans="1:14">
      <c r="A6" s="110" t="s">
        <v>1118</v>
      </c>
      <c r="B6" s="110" t="s">
        <v>5591</v>
      </c>
      <c r="C6" s="111" t="s">
        <v>5592</v>
      </c>
    </row>
    <row r="9" ht="15.75" spans="1:14">
      <c r="A9" s="112" t="s">
        <v>1124</v>
      </c>
      <c r="B9" s="16"/>
      <c r="C9" s="16"/>
      <c r="D9" s="16"/>
      <c r="E9" s="16"/>
      <c r="F9" s="16"/>
      <c r="G9" s="16"/>
      <c r="H9" s="16"/>
      <c r="I9" s="16"/>
      <c r="J9" s="16"/>
      <c r="K9" s="16"/>
      <c r="L9" s="16"/>
      <c r="M9" s="16"/>
      <c r="N9" s="17"/>
    </row>
    <row r="10" ht="45" customHeight="1" spans="1:14">
      <c r="A10" s="113" t="s">
        <v>1125</v>
      </c>
      <c r="B10" s="113" t="s">
        <v>1126</v>
      </c>
      <c r="C10" s="113" t="s">
        <v>1127</v>
      </c>
      <c r="D10" s="113" t="s">
        <v>1128</v>
      </c>
      <c r="E10" s="113" t="s">
        <v>1129</v>
      </c>
      <c r="F10" s="113" t="s">
        <v>1130</v>
      </c>
      <c r="G10" s="113" t="s">
        <v>1131</v>
      </c>
      <c r="H10" s="113" t="s">
        <v>1132</v>
      </c>
      <c r="I10" s="113" t="s">
        <v>1133</v>
      </c>
      <c r="J10" s="113" t="s">
        <v>1134</v>
      </c>
      <c r="K10" s="113" t="s">
        <v>1135</v>
      </c>
      <c r="L10" s="113" t="s">
        <v>1136</v>
      </c>
      <c r="M10" s="113" t="s">
        <v>1137</v>
      </c>
      <c r="N10" s="113" t="s">
        <v>1138</v>
      </c>
    </row>
    <row r="11" ht="30" customHeight="1" spans="1:14">
      <c r="A11" s="114" t="s">
        <v>1112</v>
      </c>
      <c r="B11" s="114" t="s">
        <v>5587</v>
      </c>
      <c r="C11" s="115">
        <f>COUNTIF($A$51:$A$68,"UI_PH7_FR01_*")</f>
        <v>8</v>
      </c>
      <c r="D11" s="115">
        <f>COUNTIFS($A$51:$A$68,"UI_PH7_FR01_*",$G$51:$G$68,"Pending")</f>
        <v>0</v>
      </c>
      <c r="E11" s="115">
        <f>COUNTIFS($A$51:$A$68,"UI_PH7_FR01_*",$G$51:$G$68,"Pass")</f>
        <v>6</v>
      </c>
      <c r="F11" s="115">
        <f>COUNTIFS($A$51:$A$68,"UI_PH7_FR01_*",$G$51:$G$68,"Fail")</f>
        <v>2</v>
      </c>
      <c r="G11" s="115">
        <f>SUMIFS($H$51:$H$68,$A$51:$A$68,"UI_PH7_FR01_*")</f>
        <v>2</v>
      </c>
      <c r="H11" s="116">
        <f>IFERROR(E11/C11,0)</f>
        <v>0.75</v>
      </c>
      <c r="I11" s="115">
        <f>COUNTIFS($A$51:$A$68,"UI_PH7_FR01_*",$C$51:$C$68,"UI/UX")</f>
        <v>0</v>
      </c>
      <c r="J11" s="115">
        <f>COUNTIFS($A$51:$A$68,"UI_PH7_FR01_*",$C$51:$C$68,"Function")</f>
        <v>6</v>
      </c>
      <c r="K11" s="115">
        <f>COUNTIFS($A$51:$A$68,"UI_PH7_FR01_*",$C$51:$C$68,"Negative")</f>
        <v>2</v>
      </c>
      <c r="L11" s="115">
        <f>SUMIFS($H$51:$H$68,$A$51:$A$68,"UI_PH7_FR01_*",$C$51:$C$68,"UI/UX")</f>
        <v>0</v>
      </c>
      <c r="M11" s="115">
        <f>SUMIFS($H$51:$H$68,$A$51:$A$68,"UI_PH7_FR01_*",$C$51:$C$68,"Function")</f>
        <v>2</v>
      </c>
      <c r="N11" s="115">
        <f>SUMIFS($H$51:$H$68,$A$51:$A$68,"UI_PH7_FR01_*",$C$51:$C$68,"Negative")</f>
        <v>0</v>
      </c>
    </row>
    <row r="12" ht="30" customHeight="1" spans="1:14">
      <c r="A12" s="114" t="s">
        <v>1115</v>
      </c>
      <c r="B12" s="114" t="s">
        <v>5589</v>
      </c>
      <c r="C12" s="115">
        <f>COUNTIF($A$51:$A$68,"UI_PH7_FR02_*")</f>
        <v>3</v>
      </c>
      <c r="D12" s="115">
        <f>COUNTIFS($A$51:$A$68,"UI_PH7_FR02_*",$G$51:$G$68,"Pending")</f>
        <v>0</v>
      </c>
      <c r="E12" s="115">
        <f>COUNTIFS($A$51:$A$68,"UI_PH7_FR02_*",$G$51:$G$68,"Pass")</f>
        <v>2</v>
      </c>
      <c r="F12" s="115">
        <f>COUNTIFS($A$51:$A$68,"UI_PH7_FR02_*",$G$51:$G$68,"Fail")</f>
        <v>1</v>
      </c>
      <c r="G12" s="115">
        <f>SUMIFS($H$51:$H$68,$A$51:$A$68,"UI_PH7_FR02_*")</f>
        <v>1</v>
      </c>
      <c r="H12" s="116">
        <f>IFERROR(E12/C12,0)</f>
        <v>0.666666666666667</v>
      </c>
      <c r="I12" s="115">
        <f>COUNTIFS($A$51:$A$68,"UI_PH7_FR02_*",$C$51:$C$68,"UI/UX")</f>
        <v>0</v>
      </c>
      <c r="J12" s="115">
        <f>COUNTIFS($A$51:$A$68,"UI_PH7_FR02_*",$C$51:$C$68,"Function")</f>
        <v>1</v>
      </c>
      <c r="K12" s="115">
        <f>COUNTIFS($A$51:$A$68,"UI_PH7_FR02_*",$C$51:$C$68,"Negative")</f>
        <v>2</v>
      </c>
      <c r="L12" s="115">
        <f>SUMIFS($H$51:$H$68,$A$51:$A$68,"UI_PH7_FR02_*",$C$51:$C$68,"UI/UX")</f>
        <v>0</v>
      </c>
      <c r="M12" s="115">
        <f>SUMIFS($H$51:$H$68,$A$51:$A$68,"UI_PH7_FR02_*",$C$51:$C$68,"Function")</f>
        <v>1</v>
      </c>
      <c r="N12" s="115">
        <f>SUMIFS($H$51:$H$68,$A$51:$A$68,"UI_PH7_FR02_*",$C$51:$C$68,"Negative")</f>
        <v>0</v>
      </c>
    </row>
    <row r="13" customHeight="1" spans="1:14">
      <c r="A13" s="114" t="s">
        <v>1118</v>
      </c>
      <c r="B13" s="114" t="s">
        <v>5591</v>
      </c>
      <c r="C13" s="115">
        <f>COUNTIF($A$51:$A$68,"UI_PH7_FR03_*")</f>
        <v>4</v>
      </c>
      <c r="D13" s="115">
        <f>COUNTIFS($A$51:$A$68,"UI_PH7_FR03_*",$G$51:$G$68,"Pending")</f>
        <v>0</v>
      </c>
      <c r="E13" s="115">
        <f>COUNTIFS($A$51:$A$68,"UI_PH7_FR03_*",$G$51:$G$68,"Pass")</f>
        <v>2</v>
      </c>
      <c r="F13" s="115">
        <f>COUNTIFS($A$51:$A$68,"UI_PH7_FR03_*",$G$51:$G$68,"Fail")</f>
        <v>2</v>
      </c>
      <c r="G13" s="115">
        <f>SUMIFS($H$51:$H$68,$A$51:$A$68,"UI_PH7_FR03_*")</f>
        <v>2</v>
      </c>
      <c r="H13" s="116">
        <f>IFERROR(E13/C13,0)</f>
        <v>0.5</v>
      </c>
      <c r="I13" s="115">
        <f>COUNTIFS($A$51:$A$68,"UI_PH7_FR03_*",$C$51:$C$68,"UI/UX")</f>
        <v>3</v>
      </c>
      <c r="J13" s="115">
        <f>COUNTIFS($A$51:$A$68,"UI_PH7_FR03_*",$C$51:$C$68,"Function")</f>
        <v>1</v>
      </c>
      <c r="K13" s="115">
        <f>COUNTIFS($A$51:$A$68,"UI_PH7_FR03_*",$C$51:$C$68,"Negative")</f>
        <v>0</v>
      </c>
      <c r="L13" s="115">
        <f>SUMIFS($H$51:$H$68,$A$51:$A$68,"UI_PH7_FR03_*",$C$51:$C$68,"UI/UX")</f>
        <v>2</v>
      </c>
      <c r="M13" s="115">
        <f>SUMIFS($H$51:$H$68,$A$51:$A$68,"UI_PH7_FR03_*",$C$51:$C$68,"Function")</f>
        <v>0</v>
      </c>
      <c r="N13" s="115">
        <f>SUMIFS($H$51:$H$68,$A$51:$A$68,"UI_PH7_FR03_*",$C$51:$C$68,"Negative")</f>
        <v>0</v>
      </c>
    </row>
    <row r="14" ht="15.75" spans="1:14">
      <c r="A14" s="117" t="s">
        <v>1127</v>
      </c>
      <c r="B14" s="117" t="s">
        <v>7</v>
      </c>
      <c r="C14" s="118">
        <f>SUM(C11:C13)</f>
        <v>15</v>
      </c>
      <c r="D14" s="118">
        <f>SUM(D11:D13)</f>
        <v>0</v>
      </c>
      <c r="E14" s="118">
        <f>SUM(E11:E13)</f>
        <v>10</v>
      </c>
      <c r="F14" s="118">
        <f>SUM(F11:F13)</f>
        <v>5</v>
      </c>
      <c r="G14" s="118">
        <f>SUM(G11:G13)</f>
        <v>5</v>
      </c>
      <c r="H14" s="119">
        <f>IFERROR(E14/C14,0)</f>
        <v>0.666666666666667</v>
      </c>
      <c r="I14" s="118">
        <f t="shared" ref="I14:N14" si="0">SUM(I11:I13)</f>
        <v>3</v>
      </c>
      <c r="J14" s="118">
        <f t="shared" si="0"/>
        <v>8</v>
      </c>
      <c r="K14" s="118">
        <f t="shared" si="0"/>
        <v>4</v>
      </c>
      <c r="L14" s="118">
        <f t="shared" si="0"/>
        <v>2</v>
      </c>
      <c r="M14" s="118">
        <f t="shared" si="0"/>
        <v>3</v>
      </c>
      <c r="N14" s="118">
        <f t="shared" si="0"/>
        <v>0</v>
      </c>
    </row>
    <row r="17" ht="15.75" spans="1:5">
      <c r="A17" s="120" t="s">
        <v>1139</v>
      </c>
      <c r="B17" s="110" t="s">
        <v>1112</v>
      </c>
    </row>
    <row r="18" ht="31.5" spans="1:5">
      <c r="A18" s="120" t="s">
        <v>1140</v>
      </c>
      <c r="B18" s="110" t="s">
        <v>5587</v>
      </c>
    </row>
    <row r="19" ht="15.75" spans="1:5">
      <c r="A19" s="120" t="s">
        <v>1141</v>
      </c>
      <c r="B19" s="110" t="s">
        <v>7</v>
      </c>
    </row>
    <row r="20" ht="15.75" spans="1:5">
      <c r="A20" s="121" t="s">
        <v>1129</v>
      </c>
      <c r="B20" s="122">
        <f>E11</f>
        <v>6</v>
      </c>
      <c r="D20" s="121" t="s">
        <v>1133</v>
      </c>
      <c r="E20" s="122">
        <f>I11</f>
        <v>0</v>
      </c>
    </row>
    <row r="21" ht="15.75" spans="1:5">
      <c r="A21" s="121" t="s">
        <v>1130</v>
      </c>
      <c r="B21" s="122">
        <f>F11</f>
        <v>2</v>
      </c>
      <c r="D21" s="121" t="s">
        <v>1134</v>
      </c>
      <c r="E21" s="122">
        <f>J11</f>
        <v>6</v>
      </c>
    </row>
    <row r="22" ht="15.75" spans="1:5">
      <c r="A22" s="121" t="s">
        <v>1128</v>
      </c>
      <c r="B22" s="122">
        <f>D11</f>
        <v>0</v>
      </c>
      <c r="D22" s="121" t="s">
        <v>1135</v>
      </c>
      <c r="E22" s="122">
        <f>K11</f>
        <v>2</v>
      </c>
    </row>
    <row r="23" ht="15.75" spans="1:5">
      <c r="A23" s="121" t="s">
        <v>1131</v>
      </c>
      <c r="B23" s="122">
        <f>G11</f>
        <v>2</v>
      </c>
      <c r="D23" s="121" t="s">
        <v>1127</v>
      </c>
      <c r="E23" s="122">
        <f>C11</f>
        <v>8</v>
      </c>
    </row>
    <row r="24" ht="15.75" spans="1:5">
      <c r="A24" s="120" t="s">
        <v>1139</v>
      </c>
      <c r="B24" s="110" t="s">
        <v>1115</v>
      </c>
    </row>
    <row r="25" ht="15.75" spans="1:5">
      <c r="A25" s="120" t="s">
        <v>1140</v>
      </c>
      <c r="B25" s="110" t="s">
        <v>5589</v>
      </c>
    </row>
    <row r="26" ht="15.75" spans="1:5">
      <c r="A26" s="120" t="s">
        <v>1141</v>
      </c>
      <c r="B26" s="110" t="s">
        <v>7</v>
      </c>
    </row>
    <row r="27" ht="15.75" spans="1:5">
      <c r="A27" s="121" t="s">
        <v>1129</v>
      </c>
      <c r="B27" s="122">
        <f>E12</f>
        <v>2</v>
      </c>
      <c r="D27" s="121" t="s">
        <v>1133</v>
      </c>
      <c r="E27" s="122">
        <f>I12</f>
        <v>0</v>
      </c>
    </row>
    <row r="28" ht="15.75" spans="1:5">
      <c r="A28" s="121" t="s">
        <v>1130</v>
      </c>
      <c r="B28" s="122">
        <f>F12</f>
        <v>1</v>
      </c>
      <c r="D28" s="121" t="s">
        <v>1134</v>
      </c>
      <c r="E28" s="122">
        <f>J12</f>
        <v>1</v>
      </c>
    </row>
    <row r="29" ht="15.75" spans="1:5">
      <c r="A29" s="121" t="s">
        <v>1128</v>
      </c>
      <c r="B29" s="122">
        <f>D12</f>
        <v>0</v>
      </c>
      <c r="D29" s="121" t="s">
        <v>1135</v>
      </c>
      <c r="E29" s="122">
        <f>K12</f>
        <v>2</v>
      </c>
    </row>
    <row r="30" ht="15.75" spans="1:5">
      <c r="A30" s="121" t="s">
        <v>1131</v>
      </c>
      <c r="B30" s="122">
        <f>G12</f>
        <v>1</v>
      </c>
      <c r="D30" s="121" t="s">
        <v>1127</v>
      </c>
      <c r="E30" s="122">
        <f>C12</f>
        <v>3</v>
      </c>
    </row>
    <row r="31" ht="15.75" spans="1:5">
      <c r="A31" s="120" t="s">
        <v>1139</v>
      </c>
      <c r="B31" s="110" t="s">
        <v>1118</v>
      </c>
    </row>
    <row r="32" ht="15.75" spans="1:5">
      <c r="A32" s="120" t="s">
        <v>1140</v>
      </c>
      <c r="B32" s="110" t="s">
        <v>5591</v>
      </c>
    </row>
    <row r="33" ht="15.75" spans="1:9">
      <c r="A33" s="120" t="s">
        <v>1141</v>
      </c>
      <c r="B33" s="110" t="s">
        <v>7</v>
      </c>
    </row>
    <row r="34" ht="15.75" spans="1:9">
      <c r="A34" s="121" t="s">
        <v>1129</v>
      </c>
      <c r="B34" s="122">
        <f>E13</f>
        <v>2</v>
      </c>
      <c r="D34" s="121" t="s">
        <v>1133</v>
      </c>
      <c r="E34" s="122">
        <f>I13</f>
        <v>3</v>
      </c>
    </row>
    <row r="35" ht="15.75" spans="1:9">
      <c r="A35" s="121" t="s">
        <v>1130</v>
      </c>
      <c r="B35" s="122">
        <f>F13</f>
        <v>2</v>
      </c>
      <c r="D35" s="121" t="s">
        <v>1134</v>
      </c>
      <c r="E35" s="122">
        <f>J13</f>
        <v>1</v>
      </c>
    </row>
    <row r="36" ht="15.75" spans="1:9">
      <c r="A36" s="121" t="s">
        <v>1128</v>
      </c>
      <c r="B36" s="122">
        <f>D13</f>
        <v>0</v>
      </c>
      <c r="D36" s="121" t="s">
        <v>1135</v>
      </c>
      <c r="E36" s="122">
        <f>K13</f>
        <v>0</v>
      </c>
    </row>
    <row r="37" ht="15.75" spans="1:9">
      <c r="A37" s="121" t="s">
        <v>1131</v>
      </c>
      <c r="B37" s="122">
        <f>G13</f>
        <v>2</v>
      </c>
      <c r="D37" s="121" t="s">
        <v>1127</v>
      </c>
      <c r="E37" s="122">
        <f>C13</f>
        <v>4</v>
      </c>
    </row>
    <row r="38" ht="15.75" spans="1:9">
      <c r="A38" s="123" t="s">
        <v>1142</v>
      </c>
      <c r="B38" s="16"/>
      <c r="C38" s="16"/>
      <c r="D38" s="16"/>
      <c r="E38" s="16"/>
      <c r="F38" s="16"/>
      <c r="G38" s="16"/>
      <c r="H38" s="16"/>
      <c r="I38" s="17"/>
    </row>
    <row r="39" ht="15.75" spans="1:9">
      <c r="A39" s="124" t="s">
        <v>1143</v>
      </c>
      <c r="B39" s="16"/>
      <c r="C39" s="16"/>
      <c r="D39" s="16"/>
      <c r="E39" s="16"/>
      <c r="F39" s="16"/>
      <c r="G39" s="16"/>
      <c r="H39" s="16"/>
      <c r="I39" s="17"/>
    </row>
    <row r="40" ht="75" customHeight="1" spans="1:9">
      <c r="A40" s="310" t="s">
        <v>5593</v>
      </c>
      <c r="B40" s="16"/>
      <c r="C40" s="16"/>
      <c r="D40" s="16"/>
      <c r="E40" s="16"/>
      <c r="F40" s="16"/>
      <c r="G40" s="16"/>
      <c r="H40" s="16"/>
      <c r="I40" s="17"/>
    </row>
    <row r="41" ht="15.75" spans="1:9">
      <c r="A41" s="124" t="s">
        <v>1145</v>
      </c>
      <c r="B41" s="16"/>
      <c r="C41" s="16"/>
      <c r="D41" s="16"/>
      <c r="E41" s="16"/>
      <c r="F41" s="16"/>
      <c r="G41" s="16"/>
      <c r="H41" s="16"/>
      <c r="I41" s="17"/>
    </row>
    <row r="42" ht="90" customHeight="1" spans="1:9">
      <c r="A42" s="310" t="s">
        <v>5594</v>
      </c>
      <c r="B42" s="16"/>
      <c r="C42" s="16"/>
      <c r="D42" s="16"/>
      <c r="E42" s="16"/>
      <c r="F42" s="16"/>
      <c r="G42" s="16"/>
      <c r="H42" s="16"/>
      <c r="I42" s="17"/>
    </row>
    <row r="43" ht="15.75" spans="1:9">
      <c r="A43" s="124" t="s">
        <v>1147</v>
      </c>
      <c r="B43" s="16"/>
      <c r="C43" s="16"/>
      <c r="D43" s="16"/>
      <c r="E43" s="16"/>
      <c r="F43" s="16"/>
      <c r="G43" s="16"/>
      <c r="H43" s="16"/>
      <c r="I43" s="17"/>
    </row>
    <row r="44" ht="60" customHeight="1" spans="1:9">
      <c r="A44" s="310" t="s">
        <v>5595</v>
      </c>
      <c r="B44" s="16"/>
      <c r="C44" s="16"/>
      <c r="D44" s="16"/>
      <c r="E44" s="16"/>
      <c r="F44" s="16"/>
      <c r="G44" s="16"/>
      <c r="H44" s="16"/>
      <c r="I44" s="17"/>
    </row>
    <row r="45" ht="15.75" spans="1:9">
      <c r="A45" s="124" t="s">
        <v>1149</v>
      </c>
      <c r="B45" s="16"/>
      <c r="C45" s="16"/>
      <c r="D45" s="16"/>
      <c r="E45" s="16"/>
      <c r="F45" s="16"/>
      <c r="G45" s="16"/>
      <c r="H45" s="16"/>
      <c r="I45" s="17"/>
    </row>
    <row r="46" ht="45" customHeight="1" spans="1:9">
      <c r="A46" s="310" t="s">
        <v>5596</v>
      </c>
      <c r="B46" s="16"/>
      <c r="C46" s="16"/>
      <c r="D46" s="16"/>
      <c r="E46" s="16"/>
      <c r="F46" s="16"/>
      <c r="G46" s="16"/>
      <c r="H46" s="16"/>
      <c r="I46" s="17"/>
    </row>
    <row r="50" ht="15.75" spans="1:9">
      <c r="A50" s="126" t="s">
        <v>1109</v>
      </c>
      <c r="B50" s="126" t="s">
        <v>1151</v>
      </c>
      <c r="C50" s="126" t="s">
        <v>1152</v>
      </c>
      <c r="D50" s="126" t="s">
        <v>1153</v>
      </c>
      <c r="E50" s="126" t="s">
        <v>1154</v>
      </c>
      <c r="F50" s="126" t="s">
        <v>1155</v>
      </c>
      <c r="G50" s="126" t="s">
        <v>1156</v>
      </c>
      <c r="H50" s="126" t="s">
        <v>1131</v>
      </c>
      <c r="I50" s="126" t="s">
        <v>1157</v>
      </c>
    </row>
    <row r="51" ht="15.75" spans="1:9">
      <c r="A51" s="109" t="s">
        <v>5597</v>
      </c>
      <c r="B51" s="16"/>
      <c r="C51" s="16"/>
      <c r="D51" s="16"/>
      <c r="E51" s="16"/>
      <c r="F51" s="16"/>
      <c r="G51" s="16"/>
      <c r="H51" s="16"/>
      <c r="I51" s="17"/>
    </row>
    <row r="52" ht="60" customHeight="1" spans="1:9">
      <c r="A52" s="111" t="s">
        <v>5598</v>
      </c>
      <c r="B52" s="111" t="s">
        <v>5599</v>
      </c>
      <c r="C52" s="122" t="s">
        <v>1134</v>
      </c>
      <c r="D52" s="111" t="s">
        <v>5600</v>
      </c>
      <c r="E52" s="111" t="s">
        <v>5601</v>
      </c>
      <c r="F52" s="111" t="s">
        <v>5602</v>
      </c>
      <c r="G52" s="122" t="s">
        <v>1129</v>
      </c>
      <c r="H52" s="122"/>
      <c r="I52" s="111" t="s">
        <v>5603</v>
      </c>
    </row>
    <row r="53" ht="345" customHeight="1" spans="1:9">
      <c r="A53" s="111" t="s">
        <v>5604</v>
      </c>
      <c r="B53" s="111" t="s">
        <v>5605</v>
      </c>
      <c r="C53" s="122" t="s">
        <v>1134</v>
      </c>
      <c r="D53" s="111" t="s">
        <v>5606</v>
      </c>
      <c r="E53" s="111" t="s">
        <v>5607</v>
      </c>
      <c r="F53" s="111" t="s">
        <v>5608</v>
      </c>
      <c r="G53" s="122" t="s">
        <v>1130</v>
      </c>
      <c r="H53" s="122">
        <v>1</v>
      </c>
      <c r="I53" s="111" t="s">
        <v>5609</v>
      </c>
    </row>
    <row r="54" ht="240" customHeight="1" spans="1:9">
      <c r="A54" s="111" t="s">
        <v>5610</v>
      </c>
      <c r="B54" s="111" t="s">
        <v>5611</v>
      </c>
      <c r="C54" s="122" t="s">
        <v>1134</v>
      </c>
      <c r="D54" s="111" t="s">
        <v>5612</v>
      </c>
      <c r="E54" s="111" t="s">
        <v>5613</v>
      </c>
      <c r="F54" s="111" t="s">
        <v>5614</v>
      </c>
      <c r="G54" s="122" t="s">
        <v>1130</v>
      </c>
      <c r="H54" s="122">
        <v>1</v>
      </c>
      <c r="I54" s="111" t="s">
        <v>5615</v>
      </c>
    </row>
    <row r="55" ht="60" customHeight="1" spans="1:9">
      <c r="A55" s="111" t="s">
        <v>5616</v>
      </c>
      <c r="B55" s="111" t="s">
        <v>5617</v>
      </c>
      <c r="C55" s="122" t="s">
        <v>1134</v>
      </c>
      <c r="D55" s="111" t="s">
        <v>5618</v>
      </c>
      <c r="E55" s="111" t="s">
        <v>5619</v>
      </c>
      <c r="F55" s="111" t="s">
        <v>5620</v>
      </c>
      <c r="G55" s="122" t="s">
        <v>1129</v>
      </c>
      <c r="H55" s="122"/>
      <c r="I55" s="111" t="s">
        <v>5621</v>
      </c>
    </row>
    <row r="56" ht="45" customHeight="1" spans="1:9">
      <c r="A56" s="111" t="s">
        <v>5622</v>
      </c>
      <c r="B56" s="111" t="s">
        <v>5623</v>
      </c>
      <c r="C56" s="122" t="s">
        <v>1134</v>
      </c>
      <c r="D56" s="111" t="s">
        <v>5624</v>
      </c>
      <c r="E56" s="111" t="s">
        <v>5625</v>
      </c>
      <c r="F56" s="111" t="s">
        <v>5626</v>
      </c>
      <c r="G56" s="122" t="s">
        <v>1129</v>
      </c>
      <c r="H56" s="122"/>
      <c r="I56" s="111" t="s">
        <v>5627</v>
      </c>
    </row>
    <row r="57" ht="90" customHeight="1" spans="1:9">
      <c r="A57" s="111" t="s">
        <v>5628</v>
      </c>
      <c r="B57" s="111" t="s">
        <v>5629</v>
      </c>
      <c r="C57" s="122" t="s">
        <v>1134</v>
      </c>
      <c r="D57" s="111" t="s">
        <v>5630</v>
      </c>
      <c r="E57" s="111" t="s">
        <v>5631</v>
      </c>
      <c r="F57" s="111" t="s">
        <v>5632</v>
      </c>
      <c r="G57" s="122" t="s">
        <v>1129</v>
      </c>
      <c r="H57" s="122"/>
      <c r="I57" s="111" t="s">
        <v>5633</v>
      </c>
    </row>
    <row r="58" ht="150" customHeight="1" spans="1:9">
      <c r="A58" s="111" t="s">
        <v>5634</v>
      </c>
      <c r="B58" s="111" t="s">
        <v>5635</v>
      </c>
      <c r="C58" s="122" t="s">
        <v>1135</v>
      </c>
      <c r="D58" s="111" t="s">
        <v>5636</v>
      </c>
      <c r="E58" s="111" t="s">
        <v>5637</v>
      </c>
      <c r="F58" s="111" t="s">
        <v>5638</v>
      </c>
      <c r="G58" s="122" t="s">
        <v>1129</v>
      </c>
      <c r="H58" s="122"/>
      <c r="I58" s="111" t="s">
        <v>5639</v>
      </c>
    </row>
    <row r="59" ht="75" customHeight="1" spans="1:9">
      <c r="A59" s="111" t="s">
        <v>5640</v>
      </c>
      <c r="B59" s="111" t="s">
        <v>5641</v>
      </c>
      <c r="C59" s="122" t="s">
        <v>1135</v>
      </c>
      <c r="D59" s="111" t="s">
        <v>5642</v>
      </c>
      <c r="E59" s="111" t="s">
        <v>5643</v>
      </c>
      <c r="F59" s="111" t="s">
        <v>5644</v>
      </c>
      <c r="G59" s="122" t="s">
        <v>1129</v>
      </c>
      <c r="H59" s="122"/>
      <c r="I59" s="111" t="s">
        <v>5645</v>
      </c>
    </row>
    <row r="60" ht="15.75" spans="1:9">
      <c r="A60" s="109" t="s">
        <v>5646</v>
      </c>
      <c r="B60" s="16"/>
      <c r="C60" s="16"/>
      <c r="D60" s="16"/>
      <c r="E60" s="16"/>
      <c r="F60" s="16"/>
      <c r="G60" s="16"/>
      <c r="H60" s="16"/>
      <c r="I60" s="17"/>
    </row>
    <row r="61" ht="180" customHeight="1" spans="1:9">
      <c r="A61" s="111" t="s">
        <v>5647</v>
      </c>
      <c r="B61" s="111" t="s">
        <v>5648</v>
      </c>
      <c r="C61" s="122" t="s">
        <v>1134</v>
      </c>
      <c r="D61" s="111" t="s">
        <v>5649</v>
      </c>
      <c r="E61" s="111" t="s">
        <v>5650</v>
      </c>
      <c r="F61" s="111" t="s">
        <v>5651</v>
      </c>
      <c r="G61" s="122" t="s">
        <v>1130</v>
      </c>
      <c r="H61" s="122">
        <v>1</v>
      </c>
      <c r="I61" s="111" t="s">
        <v>5652</v>
      </c>
    </row>
    <row r="62" ht="60" customHeight="1" spans="1:9">
      <c r="A62" s="111" t="s">
        <v>5653</v>
      </c>
      <c r="B62" s="111" t="s">
        <v>5654</v>
      </c>
      <c r="C62" s="122" t="s">
        <v>1135</v>
      </c>
      <c r="D62" s="111" t="s">
        <v>5655</v>
      </c>
      <c r="E62" s="111" t="s">
        <v>5656</v>
      </c>
      <c r="F62" s="111" t="s">
        <v>5657</v>
      </c>
      <c r="G62" s="122" t="s">
        <v>1129</v>
      </c>
      <c r="H62" s="122"/>
      <c r="I62" s="111" t="s">
        <v>5658</v>
      </c>
    </row>
    <row r="63" ht="30" customHeight="1" spans="1:9">
      <c r="A63" s="111" t="s">
        <v>5659</v>
      </c>
      <c r="B63" s="111" t="s">
        <v>5660</v>
      </c>
      <c r="C63" s="122" t="s">
        <v>1135</v>
      </c>
      <c r="D63" s="111" t="s">
        <v>5661</v>
      </c>
      <c r="E63" s="111" t="s">
        <v>5662</v>
      </c>
      <c r="F63" s="111" t="s">
        <v>5663</v>
      </c>
      <c r="G63" s="122" t="s">
        <v>1129</v>
      </c>
      <c r="H63" s="122"/>
      <c r="I63" s="111" t="s">
        <v>5664</v>
      </c>
    </row>
    <row r="64" ht="15.75" spans="1:9">
      <c r="A64" s="109" t="s">
        <v>5665</v>
      </c>
      <c r="B64" s="16"/>
      <c r="C64" s="16"/>
      <c r="D64" s="16"/>
      <c r="E64" s="16"/>
      <c r="F64" s="16"/>
      <c r="G64" s="16"/>
      <c r="H64" s="16"/>
      <c r="I64" s="17"/>
    </row>
    <row r="65" ht="165" customHeight="1" spans="1:9">
      <c r="A65" s="111" t="s">
        <v>5666</v>
      </c>
      <c r="B65" s="111" t="s">
        <v>5667</v>
      </c>
      <c r="C65" s="122" t="s">
        <v>1133</v>
      </c>
      <c r="D65" s="111" t="s">
        <v>5668</v>
      </c>
      <c r="E65" s="111" t="s">
        <v>5669</v>
      </c>
      <c r="F65" s="111" t="s">
        <v>5670</v>
      </c>
      <c r="G65" s="122" t="s">
        <v>1130</v>
      </c>
      <c r="H65" s="122">
        <v>1</v>
      </c>
      <c r="I65" s="111" t="s">
        <v>5671</v>
      </c>
    </row>
    <row r="66" ht="90" customHeight="1" spans="1:9">
      <c r="A66" s="111" t="s">
        <v>5672</v>
      </c>
      <c r="B66" s="111" t="s">
        <v>5673</v>
      </c>
      <c r="C66" s="122" t="s">
        <v>1133</v>
      </c>
      <c r="D66" s="111" t="s">
        <v>5674</v>
      </c>
      <c r="E66" s="111" t="s">
        <v>5675</v>
      </c>
      <c r="F66" s="111" t="s">
        <v>5676</v>
      </c>
      <c r="G66" s="122" t="s">
        <v>1130</v>
      </c>
      <c r="H66" s="122">
        <v>1</v>
      </c>
      <c r="I66" s="111" t="s">
        <v>5677</v>
      </c>
    </row>
    <row r="67" ht="105" customHeight="1" spans="1:9">
      <c r="A67" s="111" t="s">
        <v>5678</v>
      </c>
      <c r="B67" s="111" t="s">
        <v>5679</v>
      </c>
      <c r="C67" s="122" t="s">
        <v>1134</v>
      </c>
      <c r="D67" s="111" t="s">
        <v>5680</v>
      </c>
      <c r="E67" s="111" t="s">
        <v>5681</v>
      </c>
      <c r="F67" s="111" t="s">
        <v>5682</v>
      </c>
      <c r="G67" s="122" t="s">
        <v>1129</v>
      </c>
      <c r="H67" s="122"/>
      <c r="I67" s="111" t="s">
        <v>5683</v>
      </c>
    </row>
    <row r="68" ht="30" customHeight="1" spans="1:9">
      <c r="A68" s="111" t="s">
        <v>5684</v>
      </c>
      <c r="B68" s="111" t="s">
        <v>5685</v>
      </c>
      <c r="C68" s="122" t="s">
        <v>1133</v>
      </c>
      <c r="D68" s="111" t="s">
        <v>5686</v>
      </c>
      <c r="E68" s="111" t="s">
        <v>5687</v>
      </c>
      <c r="F68" s="111" t="s">
        <v>5688</v>
      </c>
      <c r="G68" s="122" t="s">
        <v>1129</v>
      </c>
      <c r="H68" s="122"/>
      <c r="I68" s="111" t="s">
        <v>7</v>
      </c>
    </row>
  </sheetData>
  <mergeCells count="15">
    <mergeCell ref="A1:C1"/>
    <mergeCell ref="A3:C3"/>
    <mergeCell ref="A9:N9"/>
    <mergeCell ref="A38:I38"/>
    <mergeCell ref="A39:I39"/>
    <mergeCell ref="A40:I40"/>
    <mergeCell ref="A41:I41"/>
    <mergeCell ref="A42:I42"/>
    <mergeCell ref="A43:I43"/>
    <mergeCell ref="A44:I44"/>
    <mergeCell ref="A45:I45"/>
    <mergeCell ref="A46:I46"/>
    <mergeCell ref="A51:I51"/>
    <mergeCell ref="A60:I60"/>
    <mergeCell ref="A64:I64"/>
  </mergeCells>
  <conditionalFormatting sqref="G51:G68">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2"/>
  <sheetViews>
    <sheetView workbookViewId="0">
      <selection activeCell="A1" sqref="A1:E1"/>
    </sheetView>
  </sheetViews>
  <sheetFormatPr defaultColWidth="9" defaultRowHeight="15"/>
  <cols>
    <col min="1" max="1" width="18" customWidth="1"/>
    <col min="2" max="2" width="24" customWidth="1"/>
    <col min="3" max="3" width="34" customWidth="1"/>
    <col min="4" max="4" width="18" customWidth="1"/>
    <col min="5" max="5" width="10" customWidth="1"/>
    <col min="6" max="6" width="34" customWidth="1"/>
    <col min="7" max="7" width="26" customWidth="1"/>
    <col min="8" max="8" width="30" customWidth="1"/>
    <col min="9" max="9" width="36" customWidth="1"/>
    <col min="10" max="10" width="10" customWidth="1"/>
    <col min="11" max="11" width="30" customWidth="1"/>
    <col min="12" max="12" width="9.14285714285714" customWidth="1"/>
  </cols>
  <sheetData>
    <row r="1" ht="20.25" spans="1:5">
      <c r="A1" s="74" t="s">
        <v>1295</v>
      </c>
    </row>
    <row r="2" spans="1:5">
      <c r="A2" s="75" t="s">
        <v>5689</v>
      </c>
      <c r="B2" s="16"/>
      <c r="C2" s="16"/>
      <c r="D2" s="16"/>
      <c r="E2" s="17"/>
    </row>
    <row r="3" customHeight="1" spans="1:5">
      <c r="A3" s="76" t="s">
        <v>1297</v>
      </c>
      <c r="B3" s="17"/>
      <c r="C3" s="77" t="s">
        <v>1298</v>
      </c>
      <c r="D3" s="16"/>
      <c r="E3" s="17"/>
    </row>
    <row r="4" customHeight="1" spans="1:5">
      <c r="A4" s="76" t="s">
        <v>1299</v>
      </c>
      <c r="B4" s="17"/>
      <c r="C4" s="78" t="s">
        <v>1300</v>
      </c>
      <c r="D4" s="16"/>
      <c r="E4" s="17"/>
    </row>
    <row r="5" customHeight="1" spans="1:5">
      <c r="A5" s="76" t="s">
        <v>1301</v>
      </c>
      <c r="B5" s="17"/>
      <c r="C5" s="77" t="s">
        <v>5690</v>
      </c>
      <c r="D5" s="16"/>
      <c r="E5" s="17"/>
    </row>
    <row r="6" customHeight="1" spans="1:5">
      <c r="A6" s="76" t="s">
        <v>1303</v>
      </c>
      <c r="B6" s="17"/>
      <c r="C6" s="78" t="s">
        <v>1304</v>
      </c>
      <c r="D6" s="16"/>
      <c r="E6" s="17"/>
    </row>
    <row r="7" ht="30" customHeight="1" spans="1:5">
      <c r="A7" s="76" t="s">
        <v>1305</v>
      </c>
      <c r="B7" s="17"/>
      <c r="C7" s="77" t="s">
        <v>5691</v>
      </c>
      <c r="D7" s="16"/>
      <c r="E7" s="17"/>
    </row>
    <row r="8" ht="75" customHeight="1" spans="1:5">
      <c r="A8" s="76" t="s">
        <v>1307</v>
      </c>
      <c r="B8" s="17"/>
      <c r="C8" s="77" t="s">
        <v>5692</v>
      </c>
      <c r="D8" s="16"/>
      <c r="E8" s="17"/>
    </row>
    <row r="10" ht="16.5" spans="1:5">
      <c r="A10" s="79" t="s">
        <v>1309</v>
      </c>
    </row>
    <row r="11" spans="1:5">
      <c r="A11" s="80" t="s">
        <v>1310</v>
      </c>
    </row>
    <row r="12" spans="1:5">
      <c r="A12" s="81" t="s">
        <v>211</v>
      </c>
      <c r="B12" s="81" t="s">
        <v>1311</v>
      </c>
      <c r="C12" s="81" t="s">
        <v>1312</v>
      </c>
      <c r="D12" s="82"/>
      <c r="E12" s="81" t="s">
        <v>430</v>
      </c>
    </row>
    <row r="13" ht="45" customHeight="1" spans="1:5">
      <c r="A13" s="83">
        <v>1</v>
      </c>
      <c r="B13" s="84" t="s">
        <v>5693</v>
      </c>
      <c r="C13" s="84" t="s">
        <v>5694</v>
      </c>
      <c r="D13" s="17"/>
      <c r="E13" s="85" t="s">
        <v>5695</v>
      </c>
    </row>
    <row r="14" ht="75" customHeight="1" spans="1:5">
      <c r="A14" s="83">
        <v>2</v>
      </c>
      <c r="B14" s="84" t="s">
        <v>5696</v>
      </c>
      <c r="C14" s="85" t="s">
        <v>5697</v>
      </c>
      <c r="D14" s="17"/>
      <c r="E14" s="85" t="s">
        <v>5698</v>
      </c>
    </row>
    <row r="15" ht="60" customHeight="1" spans="1:5">
      <c r="A15" s="83">
        <v>3</v>
      </c>
      <c r="B15" s="84" t="s">
        <v>5699</v>
      </c>
      <c r="C15" s="85" t="s">
        <v>5700</v>
      </c>
      <c r="D15" s="17"/>
      <c r="E15" s="85" t="s">
        <v>5701</v>
      </c>
    </row>
    <row r="17" spans="1:5">
      <c r="A17" s="86" t="s">
        <v>1328</v>
      </c>
      <c r="B17" s="16"/>
      <c r="C17" s="16"/>
      <c r="D17" s="16"/>
      <c r="E17" s="17"/>
    </row>
    <row r="18" ht="45" customHeight="1" spans="1:5">
      <c r="A18" s="87">
        <v>1</v>
      </c>
      <c r="B18" s="88" t="s">
        <v>5702</v>
      </c>
      <c r="C18" s="89" t="s">
        <v>5703</v>
      </c>
      <c r="D18" s="16"/>
      <c r="E18" s="17"/>
    </row>
    <row r="19" ht="30" customHeight="1" spans="1:5">
      <c r="A19" s="87">
        <v>2</v>
      </c>
      <c r="B19" s="88" t="s">
        <v>5704</v>
      </c>
      <c r="C19" s="89" t="s">
        <v>5705</v>
      </c>
      <c r="D19" s="16"/>
      <c r="E19" s="17"/>
    </row>
    <row r="20" ht="30" customHeight="1" spans="1:5">
      <c r="A20" s="87">
        <v>3</v>
      </c>
      <c r="B20" s="88" t="s">
        <v>5706</v>
      </c>
      <c r="C20" s="89" t="s">
        <v>5707</v>
      </c>
      <c r="D20" s="16"/>
      <c r="E20" s="17"/>
    </row>
    <row r="22" spans="1:5">
      <c r="A22" s="90" t="s">
        <v>1335</v>
      </c>
      <c r="B22" s="16"/>
      <c r="C22" s="16"/>
      <c r="D22" s="16"/>
      <c r="E22" s="17"/>
    </row>
    <row r="23" spans="1:5">
      <c r="A23" s="81" t="s">
        <v>211</v>
      </c>
      <c r="B23" s="81" t="s">
        <v>1311</v>
      </c>
      <c r="C23" s="81" t="s">
        <v>1336</v>
      </c>
      <c r="D23" s="91"/>
      <c r="E23" s="82"/>
    </row>
    <row r="24" ht="45" customHeight="1" spans="1:5">
      <c r="A24" s="87">
        <v>1</v>
      </c>
      <c r="B24" s="88" t="s">
        <v>5708</v>
      </c>
      <c r="C24" s="89" t="s">
        <v>5709</v>
      </c>
      <c r="D24" s="16"/>
      <c r="E24" s="17"/>
    </row>
    <row r="25" ht="45" customHeight="1" spans="1:5">
      <c r="A25" s="87">
        <v>2</v>
      </c>
      <c r="B25" s="88" t="s">
        <v>5710</v>
      </c>
      <c r="C25" s="89" t="s">
        <v>5711</v>
      </c>
      <c r="D25" s="16"/>
      <c r="E25" s="17"/>
    </row>
    <row r="26" ht="45" customHeight="1" spans="1:5">
      <c r="A26" s="87">
        <v>3</v>
      </c>
      <c r="B26" s="88" t="s">
        <v>5712</v>
      </c>
      <c r="C26" s="89" t="s">
        <v>5713</v>
      </c>
      <c r="D26" s="16"/>
      <c r="E26" s="17"/>
    </row>
    <row r="27" ht="60" customHeight="1" spans="1:5">
      <c r="A27" s="87">
        <v>4</v>
      </c>
      <c r="B27" s="88" t="s">
        <v>5714</v>
      </c>
      <c r="C27" s="89" t="s">
        <v>5715</v>
      </c>
      <c r="D27" s="16"/>
      <c r="E27" s="17"/>
    </row>
    <row r="29" spans="1:5">
      <c r="A29" s="86" t="s">
        <v>1349</v>
      </c>
      <c r="B29" s="16"/>
      <c r="C29" s="16"/>
      <c r="D29" s="16"/>
      <c r="E29" s="17"/>
    </row>
    <row r="30" ht="25.5" spans="1:5">
      <c r="A30" s="81" t="s">
        <v>1350</v>
      </c>
      <c r="B30" s="81" t="s">
        <v>1351</v>
      </c>
      <c r="C30" s="81" t="s">
        <v>1352</v>
      </c>
      <c r="D30" s="81" t="s">
        <v>1353</v>
      </c>
      <c r="E30" s="81" t="s">
        <v>1354</v>
      </c>
    </row>
    <row r="31" ht="25.5" spans="1:5">
      <c r="A31" s="85" t="s">
        <v>5716</v>
      </c>
      <c r="B31" s="85" t="s">
        <v>5717</v>
      </c>
      <c r="C31" s="92">
        <v>0.991</v>
      </c>
      <c r="D31" s="92">
        <v>0.886</v>
      </c>
      <c r="E31" s="93" t="s">
        <v>5718</v>
      </c>
    </row>
    <row r="32" ht="25.5" spans="1:5">
      <c r="A32" s="85" t="s">
        <v>5719</v>
      </c>
      <c r="B32" s="85" t="s">
        <v>5720</v>
      </c>
      <c r="C32" s="92">
        <v>1</v>
      </c>
      <c r="D32" s="92">
        <v>1</v>
      </c>
      <c r="E32" s="93" t="s">
        <v>5721</v>
      </c>
    </row>
    <row r="33" ht="25.5" spans="1:11">
      <c r="A33" s="85" t="s">
        <v>5722</v>
      </c>
      <c r="B33" s="85" t="s">
        <v>5723</v>
      </c>
      <c r="C33" s="92">
        <v>0.989</v>
      </c>
      <c r="D33" s="92">
        <v>0.9</v>
      </c>
      <c r="E33" s="93" t="s">
        <v>5724</v>
      </c>
    </row>
    <row r="34" ht="30" spans="1:11">
      <c r="A34" s="80" t="s">
        <v>1365</v>
      </c>
      <c r="B34" s="80" t="s">
        <v>7</v>
      </c>
      <c r="C34" s="94">
        <v>0.991</v>
      </c>
      <c r="D34" s="94">
        <v>0.907</v>
      </c>
      <c r="E34" s="80" t="s">
        <v>7</v>
      </c>
    </row>
    <row r="35" ht="45" customHeight="1" spans="1:11">
      <c r="A35" s="95" t="s">
        <v>3964</v>
      </c>
      <c r="B35" s="16"/>
      <c r="C35" s="16"/>
      <c r="D35" s="16"/>
      <c r="E35" s="17"/>
    </row>
    <row r="39" spans="1:11">
      <c r="A39" s="96" t="s">
        <v>1367</v>
      </c>
      <c r="B39" s="91"/>
      <c r="C39" s="91"/>
      <c r="D39" s="91"/>
      <c r="E39" s="91"/>
      <c r="F39" s="91"/>
      <c r="G39" s="91"/>
      <c r="H39" s="91"/>
      <c r="I39" s="91"/>
      <c r="J39" s="91"/>
      <c r="K39" s="82"/>
    </row>
    <row r="40" ht="33" spans="1:11">
      <c r="A40" s="97" t="s">
        <v>1368</v>
      </c>
      <c r="B40" s="97" t="s">
        <v>1369</v>
      </c>
      <c r="C40" s="97" t="s">
        <v>1370</v>
      </c>
      <c r="D40" s="97" t="s">
        <v>1371</v>
      </c>
      <c r="E40" s="97" t="s">
        <v>1372</v>
      </c>
      <c r="F40" s="97" t="s">
        <v>1373</v>
      </c>
      <c r="G40" s="97" t="s">
        <v>1374</v>
      </c>
      <c r="H40" s="97" t="s">
        <v>1375</v>
      </c>
      <c r="I40" s="97" t="s">
        <v>1376</v>
      </c>
      <c r="J40" s="97" t="s">
        <v>1377</v>
      </c>
      <c r="K40" s="97" t="s">
        <v>1378</v>
      </c>
    </row>
    <row r="41" spans="1:11">
      <c r="A41" s="98" t="s">
        <v>5693</v>
      </c>
      <c r="B41" s="99"/>
      <c r="C41" s="99"/>
      <c r="D41" s="99"/>
      <c r="E41" s="99"/>
      <c r="F41" s="99"/>
      <c r="G41" s="99"/>
      <c r="H41" s="99"/>
      <c r="I41" s="99"/>
      <c r="J41" s="99"/>
      <c r="K41" s="100"/>
    </row>
    <row r="42" ht="90" customHeight="1" spans="1:11">
      <c r="A42" s="101" t="s">
        <v>5725</v>
      </c>
      <c r="B42" s="101" t="s">
        <v>5693</v>
      </c>
      <c r="C42" s="101" t="s">
        <v>5726</v>
      </c>
      <c r="D42" s="101" t="s">
        <v>5694</v>
      </c>
      <c r="E42" s="102" t="s">
        <v>7</v>
      </c>
      <c r="F42" s="101" t="s">
        <v>5727</v>
      </c>
      <c r="G42" s="101" t="s">
        <v>428</v>
      </c>
      <c r="H42" s="101" t="s">
        <v>5728</v>
      </c>
      <c r="I42" s="101" t="s">
        <v>5729</v>
      </c>
      <c r="J42" s="102" t="s">
        <v>1385</v>
      </c>
      <c r="K42" s="101" t="s">
        <v>1386</v>
      </c>
    </row>
    <row r="43" ht="45" customHeight="1" spans="1:11">
      <c r="A43" s="101" t="s">
        <v>5730</v>
      </c>
      <c r="B43" s="101" t="s">
        <v>5693</v>
      </c>
      <c r="C43" s="101" t="s">
        <v>5726</v>
      </c>
      <c r="D43" s="101" t="s">
        <v>5694</v>
      </c>
      <c r="E43" s="102" t="s">
        <v>7</v>
      </c>
      <c r="F43" s="101" t="s">
        <v>5731</v>
      </c>
      <c r="G43" s="101" t="s">
        <v>428</v>
      </c>
      <c r="H43" s="101" t="s">
        <v>5732</v>
      </c>
      <c r="I43" s="101" t="s">
        <v>5733</v>
      </c>
      <c r="J43" s="102" t="s">
        <v>1385</v>
      </c>
      <c r="K43" s="101" t="s">
        <v>1386</v>
      </c>
    </row>
    <row r="44" spans="1:11">
      <c r="A44" s="98" t="s">
        <v>5696</v>
      </c>
      <c r="B44" s="99"/>
      <c r="C44" s="99"/>
      <c r="D44" s="99"/>
      <c r="E44" s="99"/>
      <c r="F44" s="99"/>
      <c r="G44" s="99"/>
      <c r="H44" s="99"/>
      <c r="I44" s="99"/>
      <c r="J44" s="99"/>
      <c r="K44" s="100"/>
    </row>
    <row r="45" ht="90" customHeight="1" spans="1:11">
      <c r="A45" s="101" t="s">
        <v>5734</v>
      </c>
      <c r="B45" s="101" t="s">
        <v>5696</v>
      </c>
      <c r="C45" s="101" t="s">
        <v>5735</v>
      </c>
      <c r="D45" s="101" t="s">
        <v>5736</v>
      </c>
      <c r="E45" s="102" t="s">
        <v>7</v>
      </c>
      <c r="F45" s="101" t="s">
        <v>5737</v>
      </c>
      <c r="G45" s="101" t="s">
        <v>5738</v>
      </c>
      <c r="H45" s="101" t="s">
        <v>5739</v>
      </c>
      <c r="I45" s="101" t="s">
        <v>5740</v>
      </c>
      <c r="J45" s="102" t="s">
        <v>1385</v>
      </c>
      <c r="K45" s="101" t="s">
        <v>1404</v>
      </c>
    </row>
    <row r="46" ht="60" customHeight="1" spans="1:11">
      <c r="A46" s="101" t="s">
        <v>5741</v>
      </c>
      <c r="B46" s="101" t="s">
        <v>5696</v>
      </c>
      <c r="C46" s="101" t="s">
        <v>5735</v>
      </c>
      <c r="D46" s="101" t="s">
        <v>5742</v>
      </c>
      <c r="E46" s="102" t="s">
        <v>7</v>
      </c>
      <c r="F46" s="101" t="s">
        <v>5743</v>
      </c>
      <c r="G46" s="101" t="s">
        <v>5744</v>
      </c>
      <c r="H46" s="101" t="s">
        <v>5745</v>
      </c>
      <c r="I46" s="101" t="s">
        <v>5746</v>
      </c>
      <c r="J46" s="102" t="s">
        <v>1385</v>
      </c>
      <c r="K46" s="101" t="s">
        <v>1404</v>
      </c>
    </row>
    <row r="47" ht="75" customHeight="1" spans="1:11">
      <c r="A47" s="101" t="s">
        <v>5747</v>
      </c>
      <c r="B47" s="101" t="s">
        <v>5696</v>
      </c>
      <c r="C47" s="101" t="s">
        <v>5735</v>
      </c>
      <c r="D47" s="101" t="s">
        <v>5742</v>
      </c>
      <c r="E47" s="102" t="s">
        <v>7</v>
      </c>
      <c r="F47" s="101" t="s">
        <v>5748</v>
      </c>
      <c r="G47" s="101" t="s">
        <v>5749</v>
      </c>
      <c r="H47" s="101" t="s">
        <v>5750</v>
      </c>
      <c r="I47" s="101" t="s">
        <v>5751</v>
      </c>
      <c r="J47" s="102" t="s">
        <v>1385</v>
      </c>
      <c r="K47" s="101" t="s">
        <v>1404</v>
      </c>
    </row>
    <row r="48" ht="75" customHeight="1" spans="1:11">
      <c r="A48" s="101" t="s">
        <v>5752</v>
      </c>
      <c r="B48" s="101" t="s">
        <v>5696</v>
      </c>
      <c r="C48" s="101" t="s">
        <v>5735</v>
      </c>
      <c r="D48" s="101" t="s">
        <v>5753</v>
      </c>
      <c r="E48" s="102" t="s">
        <v>7</v>
      </c>
      <c r="F48" s="101" t="s">
        <v>5754</v>
      </c>
      <c r="G48" s="101" t="s">
        <v>5755</v>
      </c>
      <c r="H48" s="101" t="s">
        <v>5756</v>
      </c>
      <c r="I48" s="101" t="s">
        <v>5757</v>
      </c>
      <c r="J48" s="102" t="s">
        <v>1385</v>
      </c>
      <c r="K48" s="101" t="s">
        <v>1404</v>
      </c>
    </row>
    <row r="49" ht="60" customHeight="1" spans="1:11">
      <c r="A49" s="101" t="s">
        <v>5758</v>
      </c>
      <c r="B49" s="101" t="s">
        <v>5696</v>
      </c>
      <c r="C49" s="101" t="s">
        <v>5735</v>
      </c>
      <c r="D49" s="101" t="s">
        <v>5759</v>
      </c>
      <c r="E49" s="102" t="s">
        <v>7</v>
      </c>
      <c r="F49" s="101" t="s">
        <v>5760</v>
      </c>
      <c r="G49" s="101" t="s">
        <v>5761</v>
      </c>
      <c r="H49" s="101" t="s">
        <v>5762</v>
      </c>
      <c r="I49" s="101" t="s">
        <v>5763</v>
      </c>
      <c r="J49" s="102" t="s">
        <v>1385</v>
      </c>
      <c r="K49" s="101" t="s">
        <v>1404</v>
      </c>
    </row>
    <row r="50" ht="60" customHeight="1" spans="1:11">
      <c r="A50" s="101" t="s">
        <v>5764</v>
      </c>
      <c r="B50" s="101" t="s">
        <v>5696</v>
      </c>
      <c r="C50" s="101" t="s">
        <v>5735</v>
      </c>
      <c r="D50" s="101" t="s">
        <v>5765</v>
      </c>
      <c r="E50" s="102" t="s">
        <v>7</v>
      </c>
      <c r="F50" s="101" t="s">
        <v>5766</v>
      </c>
      <c r="G50" s="101" t="s">
        <v>5767</v>
      </c>
      <c r="H50" s="101" t="s">
        <v>5768</v>
      </c>
      <c r="I50" s="101" t="s">
        <v>5769</v>
      </c>
      <c r="J50" s="102" t="s">
        <v>1385</v>
      </c>
      <c r="K50" s="101" t="s">
        <v>1404</v>
      </c>
    </row>
    <row r="51" spans="1:11">
      <c r="A51" s="98" t="s">
        <v>5699</v>
      </c>
      <c r="B51" s="99"/>
      <c r="C51" s="99"/>
      <c r="D51" s="99"/>
      <c r="E51" s="99"/>
      <c r="F51" s="99"/>
      <c r="G51" s="99"/>
      <c r="H51" s="99"/>
      <c r="I51" s="99"/>
      <c r="J51" s="99"/>
      <c r="K51" s="100"/>
    </row>
    <row r="52" ht="60" customHeight="1" spans="1:11">
      <c r="A52" s="101" t="s">
        <v>5770</v>
      </c>
      <c r="B52" s="101" t="s">
        <v>5699</v>
      </c>
      <c r="C52" s="101" t="s">
        <v>5771</v>
      </c>
      <c r="D52" s="101" t="s">
        <v>3938</v>
      </c>
      <c r="E52" s="102" t="s">
        <v>7</v>
      </c>
      <c r="F52" s="101" t="s">
        <v>5772</v>
      </c>
      <c r="G52" s="101" t="s">
        <v>5773</v>
      </c>
      <c r="H52" s="101" t="s">
        <v>5774</v>
      </c>
      <c r="I52" s="101" t="s">
        <v>5775</v>
      </c>
      <c r="J52" s="102" t="s">
        <v>1385</v>
      </c>
      <c r="K52" s="101" t="s">
        <v>4071</v>
      </c>
    </row>
    <row r="53" ht="60" customHeight="1" spans="1:11">
      <c r="A53" s="101" t="s">
        <v>5776</v>
      </c>
      <c r="B53" s="101" t="s">
        <v>5699</v>
      </c>
      <c r="C53" s="101" t="s">
        <v>5771</v>
      </c>
      <c r="D53" s="101" t="s">
        <v>5777</v>
      </c>
      <c r="E53" s="102" t="s">
        <v>7</v>
      </c>
      <c r="F53" s="101" t="s">
        <v>5778</v>
      </c>
      <c r="G53" s="101" t="s">
        <v>5773</v>
      </c>
      <c r="H53" s="101" t="s">
        <v>5779</v>
      </c>
      <c r="I53" s="101" t="s">
        <v>5780</v>
      </c>
      <c r="J53" s="102" t="s">
        <v>1385</v>
      </c>
      <c r="K53" s="101" t="s">
        <v>4071</v>
      </c>
    </row>
    <row r="54" ht="60" customHeight="1" spans="1:11">
      <c r="A54" s="101" t="s">
        <v>5781</v>
      </c>
      <c r="B54" s="101" t="s">
        <v>5699</v>
      </c>
      <c r="C54" s="101" t="s">
        <v>5771</v>
      </c>
      <c r="D54" s="101" t="s">
        <v>5700</v>
      </c>
      <c r="E54" s="102" t="s">
        <v>7</v>
      </c>
      <c r="F54" s="101" t="s">
        <v>5782</v>
      </c>
      <c r="G54" s="101" t="s">
        <v>5783</v>
      </c>
      <c r="H54" s="101" t="s">
        <v>5784</v>
      </c>
      <c r="I54" s="101" t="s">
        <v>5785</v>
      </c>
      <c r="J54" s="102" t="s">
        <v>1385</v>
      </c>
      <c r="K54" s="101" t="s">
        <v>4071</v>
      </c>
    </row>
    <row r="55" ht="60" customHeight="1" spans="1:11">
      <c r="A55" s="101" t="s">
        <v>5786</v>
      </c>
      <c r="B55" s="101" t="s">
        <v>5699</v>
      </c>
      <c r="C55" s="101" t="s">
        <v>5771</v>
      </c>
      <c r="D55" s="101" t="s">
        <v>5700</v>
      </c>
      <c r="E55" s="102" t="s">
        <v>7</v>
      </c>
      <c r="F55" s="101" t="s">
        <v>5787</v>
      </c>
      <c r="G55" s="101" t="s">
        <v>5773</v>
      </c>
      <c r="H55" s="101" t="s">
        <v>5788</v>
      </c>
      <c r="I55" s="101" t="s">
        <v>5789</v>
      </c>
      <c r="J55" s="102" t="s">
        <v>1385</v>
      </c>
      <c r="K55" s="101" t="s">
        <v>4071</v>
      </c>
    </row>
    <row r="56" ht="60" customHeight="1" spans="1:11">
      <c r="A56" s="101" t="s">
        <v>5790</v>
      </c>
      <c r="B56" s="101" t="s">
        <v>5699</v>
      </c>
      <c r="C56" s="101" t="s">
        <v>5771</v>
      </c>
      <c r="D56" s="101" t="s">
        <v>3938</v>
      </c>
      <c r="E56" s="102" t="s">
        <v>7</v>
      </c>
      <c r="F56" s="101" t="s">
        <v>5791</v>
      </c>
      <c r="G56" s="101" t="s">
        <v>5792</v>
      </c>
      <c r="H56" s="101" t="s">
        <v>5793</v>
      </c>
      <c r="I56" s="101" t="s">
        <v>5794</v>
      </c>
      <c r="J56" s="102" t="s">
        <v>1385</v>
      </c>
      <c r="K56" s="101" t="s">
        <v>4071</v>
      </c>
    </row>
    <row r="57" spans="1:11">
      <c r="A57" s="160" t="s">
        <v>5795</v>
      </c>
      <c r="B57" s="99"/>
      <c r="C57" s="99"/>
      <c r="D57" s="99"/>
      <c r="E57" s="99"/>
      <c r="F57" s="99"/>
      <c r="G57" s="99"/>
      <c r="H57" s="99"/>
      <c r="I57" s="99"/>
      <c r="J57" s="99"/>
      <c r="K57" s="100"/>
    </row>
    <row r="58" ht="60" customHeight="1" spans="1:11">
      <c r="A58" s="101" t="s">
        <v>5796</v>
      </c>
      <c r="B58" s="101" t="s">
        <v>5795</v>
      </c>
      <c r="C58" s="101" t="s">
        <v>5797</v>
      </c>
      <c r="D58" s="101" t="s">
        <v>5798</v>
      </c>
      <c r="E58" s="102" t="s">
        <v>7</v>
      </c>
      <c r="F58" s="101" t="s">
        <v>5799</v>
      </c>
      <c r="G58" s="101" t="s">
        <v>5800</v>
      </c>
      <c r="H58" s="101" t="s">
        <v>5801</v>
      </c>
      <c r="I58" s="101" t="s">
        <v>5802</v>
      </c>
      <c r="J58" s="102" t="s">
        <v>1508</v>
      </c>
      <c r="K58" s="101" t="s">
        <v>1404</v>
      </c>
    </row>
    <row r="59" spans="1:11">
      <c r="A59" s="98" t="s">
        <v>5696</v>
      </c>
      <c r="B59" s="99"/>
      <c r="C59" s="99"/>
      <c r="D59" s="99"/>
      <c r="E59" s="99"/>
      <c r="F59" s="99"/>
      <c r="G59" s="99"/>
      <c r="H59" s="99"/>
      <c r="I59" s="99"/>
      <c r="J59" s="99"/>
      <c r="K59" s="100"/>
    </row>
    <row r="60" ht="60" customHeight="1" spans="1:11">
      <c r="A60" s="101" t="s">
        <v>5803</v>
      </c>
      <c r="B60" s="101" t="s">
        <v>5696</v>
      </c>
      <c r="C60" s="101" t="s">
        <v>5797</v>
      </c>
      <c r="D60" s="101" t="s">
        <v>5759</v>
      </c>
      <c r="E60" s="102" t="s">
        <v>7</v>
      </c>
      <c r="F60" s="101" t="s">
        <v>5804</v>
      </c>
      <c r="G60" s="101" t="s">
        <v>5805</v>
      </c>
      <c r="H60" s="101" t="s">
        <v>5806</v>
      </c>
      <c r="I60" s="101" t="s">
        <v>5807</v>
      </c>
      <c r="J60" s="102" t="s">
        <v>1508</v>
      </c>
      <c r="K60" s="101" t="s">
        <v>1404</v>
      </c>
    </row>
    <row r="61" ht="60" customHeight="1" spans="1:11">
      <c r="A61" s="101" t="s">
        <v>5808</v>
      </c>
      <c r="B61" s="101" t="s">
        <v>5696</v>
      </c>
      <c r="C61" s="101" t="s">
        <v>5797</v>
      </c>
      <c r="D61" s="101" t="s">
        <v>5759</v>
      </c>
      <c r="E61" s="102" t="s">
        <v>7</v>
      </c>
      <c r="F61" s="101" t="s">
        <v>5809</v>
      </c>
      <c r="G61" s="101" t="s">
        <v>5810</v>
      </c>
      <c r="H61" s="101" t="s">
        <v>5811</v>
      </c>
      <c r="I61" s="101" t="s">
        <v>5812</v>
      </c>
      <c r="J61" s="102" t="s">
        <v>1508</v>
      </c>
      <c r="K61" s="101" t="s">
        <v>1404</v>
      </c>
    </row>
    <row r="63" spans="1:11">
      <c r="A63" s="80" t="s">
        <v>1526</v>
      </c>
      <c r="B63" s="103">
        <f>COUNTIF(J41:J61,"PASS")+COUNTIF(J41:J61,"FAIL")</f>
        <v>16</v>
      </c>
    </row>
    <row r="64" spans="1:11">
      <c r="A64" s="80" t="s">
        <v>1385</v>
      </c>
      <c r="B64" s="103">
        <f>COUNTIF(J41:J61,"PASS")</f>
        <v>13</v>
      </c>
    </row>
    <row r="65" spans="1:11">
      <c r="A65" s="80" t="s">
        <v>1508</v>
      </c>
      <c r="B65" s="103">
        <f>COUNTIF(J41:J61,"FAIL")</f>
        <v>3</v>
      </c>
    </row>
    <row r="66" spans="1:11">
      <c r="A66" s="80" t="s">
        <v>1527</v>
      </c>
      <c r="B66" s="104">
        <f>IFERROR(B64/B63,0)</f>
        <v>0.8125</v>
      </c>
    </row>
    <row r="68" spans="1:11">
      <c r="A68" s="105" t="s">
        <v>1528</v>
      </c>
      <c r="B68" s="16"/>
      <c r="C68" s="16"/>
      <c r="D68" s="16"/>
      <c r="E68" s="16"/>
      <c r="F68" s="16"/>
      <c r="G68" s="16"/>
      <c r="H68" s="16"/>
      <c r="I68" s="16"/>
      <c r="J68" s="16"/>
      <c r="K68" s="17"/>
    </row>
    <row r="69" ht="16.5" spans="1:11">
      <c r="A69" s="106" t="s">
        <v>1368</v>
      </c>
      <c r="B69" s="106" t="s">
        <v>1529</v>
      </c>
      <c r="C69" s="16"/>
      <c r="D69" s="16"/>
      <c r="E69" s="16"/>
      <c r="F69" s="16"/>
      <c r="G69" s="16"/>
      <c r="H69" s="17"/>
      <c r="I69" s="106" t="s">
        <v>1530</v>
      </c>
      <c r="J69" s="16"/>
      <c r="K69" s="17"/>
    </row>
    <row r="70" ht="30" customHeight="1" spans="1:11">
      <c r="A70" s="101" t="s">
        <v>5796</v>
      </c>
      <c r="B70" s="101" t="s">
        <v>5813</v>
      </c>
      <c r="C70" s="99"/>
      <c r="D70" s="99"/>
      <c r="E70" s="99"/>
      <c r="F70" s="99"/>
      <c r="G70" s="99"/>
      <c r="H70" s="100"/>
      <c r="I70" s="101" t="s">
        <v>5814</v>
      </c>
      <c r="J70" s="99"/>
      <c r="K70" s="100"/>
    </row>
    <row r="71" ht="30" customHeight="1" spans="1:11">
      <c r="A71" s="101" t="s">
        <v>5803</v>
      </c>
      <c r="B71" s="101" t="s">
        <v>5815</v>
      </c>
      <c r="C71" s="99"/>
      <c r="D71" s="99"/>
      <c r="E71" s="99"/>
      <c r="F71" s="99"/>
      <c r="G71" s="99"/>
      <c r="H71" s="100"/>
      <c r="I71" s="101" t="s">
        <v>5816</v>
      </c>
      <c r="J71" s="99"/>
      <c r="K71" s="100"/>
    </row>
    <row r="72" ht="30" customHeight="1" spans="1:11">
      <c r="A72" s="101" t="s">
        <v>5808</v>
      </c>
      <c r="B72" s="101" t="s">
        <v>5817</v>
      </c>
      <c r="C72" s="99"/>
      <c r="D72" s="99"/>
      <c r="E72" s="99"/>
      <c r="F72" s="99"/>
      <c r="G72" s="99"/>
      <c r="H72" s="100"/>
      <c r="I72" s="101" t="s">
        <v>5818</v>
      </c>
      <c r="J72" s="99"/>
      <c r="K72" s="100"/>
    </row>
  </sheetData>
  <mergeCells count="47">
    <mergeCell ref="A1:E1"/>
    <mergeCell ref="A2:E2"/>
    <mergeCell ref="A3:B3"/>
    <mergeCell ref="C3:E3"/>
    <mergeCell ref="A4:B4"/>
    <mergeCell ref="C4:E4"/>
    <mergeCell ref="A5:B5"/>
    <mergeCell ref="C5:E5"/>
    <mergeCell ref="A6:B6"/>
    <mergeCell ref="C6:E6"/>
    <mergeCell ref="A7:B7"/>
    <mergeCell ref="C7:E7"/>
    <mergeCell ref="A8:B8"/>
    <mergeCell ref="C8:E8"/>
    <mergeCell ref="A10:E10"/>
    <mergeCell ref="A11:E11"/>
    <mergeCell ref="C12:D12"/>
    <mergeCell ref="C13:D13"/>
    <mergeCell ref="C14:D14"/>
    <mergeCell ref="C15:D15"/>
    <mergeCell ref="A17:E17"/>
    <mergeCell ref="C18:E18"/>
    <mergeCell ref="C19:E19"/>
    <mergeCell ref="C20:E20"/>
    <mergeCell ref="A22:E22"/>
    <mergeCell ref="C23:E23"/>
    <mergeCell ref="C24:E24"/>
    <mergeCell ref="C25:E25"/>
    <mergeCell ref="C26:E26"/>
    <mergeCell ref="C27:E27"/>
    <mergeCell ref="A29:E29"/>
    <mergeCell ref="A35:E35"/>
    <mergeCell ref="A39:K39"/>
    <mergeCell ref="A41:K41"/>
    <mergeCell ref="A44:K44"/>
    <mergeCell ref="A51:K51"/>
    <mergeCell ref="A57:K57"/>
    <mergeCell ref="A59:K59"/>
    <mergeCell ref="A68:K68"/>
    <mergeCell ref="B69:H69"/>
    <mergeCell ref="I69:K69"/>
    <mergeCell ref="B70:H70"/>
    <mergeCell ref="I70:K70"/>
    <mergeCell ref="B71:H71"/>
    <mergeCell ref="I71:K71"/>
    <mergeCell ref="B72:H72"/>
    <mergeCell ref="I72:K72"/>
  </mergeCells>
  <conditionalFormatting sqref="J41:J61">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workbookViewId="0">
      <pane xSplit="1" ySplit="12" topLeftCell="B13" activePane="bottomRight" state="frozen"/>
      <selection/>
      <selection pane="topRight"/>
      <selection pane="bottomLeft"/>
      <selection pane="bottomRight" activeCell="A1" sqref="A1:J1"/>
    </sheetView>
  </sheetViews>
  <sheetFormatPr defaultColWidth="9" defaultRowHeight="15"/>
  <cols>
    <col min="1" max="1" width="15" customWidth="1"/>
    <col min="2" max="2" width="34" customWidth="1"/>
    <col min="3" max="3" width="9" customWidth="1"/>
    <col min="4" max="4" width="34" customWidth="1"/>
    <col min="5" max="5" width="24" customWidth="1"/>
    <col min="6" max="6" width="34" customWidth="1"/>
    <col min="7" max="7" width="30" customWidth="1"/>
    <col min="8" max="8" width="38" customWidth="1"/>
    <col min="9" max="9" width="11" customWidth="1"/>
    <col min="10" max="10" width="34" customWidth="1"/>
  </cols>
  <sheetData>
    <row r="1" ht="20.25" spans="1:10">
      <c r="A1" s="61" t="s">
        <v>1539</v>
      </c>
    </row>
    <row r="3" spans="1:10">
      <c r="A3" s="62" t="s">
        <v>1008</v>
      </c>
      <c r="B3" s="63" t="s">
        <v>227</v>
      </c>
      <c r="D3" s="62" t="s">
        <v>1540</v>
      </c>
      <c r="E3" s="63" t="s">
        <v>7</v>
      </c>
    </row>
    <row r="4" ht="30" spans="1:10">
      <c r="A4" s="62" t="s">
        <v>1541</v>
      </c>
      <c r="B4" s="64" t="s">
        <v>1542</v>
      </c>
      <c r="D4" s="62" t="s">
        <v>1543</v>
      </c>
      <c r="E4" s="63" t="s">
        <v>233</v>
      </c>
    </row>
    <row r="5" spans="1:10">
      <c r="A5" s="62" t="s">
        <v>1544</v>
      </c>
      <c r="B5" s="63" t="s">
        <v>1545</v>
      </c>
      <c r="D5" s="62" t="s">
        <v>1546</v>
      </c>
      <c r="E5" s="63" t="s">
        <v>51</v>
      </c>
    </row>
    <row r="6" ht="45" spans="1:10">
      <c r="A6" s="62" t="s">
        <v>1547</v>
      </c>
      <c r="B6" s="63" t="s">
        <v>1548</v>
      </c>
      <c r="D6" s="62" t="s">
        <v>1549</v>
      </c>
      <c r="E6" s="64" t="s">
        <v>1550</v>
      </c>
    </row>
    <row r="8" ht="15.75" spans="1:10">
      <c r="A8" s="65" t="s">
        <v>1551</v>
      </c>
      <c r="B8" s="66"/>
      <c r="C8" s="66"/>
      <c r="D8" s="66"/>
      <c r="E8" s="66"/>
    </row>
    <row r="9" ht="28.5" spans="1:10">
      <c r="A9" s="67" t="s">
        <v>1552</v>
      </c>
      <c r="B9" s="67" t="s">
        <v>1553</v>
      </c>
      <c r="C9" s="67" t="s">
        <v>1554</v>
      </c>
      <c r="D9" s="67" t="s">
        <v>1555</v>
      </c>
      <c r="E9" s="67" t="s">
        <v>1556</v>
      </c>
    </row>
    <row r="10" spans="1:10">
      <c r="A10" s="68">
        <f>COUNTIF(I13:I22,"Pass")+COUNTIF(I13:I22,"Fail")</f>
        <v>6</v>
      </c>
      <c r="B10" s="68">
        <f>COUNTIF(I13:I22,"Pass")</f>
        <v>4</v>
      </c>
      <c r="C10" s="68">
        <f>COUNTIF(I13:I22,"Fail")</f>
        <v>2</v>
      </c>
      <c r="D10" s="69">
        <f>IFERROR(B10/A10,0)</f>
        <v>0.666666666666667</v>
      </c>
      <c r="E10" s="69">
        <f>IFERROR(C10/A10,0)</f>
        <v>0.333333333333333</v>
      </c>
    </row>
    <row r="12" ht="28.5" spans="1:10">
      <c r="A12" s="70" t="s">
        <v>1368</v>
      </c>
      <c r="B12" s="70" t="s">
        <v>1557</v>
      </c>
      <c r="C12" s="70" t="s">
        <v>1558</v>
      </c>
      <c r="D12" s="70" t="s">
        <v>1559</v>
      </c>
      <c r="E12" s="70" t="s">
        <v>1560</v>
      </c>
      <c r="F12" s="70" t="s">
        <v>1561</v>
      </c>
      <c r="G12" s="70" t="s">
        <v>1562</v>
      </c>
      <c r="H12" s="70" t="s">
        <v>1563</v>
      </c>
      <c r="I12" s="70" t="s">
        <v>1564</v>
      </c>
      <c r="J12" s="70" t="s">
        <v>1565</v>
      </c>
    </row>
    <row r="13" ht="15.75" spans="1:10">
      <c r="A13" s="71" t="s">
        <v>5819</v>
      </c>
      <c r="B13" s="48"/>
      <c r="C13" s="48"/>
      <c r="D13" s="48"/>
      <c r="E13" s="48"/>
      <c r="F13" s="48"/>
      <c r="G13" s="48"/>
      <c r="H13" s="48"/>
      <c r="I13" s="48"/>
      <c r="J13" s="32"/>
    </row>
    <row r="14" ht="105" customHeight="1" spans="1:10">
      <c r="A14" s="72" t="s">
        <v>5820</v>
      </c>
      <c r="B14" s="72" t="s">
        <v>5821</v>
      </c>
      <c r="C14" s="73" t="s">
        <v>1585</v>
      </c>
      <c r="D14" s="72" t="s">
        <v>5822</v>
      </c>
      <c r="E14" s="72" t="s">
        <v>1595</v>
      </c>
      <c r="F14" s="72" t="s">
        <v>1588</v>
      </c>
      <c r="G14" s="72" t="s">
        <v>5823</v>
      </c>
      <c r="H14" s="72" t="s">
        <v>5824</v>
      </c>
      <c r="I14" s="73" t="s">
        <v>1129</v>
      </c>
      <c r="J14" s="72" t="s">
        <v>7</v>
      </c>
    </row>
    <row r="15" ht="15.75" spans="1:10">
      <c r="A15" s="71" t="s">
        <v>1729</v>
      </c>
      <c r="B15" s="48"/>
      <c r="C15" s="48"/>
      <c r="D15" s="48"/>
      <c r="E15" s="48"/>
      <c r="F15" s="48"/>
      <c r="G15" s="48"/>
      <c r="H15" s="48"/>
      <c r="I15" s="48"/>
      <c r="J15" s="32"/>
    </row>
    <row r="16" ht="105" customHeight="1" spans="1:10">
      <c r="A16" s="72" t="s">
        <v>5825</v>
      </c>
      <c r="B16" s="72" t="s">
        <v>5821</v>
      </c>
      <c r="C16" s="73" t="s">
        <v>1585</v>
      </c>
      <c r="D16" s="72" t="s">
        <v>5826</v>
      </c>
      <c r="E16" s="72" t="s">
        <v>1652</v>
      </c>
      <c r="F16" s="72" t="s">
        <v>1588</v>
      </c>
      <c r="G16" s="72" t="s">
        <v>5827</v>
      </c>
      <c r="H16" s="72" t="s">
        <v>5828</v>
      </c>
      <c r="I16" s="73" t="s">
        <v>1129</v>
      </c>
      <c r="J16" s="72" t="s">
        <v>7</v>
      </c>
    </row>
    <row r="17" ht="30" customHeight="1" spans="1:10">
      <c r="A17" s="72" t="s">
        <v>5829</v>
      </c>
      <c r="B17" s="72" t="s">
        <v>5821</v>
      </c>
      <c r="C17" s="73" t="s">
        <v>1585</v>
      </c>
      <c r="D17" s="72" t="s">
        <v>5830</v>
      </c>
      <c r="E17" s="72" t="s">
        <v>1571</v>
      </c>
      <c r="F17" s="72" t="s">
        <v>1588</v>
      </c>
      <c r="G17" s="72" t="s">
        <v>1747</v>
      </c>
      <c r="H17" s="72" t="s">
        <v>5831</v>
      </c>
      <c r="I17" s="73" t="s">
        <v>1129</v>
      </c>
      <c r="J17" s="72" t="s">
        <v>7</v>
      </c>
    </row>
    <row r="18" ht="15.75" spans="1:10">
      <c r="A18" s="71" t="s">
        <v>5819</v>
      </c>
      <c r="B18" s="48"/>
      <c r="C18" s="48"/>
      <c r="D18" s="48"/>
      <c r="E18" s="48"/>
      <c r="F18" s="48"/>
      <c r="G18" s="48"/>
      <c r="H18" s="48"/>
      <c r="I18" s="48"/>
      <c r="J18" s="32"/>
    </row>
    <row r="19" ht="75" customHeight="1" spans="1:10">
      <c r="A19" s="72" t="s">
        <v>5832</v>
      </c>
      <c r="B19" s="72" t="s">
        <v>5833</v>
      </c>
      <c r="C19" s="73" t="s">
        <v>1569</v>
      </c>
      <c r="D19" s="72" t="s">
        <v>5834</v>
      </c>
      <c r="E19" s="72" t="s">
        <v>1595</v>
      </c>
      <c r="F19" s="72" t="s">
        <v>5835</v>
      </c>
      <c r="G19" s="72" t="s">
        <v>1669</v>
      </c>
      <c r="H19" s="72" t="s">
        <v>5836</v>
      </c>
      <c r="I19" s="73" t="s">
        <v>1129</v>
      </c>
      <c r="J19" s="72" t="s">
        <v>7</v>
      </c>
    </row>
    <row r="20" ht="15.75" spans="1:10">
      <c r="A20" s="71" t="s">
        <v>1729</v>
      </c>
      <c r="B20" s="48"/>
      <c r="C20" s="48"/>
      <c r="D20" s="48"/>
      <c r="E20" s="48"/>
      <c r="F20" s="48"/>
      <c r="G20" s="48"/>
      <c r="H20" s="48"/>
      <c r="I20" s="48"/>
      <c r="J20" s="32"/>
    </row>
    <row r="21" ht="120" customHeight="1" spans="1:10">
      <c r="A21" s="72" t="s">
        <v>5837</v>
      </c>
      <c r="B21" s="72" t="s">
        <v>5838</v>
      </c>
      <c r="C21" s="73" t="s">
        <v>1569</v>
      </c>
      <c r="D21" s="72" t="s">
        <v>5839</v>
      </c>
      <c r="E21" s="72" t="s">
        <v>1595</v>
      </c>
      <c r="F21" s="72" t="s">
        <v>5840</v>
      </c>
      <c r="G21" s="72" t="s">
        <v>5841</v>
      </c>
      <c r="H21" s="72" t="s">
        <v>5842</v>
      </c>
      <c r="I21" s="73" t="s">
        <v>1130</v>
      </c>
      <c r="J21" s="72" t="s">
        <v>5843</v>
      </c>
    </row>
    <row r="22" ht="120" customHeight="1" spans="1:10">
      <c r="A22" s="72" t="s">
        <v>5844</v>
      </c>
      <c r="B22" s="72" t="s">
        <v>5845</v>
      </c>
      <c r="C22" s="73" t="s">
        <v>1585</v>
      </c>
      <c r="D22" s="72" t="s">
        <v>5846</v>
      </c>
      <c r="E22" s="72" t="s">
        <v>5847</v>
      </c>
      <c r="F22" s="72" t="s">
        <v>1588</v>
      </c>
      <c r="G22" s="72" t="s">
        <v>5848</v>
      </c>
      <c r="H22" s="72" t="s">
        <v>5849</v>
      </c>
      <c r="I22" s="73" t="s">
        <v>1130</v>
      </c>
      <c r="J22" s="72" t="s">
        <v>5850</v>
      </c>
    </row>
  </sheetData>
  <mergeCells count="6">
    <mergeCell ref="A1:J1"/>
    <mergeCell ref="A8:E8"/>
    <mergeCell ref="A13:J13"/>
    <mergeCell ref="A15:J15"/>
    <mergeCell ref="A18:J18"/>
    <mergeCell ref="A20:J20"/>
  </mergeCells>
  <conditionalFormatting sqref="I13:I22">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4"/>
  <sheetViews>
    <sheetView workbookViewId="0">
      <selection activeCell="A1" sqref="A1:K1"/>
    </sheetView>
  </sheetViews>
  <sheetFormatPr defaultColWidth="9" defaultRowHeight="15"/>
  <cols>
    <col min="1" max="1" width="7" customWidth="1"/>
    <col min="2" max="2" width="12" customWidth="1"/>
    <col min="3" max="3" width="30" customWidth="1"/>
    <col min="4" max="4" width="20" customWidth="1"/>
    <col min="5" max="5" width="36" customWidth="1"/>
    <col min="6" max="9" width="18" customWidth="1"/>
    <col min="10" max="10" width="10" customWidth="1"/>
    <col min="11" max="11" width="26" customWidth="1"/>
  </cols>
  <sheetData>
    <row r="1" ht="20.25" spans="1:11">
      <c r="A1" s="20" t="s">
        <v>1749</v>
      </c>
    </row>
    <row r="3" ht="28.5" spans="1:11">
      <c r="A3" s="49" t="s">
        <v>1008</v>
      </c>
      <c r="B3" s="49" t="s">
        <v>227</v>
      </c>
      <c r="D3" s="49" t="s">
        <v>1540</v>
      </c>
      <c r="E3" s="49" t="s">
        <v>7</v>
      </c>
    </row>
    <row r="4" ht="42.75" spans="1:11">
      <c r="A4" s="49" t="s">
        <v>1750</v>
      </c>
      <c r="B4" s="50" t="s">
        <v>1751</v>
      </c>
      <c r="D4" s="49" t="s">
        <v>1752</v>
      </c>
      <c r="E4" s="49" t="s">
        <v>1753</v>
      </c>
    </row>
    <row r="5" ht="42.75" spans="1:11">
      <c r="A5" s="49" t="s">
        <v>1754</v>
      </c>
      <c r="B5" s="49" t="s">
        <v>1755</v>
      </c>
      <c r="D5" s="49" t="s">
        <v>1543</v>
      </c>
      <c r="E5" s="49" t="s">
        <v>233</v>
      </c>
    </row>
    <row r="7" ht="15.75" spans="1:11">
      <c r="A7" s="51" t="s">
        <v>1756</v>
      </c>
    </row>
    <row r="8" spans="1:11">
      <c r="A8" s="52" t="s">
        <v>1757</v>
      </c>
      <c r="B8" s="32"/>
      <c r="C8" s="52" t="s">
        <v>1758</v>
      </c>
      <c r="D8" s="52" t="s">
        <v>1553</v>
      </c>
      <c r="E8" s="52" t="s">
        <v>1554</v>
      </c>
      <c r="F8" s="52" t="s">
        <v>1759</v>
      </c>
      <c r="G8" s="52" t="s">
        <v>1760</v>
      </c>
      <c r="H8" s="48"/>
      <c r="I8" s="48"/>
      <c r="J8" s="48"/>
      <c r="K8" s="32"/>
    </row>
    <row r="9" ht="32" customHeight="1" spans="1:11">
      <c r="A9" s="53" t="s">
        <v>1761</v>
      </c>
      <c r="B9" s="54"/>
      <c r="C9" s="55">
        <f>COUNTIF($B$15:$B$54,"Unit Test")-COUNTIFS($B$15:$B$54,"Unit Test",$J$15:$J$54,"Pending")</f>
        <v>16</v>
      </c>
      <c r="D9" s="55">
        <f>COUNTIFS($B$15:$B$54,"Unit Test",$J$15:$J$54,"Pass")</f>
        <v>13</v>
      </c>
      <c r="E9" s="55">
        <f>COUNTIFS($B$15:$B$54,"Unit Test",$J$15:$J$54,"Fail")</f>
        <v>3</v>
      </c>
      <c r="F9" s="56">
        <f>IFERROR(D9/C9,0)</f>
        <v>0.8125</v>
      </c>
      <c r="G9" s="57" t="s">
        <v>5692</v>
      </c>
      <c r="H9" s="48"/>
      <c r="I9" s="48"/>
      <c r="J9" s="48"/>
      <c r="K9" s="32"/>
    </row>
    <row r="10" ht="32" customHeight="1" spans="1:11">
      <c r="A10" s="53" t="s">
        <v>1762</v>
      </c>
      <c r="B10" s="54"/>
      <c r="C10" s="55">
        <f>COUNTIF($B$15:$B$54,"API Test")-COUNTIFS($B$15:$B$54,"API Test",$J$15:$J$54,"Pending")</f>
        <v>6</v>
      </c>
      <c r="D10" s="55">
        <f>COUNTIFS($B$15:$B$54,"API Test",$J$15:$J$54,"Pass")</f>
        <v>4</v>
      </c>
      <c r="E10" s="55">
        <f>COUNTIFS($B$15:$B$54,"API Test",$J$15:$J$54,"Fail")</f>
        <v>2</v>
      </c>
      <c r="F10" s="56">
        <f>IFERROR(D10/C10,0)</f>
        <v>0.666666666666667</v>
      </c>
      <c r="G10" s="57" t="s">
        <v>1763</v>
      </c>
      <c r="H10" s="48"/>
      <c r="I10" s="48"/>
      <c r="J10" s="48"/>
      <c r="K10" s="32"/>
    </row>
    <row r="11" ht="32" customHeight="1" spans="1:11">
      <c r="A11" s="53" t="s">
        <v>1764</v>
      </c>
      <c r="B11" s="54"/>
      <c r="C11" s="55">
        <f>COUNTIF($B$15:$B$54,"UI Test")-COUNTIFS($B$15:$B$54,"UI Test",$J$15:$J$54,"Pending")</f>
        <v>15</v>
      </c>
      <c r="D11" s="55">
        <f>COUNTIFS($B$15:$B$54,"UI Test",$J$15:$J$54,"Pass")</f>
        <v>10</v>
      </c>
      <c r="E11" s="55">
        <f>COUNTIFS($B$15:$B$54,"UI Test",$J$15:$J$54,"Fail")</f>
        <v>5</v>
      </c>
      <c r="F11" s="56">
        <f>IFERROR(D11/C11,0)</f>
        <v>0.666666666666667</v>
      </c>
      <c r="G11" s="57" t="s">
        <v>5851</v>
      </c>
      <c r="H11" s="48"/>
      <c r="I11" s="48"/>
      <c r="J11" s="48"/>
      <c r="K11" s="32"/>
    </row>
    <row r="13" ht="28.5" spans="1:11">
      <c r="A13" s="25" t="s">
        <v>211</v>
      </c>
      <c r="B13" s="25" t="s">
        <v>1757</v>
      </c>
      <c r="C13" s="25" t="s">
        <v>1766</v>
      </c>
      <c r="D13" s="25" t="s">
        <v>1767</v>
      </c>
      <c r="E13" s="25" t="s">
        <v>1559</v>
      </c>
      <c r="F13" s="25" t="s">
        <v>1768</v>
      </c>
      <c r="G13" s="48"/>
      <c r="H13" s="48"/>
      <c r="I13" s="32"/>
      <c r="J13" s="25" t="s">
        <v>1564</v>
      </c>
      <c r="K13" s="25" t="s">
        <v>1565</v>
      </c>
    </row>
    <row r="15" ht="15.75" spans="1:11">
      <c r="A15" s="58" t="s">
        <v>1769</v>
      </c>
      <c r="B15" s="48"/>
      <c r="C15" s="48"/>
      <c r="D15" s="48"/>
      <c r="E15" s="48"/>
      <c r="F15" s="48"/>
      <c r="G15" s="48"/>
      <c r="H15" s="48"/>
      <c r="I15" s="48"/>
      <c r="J15" s="48"/>
      <c r="K15" s="48"/>
    </row>
    <row r="16" ht="30" customHeight="1" spans="1:11">
      <c r="A16" s="55">
        <v>1</v>
      </c>
      <c r="B16" s="55" t="s">
        <v>1770</v>
      </c>
      <c r="C16" s="59" t="s">
        <v>5852</v>
      </c>
      <c r="D16" s="59" t="s">
        <v>5725</v>
      </c>
      <c r="E16" s="59" t="s">
        <v>5727</v>
      </c>
      <c r="F16" s="60" t="s">
        <v>5853</v>
      </c>
      <c r="G16" s="48"/>
      <c r="H16" s="48"/>
      <c r="I16" s="32"/>
      <c r="J16" s="55" t="s">
        <v>1129</v>
      </c>
      <c r="K16" s="59" t="s">
        <v>7</v>
      </c>
    </row>
    <row r="17" ht="120" customHeight="1" spans="1:11">
      <c r="A17" s="55">
        <v>2</v>
      </c>
      <c r="B17" s="55" t="s">
        <v>1770</v>
      </c>
      <c r="C17" s="59" t="s">
        <v>5852</v>
      </c>
      <c r="D17" s="59" t="s">
        <v>5730</v>
      </c>
      <c r="E17" s="59" t="s">
        <v>5731</v>
      </c>
      <c r="F17" s="60" t="s">
        <v>5854</v>
      </c>
      <c r="G17" s="48"/>
      <c r="H17" s="48"/>
      <c r="I17" s="32"/>
      <c r="J17" s="55" t="s">
        <v>1129</v>
      </c>
      <c r="K17" s="59" t="s">
        <v>7</v>
      </c>
    </row>
    <row r="18" ht="90" customHeight="1" spans="1:11">
      <c r="A18" s="55">
        <v>3</v>
      </c>
      <c r="B18" s="55" t="s">
        <v>1770</v>
      </c>
      <c r="C18" s="59" t="s">
        <v>5855</v>
      </c>
      <c r="D18" s="59" t="s">
        <v>5734</v>
      </c>
      <c r="E18" s="59" t="s">
        <v>5737</v>
      </c>
      <c r="F18" s="60" t="s">
        <v>5856</v>
      </c>
      <c r="G18" s="48"/>
      <c r="H18" s="48"/>
      <c r="I18" s="32"/>
      <c r="J18" s="55" t="s">
        <v>1129</v>
      </c>
      <c r="K18" s="59" t="s">
        <v>7</v>
      </c>
    </row>
    <row r="19" ht="75" customHeight="1" spans="1:11">
      <c r="A19" s="55">
        <v>4</v>
      </c>
      <c r="B19" s="55" t="s">
        <v>1770</v>
      </c>
      <c r="C19" s="59" t="s">
        <v>5855</v>
      </c>
      <c r="D19" s="59" t="s">
        <v>5741</v>
      </c>
      <c r="E19" s="59" t="s">
        <v>5743</v>
      </c>
      <c r="F19" s="60" t="s">
        <v>5857</v>
      </c>
      <c r="G19" s="48"/>
      <c r="H19" s="48"/>
      <c r="I19" s="32"/>
      <c r="J19" s="55" t="s">
        <v>1129</v>
      </c>
      <c r="K19" s="59" t="s">
        <v>7</v>
      </c>
    </row>
    <row r="20" ht="60" customHeight="1" spans="1:11">
      <c r="A20" s="55">
        <v>5</v>
      </c>
      <c r="B20" s="55" t="s">
        <v>1770</v>
      </c>
      <c r="C20" s="59" t="s">
        <v>5855</v>
      </c>
      <c r="D20" s="59" t="s">
        <v>5747</v>
      </c>
      <c r="E20" s="59" t="s">
        <v>5748</v>
      </c>
      <c r="F20" s="60" t="s">
        <v>5858</v>
      </c>
      <c r="G20" s="48"/>
      <c r="H20" s="48"/>
      <c r="I20" s="32"/>
      <c r="J20" s="55" t="s">
        <v>1129</v>
      </c>
      <c r="K20" s="59" t="s">
        <v>7</v>
      </c>
    </row>
    <row r="21" ht="120" customHeight="1" spans="1:11">
      <c r="A21" s="55">
        <v>6</v>
      </c>
      <c r="B21" s="55" t="s">
        <v>1770</v>
      </c>
      <c r="C21" s="59" t="s">
        <v>5855</v>
      </c>
      <c r="D21" s="59" t="s">
        <v>5752</v>
      </c>
      <c r="E21" s="59" t="s">
        <v>5754</v>
      </c>
      <c r="F21" s="60" t="s">
        <v>5859</v>
      </c>
      <c r="G21" s="48"/>
      <c r="H21" s="48"/>
      <c r="I21" s="32"/>
      <c r="J21" s="55" t="s">
        <v>1129</v>
      </c>
      <c r="K21" s="59" t="s">
        <v>7</v>
      </c>
    </row>
    <row r="22" ht="75" customHeight="1" spans="1:11">
      <c r="A22" s="55">
        <v>7</v>
      </c>
      <c r="B22" s="55" t="s">
        <v>1770</v>
      </c>
      <c r="C22" s="59" t="s">
        <v>5855</v>
      </c>
      <c r="D22" s="59" t="s">
        <v>5758</v>
      </c>
      <c r="E22" s="59" t="s">
        <v>5760</v>
      </c>
      <c r="F22" s="60" t="s">
        <v>5860</v>
      </c>
      <c r="G22" s="48"/>
      <c r="H22" s="48"/>
      <c r="I22" s="32"/>
      <c r="J22" s="55" t="s">
        <v>1129</v>
      </c>
      <c r="K22" s="59" t="s">
        <v>7</v>
      </c>
    </row>
    <row r="23" ht="75" customHeight="1" spans="1:11">
      <c r="A23" s="55">
        <v>8</v>
      </c>
      <c r="B23" s="55" t="s">
        <v>1770</v>
      </c>
      <c r="C23" s="59" t="s">
        <v>5855</v>
      </c>
      <c r="D23" s="59" t="s">
        <v>5764</v>
      </c>
      <c r="E23" s="59" t="s">
        <v>5766</v>
      </c>
      <c r="F23" s="60" t="s">
        <v>5861</v>
      </c>
      <c r="G23" s="48"/>
      <c r="H23" s="48"/>
      <c r="I23" s="32"/>
      <c r="J23" s="55" t="s">
        <v>1129</v>
      </c>
      <c r="K23" s="59" t="s">
        <v>7</v>
      </c>
    </row>
    <row r="24" ht="90" customHeight="1" spans="1:11">
      <c r="A24" s="55">
        <v>9</v>
      </c>
      <c r="B24" s="55" t="s">
        <v>1770</v>
      </c>
      <c r="C24" s="59" t="s">
        <v>5862</v>
      </c>
      <c r="D24" s="59" t="s">
        <v>5770</v>
      </c>
      <c r="E24" s="59" t="s">
        <v>5772</v>
      </c>
      <c r="F24" s="60" t="s">
        <v>5863</v>
      </c>
      <c r="G24" s="48"/>
      <c r="H24" s="48"/>
      <c r="I24" s="32"/>
      <c r="J24" s="55" t="s">
        <v>1129</v>
      </c>
      <c r="K24" s="59" t="s">
        <v>7</v>
      </c>
    </row>
    <row r="25" ht="105" customHeight="1" spans="1:11">
      <c r="A25" s="55">
        <v>10</v>
      </c>
      <c r="B25" s="55" t="s">
        <v>1770</v>
      </c>
      <c r="C25" s="59" t="s">
        <v>5862</v>
      </c>
      <c r="D25" s="59" t="s">
        <v>5776</v>
      </c>
      <c r="E25" s="59" t="s">
        <v>5778</v>
      </c>
      <c r="F25" s="60" t="s">
        <v>5864</v>
      </c>
      <c r="G25" s="48"/>
      <c r="H25" s="48"/>
      <c r="I25" s="32"/>
      <c r="J25" s="55" t="s">
        <v>1129</v>
      </c>
      <c r="K25" s="59" t="s">
        <v>7</v>
      </c>
    </row>
    <row r="26" ht="30" customHeight="1" spans="1:11">
      <c r="A26" s="55">
        <v>11</v>
      </c>
      <c r="B26" s="55" t="s">
        <v>1770</v>
      </c>
      <c r="C26" s="59" t="s">
        <v>5862</v>
      </c>
      <c r="D26" s="59" t="s">
        <v>5781</v>
      </c>
      <c r="E26" s="59" t="s">
        <v>5782</v>
      </c>
      <c r="F26" s="60" t="s">
        <v>4205</v>
      </c>
      <c r="G26" s="48"/>
      <c r="H26" s="48"/>
      <c r="I26" s="32"/>
      <c r="J26" s="55" t="s">
        <v>1129</v>
      </c>
      <c r="K26" s="59" t="s">
        <v>7</v>
      </c>
    </row>
    <row r="27" ht="90" customHeight="1" spans="1:11">
      <c r="A27" s="55">
        <v>12</v>
      </c>
      <c r="B27" s="55" t="s">
        <v>1770</v>
      </c>
      <c r="C27" s="59" t="s">
        <v>5862</v>
      </c>
      <c r="D27" s="59" t="s">
        <v>5786</v>
      </c>
      <c r="E27" s="59" t="s">
        <v>5787</v>
      </c>
      <c r="F27" s="60" t="s">
        <v>5865</v>
      </c>
      <c r="G27" s="48"/>
      <c r="H27" s="48"/>
      <c r="I27" s="32"/>
      <c r="J27" s="55" t="s">
        <v>1129</v>
      </c>
      <c r="K27" s="59" t="s">
        <v>7</v>
      </c>
    </row>
    <row r="28" ht="45" customHeight="1" spans="1:11">
      <c r="A28" s="55">
        <v>13</v>
      </c>
      <c r="B28" s="55" t="s">
        <v>1770</v>
      </c>
      <c r="C28" s="59" t="s">
        <v>5862</v>
      </c>
      <c r="D28" s="59" t="s">
        <v>5790</v>
      </c>
      <c r="E28" s="59" t="s">
        <v>5791</v>
      </c>
      <c r="F28" s="60" t="s">
        <v>5866</v>
      </c>
      <c r="G28" s="48"/>
      <c r="H28" s="48"/>
      <c r="I28" s="32"/>
      <c r="J28" s="55" t="s">
        <v>1129</v>
      </c>
      <c r="K28" s="59" t="s">
        <v>7</v>
      </c>
    </row>
    <row r="29" ht="45" customHeight="1" spans="1:11">
      <c r="A29" s="55">
        <v>14</v>
      </c>
      <c r="B29" s="55" t="s">
        <v>1770</v>
      </c>
      <c r="C29" s="59" t="s">
        <v>5867</v>
      </c>
      <c r="D29" s="59" t="s">
        <v>5796</v>
      </c>
      <c r="E29" s="59" t="s">
        <v>5799</v>
      </c>
      <c r="F29" s="60" t="s">
        <v>5868</v>
      </c>
      <c r="G29" s="48"/>
      <c r="H29" s="48"/>
      <c r="I29" s="32"/>
      <c r="J29" s="55" t="s">
        <v>1130</v>
      </c>
      <c r="K29" s="59" t="s">
        <v>7</v>
      </c>
    </row>
    <row r="30" ht="45" customHeight="1" spans="1:11">
      <c r="A30" s="55">
        <v>15</v>
      </c>
      <c r="B30" s="55" t="s">
        <v>1770</v>
      </c>
      <c r="C30" s="59" t="s">
        <v>5867</v>
      </c>
      <c r="D30" s="59" t="s">
        <v>5803</v>
      </c>
      <c r="E30" s="59" t="s">
        <v>5804</v>
      </c>
      <c r="F30" s="60" t="s">
        <v>5869</v>
      </c>
      <c r="G30" s="48"/>
      <c r="H30" s="48"/>
      <c r="I30" s="32"/>
      <c r="J30" s="55" t="s">
        <v>1130</v>
      </c>
      <c r="K30" s="59" t="s">
        <v>7</v>
      </c>
    </row>
    <row r="31" ht="30" customHeight="1" spans="1:11">
      <c r="A31" s="55">
        <v>16</v>
      </c>
      <c r="B31" s="55" t="s">
        <v>1770</v>
      </c>
      <c r="C31" s="59" t="s">
        <v>5867</v>
      </c>
      <c r="D31" s="59" t="s">
        <v>5808</v>
      </c>
      <c r="E31" s="59" t="s">
        <v>5809</v>
      </c>
      <c r="F31" s="60" t="s">
        <v>5870</v>
      </c>
      <c r="G31" s="48"/>
      <c r="H31" s="48"/>
      <c r="I31" s="32"/>
      <c r="J31" s="55" t="s">
        <v>1130</v>
      </c>
      <c r="K31" s="59" t="s">
        <v>7</v>
      </c>
    </row>
    <row r="32" ht="15.75" spans="1:11">
      <c r="A32" s="58" t="s">
        <v>1803</v>
      </c>
      <c r="B32" s="48"/>
      <c r="C32" s="48"/>
      <c r="D32" s="48"/>
      <c r="E32" s="48"/>
      <c r="F32" s="48"/>
      <c r="G32" s="48"/>
      <c r="H32" s="48"/>
      <c r="I32" s="48"/>
      <c r="J32" s="48"/>
      <c r="K32" s="48"/>
    </row>
    <row r="33" ht="60" customHeight="1" spans="1:11">
      <c r="A33" s="55">
        <v>17</v>
      </c>
      <c r="B33" s="55" t="s">
        <v>1804</v>
      </c>
      <c r="C33" s="59" t="s">
        <v>1548</v>
      </c>
      <c r="D33" s="59" t="s">
        <v>5820</v>
      </c>
      <c r="E33" s="59" t="s">
        <v>5822</v>
      </c>
      <c r="F33" s="60" t="s">
        <v>5871</v>
      </c>
      <c r="G33" s="48"/>
      <c r="H33" s="48"/>
      <c r="I33" s="32"/>
      <c r="J33" s="55" t="s">
        <v>1129</v>
      </c>
      <c r="K33" s="59" t="s">
        <v>7</v>
      </c>
    </row>
    <row r="34" ht="60" customHeight="1" spans="1:11">
      <c r="A34" s="55">
        <v>18</v>
      </c>
      <c r="B34" s="55" t="s">
        <v>1804</v>
      </c>
      <c r="C34" s="59" t="s">
        <v>1548</v>
      </c>
      <c r="D34" s="59" t="s">
        <v>5825</v>
      </c>
      <c r="E34" s="59" t="s">
        <v>5826</v>
      </c>
      <c r="F34" s="60" t="s">
        <v>5872</v>
      </c>
      <c r="G34" s="48"/>
      <c r="H34" s="48"/>
      <c r="I34" s="32"/>
      <c r="J34" s="55" t="s">
        <v>1129</v>
      </c>
      <c r="K34" s="59" t="s">
        <v>7</v>
      </c>
    </row>
    <row r="35" ht="30" customHeight="1" spans="1:11">
      <c r="A35" s="55">
        <v>19</v>
      </c>
      <c r="B35" s="55" t="s">
        <v>1804</v>
      </c>
      <c r="C35" s="59" t="s">
        <v>1548</v>
      </c>
      <c r="D35" s="59" t="s">
        <v>5829</v>
      </c>
      <c r="E35" s="59" t="s">
        <v>5830</v>
      </c>
      <c r="F35" s="60" t="s">
        <v>1807</v>
      </c>
      <c r="G35" s="48"/>
      <c r="H35" s="48"/>
      <c r="I35" s="32"/>
      <c r="J35" s="55" t="s">
        <v>1129</v>
      </c>
      <c r="K35" s="59" t="s">
        <v>7</v>
      </c>
    </row>
    <row r="36" ht="30" customHeight="1" spans="1:11">
      <c r="A36" s="55">
        <v>20</v>
      </c>
      <c r="B36" s="55" t="s">
        <v>1804</v>
      </c>
      <c r="C36" s="59" t="s">
        <v>1548</v>
      </c>
      <c r="D36" s="59" t="s">
        <v>5832</v>
      </c>
      <c r="E36" s="59" t="s">
        <v>5834</v>
      </c>
      <c r="F36" s="60" t="s">
        <v>1807</v>
      </c>
      <c r="G36" s="48"/>
      <c r="H36" s="48"/>
      <c r="I36" s="32"/>
      <c r="J36" s="55" t="s">
        <v>1129</v>
      </c>
      <c r="K36" s="59" t="s">
        <v>7</v>
      </c>
    </row>
    <row r="37" ht="30" customHeight="1" spans="1:11">
      <c r="A37" s="55">
        <v>21</v>
      </c>
      <c r="B37" s="55" t="s">
        <v>1804</v>
      </c>
      <c r="C37" s="59" t="s">
        <v>1548</v>
      </c>
      <c r="D37" s="59" t="s">
        <v>5837</v>
      </c>
      <c r="E37" s="59" t="s">
        <v>5839</v>
      </c>
      <c r="F37" s="60" t="s">
        <v>1807</v>
      </c>
      <c r="G37" s="48"/>
      <c r="H37" s="48"/>
      <c r="I37" s="32"/>
      <c r="J37" s="55" t="s">
        <v>1130</v>
      </c>
      <c r="K37" s="59" t="s">
        <v>7</v>
      </c>
    </row>
    <row r="38" ht="30" customHeight="1" spans="1:11">
      <c r="A38" s="55">
        <v>22</v>
      </c>
      <c r="B38" s="55" t="s">
        <v>1804</v>
      </c>
      <c r="C38" s="59" t="s">
        <v>1548</v>
      </c>
      <c r="D38" s="59" t="s">
        <v>5844</v>
      </c>
      <c r="E38" s="59" t="s">
        <v>5846</v>
      </c>
      <c r="F38" s="60" t="s">
        <v>1807</v>
      </c>
      <c r="G38" s="48"/>
      <c r="H38" s="48"/>
      <c r="I38" s="32"/>
      <c r="J38" s="55" t="s">
        <v>1130</v>
      </c>
      <c r="K38" s="59" t="s">
        <v>7</v>
      </c>
    </row>
    <row r="39" ht="15.75" spans="1:11">
      <c r="A39" s="58" t="s">
        <v>1818</v>
      </c>
      <c r="B39" s="48"/>
      <c r="C39" s="48"/>
      <c r="D39" s="48"/>
      <c r="E39" s="48"/>
      <c r="F39" s="48"/>
      <c r="G39" s="48"/>
      <c r="H39" s="48"/>
      <c r="I39" s="48"/>
      <c r="J39" s="48"/>
      <c r="K39" s="48"/>
    </row>
    <row r="40" ht="45" customHeight="1" spans="1:11">
      <c r="A40" s="55">
        <v>23</v>
      </c>
      <c r="B40" s="55" t="s">
        <v>1819</v>
      </c>
      <c r="C40" s="59" t="s">
        <v>5873</v>
      </c>
      <c r="D40" s="59" t="s">
        <v>5598</v>
      </c>
      <c r="E40" s="59" t="s">
        <v>5599</v>
      </c>
      <c r="F40" s="60" t="s">
        <v>5601</v>
      </c>
      <c r="G40" s="48"/>
      <c r="H40" s="48"/>
      <c r="I40" s="32"/>
      <c r="J40" s="55" t="s">
        <v>1129</v>
      </c>
      <c r="K40" s="59" t="s">
        <v>7</v>
      </c>
    </row>
    <row r="41" ht="30" customHeight="1" spans="1:11">
      <c r="A41" s="55">
        <v>24</v>
      </c>
      <c r="B41" s="55" t="s">
        <v>1819</v>
      </c>
      <c r="C41" s="59" t="s">
        <v>5873</v>
      </c>
      <c r="D41" s="59" t="s">
        <v>5604</v>
      </c>
      <c r="E41" s="59" t="s">
        <v>5605</v>
      </c>
      <c r="F41" s="60" t="s">
        <v>5607</v>
      </c>
      <c r="G41" s="48"/>
      <c r="H41" s="48"/>
      <c r="I41" s="32"/>
      <c r="J41" s="55" t="s">
        <v>1130</v>
      </c>
      <c r="K41" s="59" t="s">
        <v>7</v>
      </c>
    </row>
    <row r="42" ht="30" customHeight="1" spans="1:11">
      <c r="A42" s="55">
        <v>25</v>
      </c>
      <c r="B42" s="55" t="s">
        <v>1819</v>
      </c>
      <c r="C42" s="59" t="s">
        <v>5873</v>
      </c>
      <c r="D42" s="59" t="s">
        <v>5610</v>
      </c>
      <c r="E42" s="59" t="s">
        <v>5611</v>
      </c>
      <c r="F42" s="60" t="s">
        <v>5613</v>
      </c>
      <c r="G42" s="48"/>
      <c r="H42" s="48"/>
      <c r="I42" s="32"/>
      <c r="J42" s="55" t="s">
        <v>1130</v>
      </c>
      <c r="K42" s="59" t="s">
        <v>7</v>
      </c>
    </row>
    <row r="43" ht="30" customHeight="1" spans="1:11">
      <c r="A43" s="55">
        <v>26</v>
      </c>
      <c r="B43" s="55" t="s">
        <v>1819</v>
      </c>
      <c r="C43" s="59" t="s">
        <v>5873</v>
      </c>
      <c r="D43" s="59" t="s">
        <v>5616</v>
      </c>
      <c r="E43" s="59" t="s">
        <v>5617</v>
      </c>
      <c r="F43" s="60" t="s">
        <v>5619</v>
      </c>
      <c r="G43" s="48"/>
      <c r="H43" s="48"/>
      <c r="I43" s="32"/>
      <c r="J43" s="55" t="s">
        <v>1129</v>
      </c>
      <c r="K43" s="59" t="s">
        <v>7</v>
      </c>
    </row>
    <row r="44" ht="45" customHeight="1" spans="1:11">
      <c r="A44" s="55">
        <v>27</v>
      </c>
      <c r="B44" s="55" t="s">
        <v>1819</v>
      </c>
      <c r="C44" s="59" t="s">
        <v>5873</v>
      </c>
      <c r="D44" s="59" t="s">
        <v>5622</v>
      </c>
      <c r="E44" s="59" t="s">
        <v>5623</v>
      </c>
      <c r="F44" s="60" t="s">
        <v>5625</v>
      </c>
      <c r="G44" s="48"/>
      <c r="H44" s="48"/>
      <c r="I44" s="32"/>
      <c r="J44" s="55" t="s">
        <v>1129</v>
      </c>
      <c r="K44" s="59" t="s">
        <v>7</v>
      </c>
    </row>
    <row r="45" ht="45" customHeight="1" spans="1:11">
      <c r="A45" s="55">
        <v>28</v>
      </c>
      <c r="B45" s="55" t="s">
        <v>1819</v>
      </c>
      <c r="C45" s="59" t="s">
        <v>5873</v>
      </c>
      <c r="D45" s="59" t="s">
        <v>5628</v>
      </c>
      <c r="E45" s="59" t="s">
        <v>5629</v>
      </c>
      <c r="F45" s="60" t="s">
        <v>5631</v>
      </c>
      <c r="G45" s="48"/>
      <c r="H45" s="48"/>
      <c r="I45" s="32"/>
      <c r="J45" s="55" t="s">
        <v>1129</v>
      </c>
      <c r="K45" s="59" t="s">
        <v>7</v>
      </c>
    </row>
    <row r="46" customHeight="1" spans="1:11">
      <c r="A46" s="55">
        <v>29</v>
      </c>
      <c r="B46" s="55" t="s">
        <v>1819</v>
      </c>
      <c r="C46" s="59" t="s">
        <v>5873</v>
      </c>
      <c r="D46" s="59" t="s">
        <v>5634</v>
      </c>
      <c r="E46" s="59" t="s">
        <v>5635</v>
      </c>
      <c r="F46" s="60" t="s">
        <v>5637</v>
      </c>
      <c r="G46" s="48"/>
      <c r="H46" s="48"/>
      <c r="I46" s="32"/>
      <c r="J46" s="55" t="s">
        <v>1129</v>
      </c>
      <c r="K46" s="59" t="s">
        <v>7</v>
      </c>
    </row>
    <row r="47" ht="30" customHeight="1" spans="1:11">
      <c r="A47" s="55">
        <v>30</v>
      </c>
      <c r="B47" s="55" t="s">
        <v>1819</v>
      </c>
      <c r="C47" s="59" t="s">
        <v>5873</v>
      </c>
      <c r="D47" s="59" t="s">
        <v>5640</v>
      </c>
      <c r="E47" s="59" t="s">
        <v>5641</v>
      </c>
      <c r="F47" s="60" t="s">
        <v>5643</v>
      </c>
      <c r="G47" s="48"/>
      <c r="H47" s="48"/>
      <c r="I47" s="32"/>
      <c r="J47" s="55" t="s">
        <v>1129</v>
      </c>
      <c r="K47" s="59" t="s">
        <v>7</v>
      </c>
    </row>
    <row r="48" ht="30" customHeight="1" spans="1:11">
      <c r="A48" s="55">
        <v>31</v>
      </c>
      <c r="B48" s="55" t="s">
        <v>1819</v>
      </c>
      <c r="C48" s="59" t="s">
        <v>5873</v>
      </c>
      <c r="D48" s="59" t="s">
        <v>5647</v>
      </c>
      <c r="E48" s="59" t="s">
        <v>5648</v>
      </c>
      <c r="F48" s="60" t="s">
        <v>5650</v>
      </c>
      <c r="G48" s="48"/>
      <c r="H48" s="48"/>
      <c r="I48" s="32"/>
      <c r="J48" s="55" t="s">
        <v>1130</v>
      </c>
      <c r="K48" s="59" t="s">
        <v>7</v>
      </c>
    </row>
    <row r="49" ht="30" customHeight="1" spans="1:11">
      <c r="A49" s="55">
        <v>32</v>
      </c>
      <c r="B49" s="55" t="s">
        <v>1819</v>
      </c>
      <c r="C49" s="59" t="s">
        <v>5873</v>
      </c>
      <c r="D49" s="59" t="s">
        <v>5653</v>
      </c>
      <c r="E49" s="59" t="s">
        <v>5654</v>
      </c>
      <c r="F49" s="60" t="s">
        <v>5656</v>
      </c>
      <c r="G49" s="48"/>
      <c r="H49" s="48"/>
      <c r="I49" s="32"/>
      <c r="J49" s="55" t="s">
        <v>1129</v>
      </c>
      <c r="K49" s="59" t="s">
        <v>7</v>
      </c>
    </row>
    <row r="50" customHeight="1" spans="1:11">
      <c r="A50" s="55">
        <v>33</v>
      </c>
      <c r="B50" s="55" t="s">
        <v>1819</v>
      </c>
      <c r="C50" s="59" t="s">
        <v>5873</v>
      </c>
      <c r="D50" s="59" t="s">
        <v>5659</v>
      </c>
      <c r="E50" s="59" t="s">
        <v>5660</v>
      </c>
      <c r="F50" s="60" t="s">
        <v>5662</v>
      </c>
      <c r="G50" s="48"/>
      <c r="H50" s="48"/>
      <c r="I50" s="32"/>
      <c r="J50" s="55" t="s">
        <v>1129</v>
      </c>
      <c r="K50" s="59" t="s">
        <v>7</v>
      </c>
    </row>
    <row r="51" ht="30" customHeight="1" spans="1:11">
      <c r="A51" s="55">
        <v>34</v>
      </c>
      <c r="B51" s="55" t="s">
        <v>1819</v>
      </c>
      <c r="C51" s="59" t="s">
        <v>5873</v>
      </c>
      <c r="D51" s="59" t="s">
        <v>5666</v>
      </c>
      <c r="E51" s="59" t="s">
        <v>5667</v>
      </c>
      <c r="F51" s="60" t="s">
        <v>5669</v>
      </c>
      <c r="G51" s="48"/>
      <c r="H51" s="48"/>
      <c r="I51" s="32"/>
      <c r="J51" s="55" t="s">
        <v>1130</v>
      </c>
      <c r="K51" s="59" t="s">
        <v>7</v>
      </c>
    </row>
    <row r="52" ht="30" customHeight="1" spans="1:11">
      <c r="A52" s="55">
        <v>35</v>
      </c>
      <c r="B52" s="55" t="s">
        <v>1819</v>
      </c>
      <c r="C52" s="59" t="s">
        <v>5873</v>
      </c>
      <c r="D52" s="59" t="s">
        <v>5672</v>
      </c>
      <c r="E52" s="59" t="s">
        <v>5673</v>
      </c>
      <c r="F52" s="60" t="s">
        <v>5675</v>
      </c>
      <c r="G52" s="48"/>
      <c r="H52" s="48"/>
      <c r="I52" s="32"/>
      <c r="J52" s="55" t="s">
        <v>1130</v>
      </c>
      <c r="K52" s="59" t="s">
        <v>7</v>
      </c>
    </row>
    <row r="53" ht="30" customHeight="1" spans="1:11">
      <c r="A53" s="55">
        <v>36</v>
      </c>
      <c r="B53" s="55" t="s">
        <v>1819</v>
      </c>
      <c r="C53" s="59" t="s">
        <v>5873</v>
      </c>
      <c r="D53" s="59" t="s">
        <v>5678</v>
      </c>
      <c r="E53" s="59" t="s">
        <v>5679</v>
      </c>
      <c r="F53" s="60" t="s">
        <v>5681</v>
      </c>
      <c r="G53" s="48"/>
      <c r="H53" s="48"/>
      <c r="I53" s="32"/>
      <c r="J53" s="55" t="s">
        <v>1129</v>
      </c>
      <c r="K53" s="59" t="s">
        <v>7</v>
      </c>
    </row>
    <row r="54" ht="30" customHeight="1" spans="1:11">
      <c r="A54" s="55">
        <v>37</v>
      </c>
      <c r="B54" s="55" t="s">
        <v>1819</v>
      </c>
      <c r="C54" s="59" t="s">
        <v>5873</v>
      </c>
      <c r="D54" s="59" t="s">
        <v>5684</v>
      </c>
      <c r="E54" s="59" t="s">
        <v>5685</v>
      </c>
      <c r="F54" s="60" t="s">
        <v>5687</v>
      </c>
      <c r="G54" s="48"/>
      <c r="H54" s="48"/>
      <c r="I54" s="32"/>
      <c r="J54" s="55" t="s">
        <v>1129</v>
      </c>
      <c r="K54" s="59" t="s">
        <v>7</v>
      </c>
    </row>
  </sheetData>
  <mergeCells count="54">
    <mergeCell ref="A1:K1"/>
    <mergeCell ref="B3:C3"/>
    <mergeCell ref="B4:C4"/>
    <mergeCell ref="B5:C5"/>
    <mergeCell ref="A7:K7"/>
    <mergeCell ref="A8:B8"/>
    <mergeCell ref="G8:K8"/>
    <mergeCell ref="A9:B9"/>
    <mergeCell ref="G9:K9"/>
    <mergeCell ref="A10:B10"/>
    <mergeCell ref="G10:K10"/>
    <mergeCell ref="A11:B11"/>
    <mergeCell ref="G11:K11"/>
    <mergeCell ref="F13:I13"/>
    <mergeCell ref="A15:K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A32:K32"/>
    <mergeCell ref="F33:I33"/>
    <mergeCell ref="F34:I34"/>
    <mergeCell ref="F35:I35"/>
    <mergeCell ref="F36:I36"/>
    <mergeCell ref="F37:I37"/>
    <mergeCell ref="F38:I38"/>
    <mergeCell ref="A39:K39"/>
    <mergeCell ref="F40:I40"/>
    <mergeCell ref="F41:I41"/>
    <mergeCell ref="F42:I42"/>
    <mergeCell ref="F43:I43"/>
    <mergeCell ref="F44:I44"/>
    <mergeCell ref="F45:I45"/>
    <mergeCell ref="F46:I46"/>
    <mergeCell ref="F47:I47"/>
    <mergeCell ref="F48:I48"/>
    <mergeCell ref="F49:I49"/>
    <mergeCell ref="F50:I50"/>
    <mergeCell ref="F51:I51"/>
    <mergeCell ref="F52:I52"/>
    <mergeCell ref="F53:I53"/>
    <mergeCell ref="F54:I54"/>
  </mergeCells>
  <conditionalFormatting sqref="J15:J54">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9"/>
  <sheetViews>
    <sheetView workbookViewId="0">
      <selection activeCell="A1" sqref="A1:H1"/>
    </sheetView>
  </sheetViews>
  <sheetFormatPr defaultColWidth="9" defaultRowHeight="15"/>
  <cols>
    <col min="1" max="1" width="9" customWidth="1"/>
    <col min="2" max="2" width="14" customWidth="1"/>
    <col min="3" max="3" width="40" customWidth="1"/>
    <col min="4" max="4" width="30" customWidth="1"/>
    <col min="5" max="5" width="10" customWidth="1"/>
    <col min="6" max="6" width="9" customWidth="1"/>
    <col min="7" max="12" width="10" customWidth="1"/>
    <col min="13" max="13" width="12" customWidth="1"/>
    <col min="14" max="15" width="10" customWidth="1"/>
  </cols>
  <sheetData>
    <row r="1" ht="20.25" spans="1:4">
      <c r="A1" s="159" t="s">
        <v>5874</v>
      </c>
    </row>
    <row r="3" ht="28.5" spans="1:4">
      <c r="A3" s="21" t="s">
        <v>1822</v>
      </c>
      <c r="B3" s="22" t="s">
        <v>1823</v>
      </c>
    </row>
    <row r="4" ht="28.5" spans="1:4">
      <c r="A4" s="21" t="s">
        <v>1544</v>
      </c>
      <c r="B4" s="23" t="s">
        <v>5875</v>
      </c>
    </row>
    <row r="5" ht="42.75" spans="1:4">
      <c r="A5" s="21" t="s">
        <v>1825</v>
      </c>
      <c r="B5" s="23" t="s">
        <v>1826</v>
      </c>
    </row>
    <row r="7" ht="15.75" spans="1:4">
      <c r="A7" s="24" t="s">
        <v>1827</v>
      </c>
    </row>
    <row r="8" ht="28.5" spans="1:4">
      <c r="A8" s="25" t="s">
        <v>211</v>
      </c>
      <c r="B8" s="25" t="s">
        <v>1828</v>
      </c>
      <c r="C8" s="25" t="s">
        <v>1829</v>
      </c>
      <c r="D8" s="25" t="s">
        <v>1830</v>
      </c>
    </row>
    <row r="9" ht="30" customHeight="1" spans="1:4">
      <c r="A9" s="26">
        <v>1</v>
      </c>
      <c r="B9" s="27" t="s">
        <v>1831</v>
      </c>
      <c r="C9" s="28" t="s">
        <v>5876</v>
      </c>
      <c r="D9" s="29" t="s">
        <v>1833</v>
      </c>
    </row>
    <row r="10" ht="30" customHeight="1" spans="1:4">
      <c r="A10" s="26">
        <v>2</v>
      </c>
      <c r="B10" s="27" t="s">
        <v>1834</v>
      </c>
      <c r="C10" s="28" t="s">
        <v>5877</v>
      </c>
      <c r="D10" s="29" t="s">
        <v>1836</v>
      </c>
    </row>
    <row r="12" ht="15.75" spans="1:4">
      <c r="A12" s="30" t="s">
        <v>1837</v>
      </c>
    </row>
    <row r="13" spans="1:4">
      <c r="A13" s="31" t="s">
        <v>1838</v>
      </c>
      <c r="B13" s="32"/>
      <c r="C13" s="31" t="s">
        <v>1839</v>
      </c>
      <c r="D13" s="32"/>
    </row>
    <row r="14" customHeight="1" spans="1:4">
      <c r="A14" s="33" t="s">
        <v>1840</v>
      </c>
      <c r="B14" s="32"/>
      <c r="C14" s="34" t="s">
        <v>1841</v>
      </c>
      <c r="D14" s="32"/>
    </row>
    <row r="15" customHeight="1" spans="1:4">
      <c r="A15" s="33" t="s">
        <v>1842</v>
      </c>
      <c r="B15" s="32"/>
      <c r="C15" s="34" t="s">
        <v>1843</v>
      </c>
      <c r="D15" s="32"/>
    </row>
    <row r="16" customHeight="1" spans="1:4">
      <c r="A16" s="33" t="s">
        <v>1844</v>
      </c>
      <c r="B16" s="32"/>
      <c r="C16" s="34" t="s">
        <v>1845</v>
      </c>
      <c r="D16" s="32"/>
    </row>
    <row r="17" customHeight="1" spans="1:15">
      <c r="A17" s="33" t="s">
        <v>1846</v>
      </c>
      <c r="B17" s="32"/>
      <c r="C17" s="34" t="s">
        <v>1847</v>
      </c>
      <c r="D17" s="32"/>
    </row>
    <row r="18" customHeight="1" spans="1:15">
      <c r="A18" s="33" t="s">
        <v>1848</v>
      </c>
      <c r="B18" s="32"/>
      <c r="C18" s="34" t="s">
        <v>1849</v>
      </c>
      <c r="D18" s="32"/>
    </row>
    <row r="19" ht="30" customHeight="1" spans="1:15">
      <c r="A19" s="33" t="s">
        <v>1850</v>
      </c>
      <c r="B19" s="32"/>
      <c r="C19" s="34" t="s">
        <v>1851</v>
      </c>
      <c r="D19" s="32"/>
    </row>
    <row r="20" ht="30" customHeight="1" spans="1:15">
      <c r="A20" s="33" t="s">
        <v>1852</v>
      </c>
      <c r="B20" s="32"/>
      <c r="C20" s="34" t="s">
        <v>1853</v>
      </c>
      <c r="D20" s="32"/>
    </row>
    <row r="21" customHeight="1" spans="1:15">
      <c r="A21" s="33" t="s">
        <v>1854</v>
      </c>
      <c r="B21" s="32"/>
      <c r="C21" s="34" t="s">
        <v>1855</v>
      </c>
      <c r="D21" s="32"/>
    </row>
    <row r="23" ht="15.75" spans="1:15">
      <c r="A23" s="24" t="s">
        <v>1856</v>
      </c>
    </row>
    <row r="24" ht="28.5" spans="1:15">
      <c r="A24" s="31" t="s">
        <v>211</v>
      </c>
      <c r="B24" s="31" t="s">
        <v>1857</v>
      </c>
      <c r="C24" s="32"/>
      <c r="D24" s="31" t="s">
        <v>1858</v>
      </c>
    </row>
    <row r="25" ht="30" customHeight="1" spans="1:15">
      <c r="A25" s="35">
        <v>1</v>
      </c>
      <c r="B25" s="33" t="s">
        <v>5878</v>
      </c>
      <c r="C25" s="32"/>
      <c r="D25" s="34" t="s">
        <v>5879</v>
      </c>
    </row>
    <row r="27" spans="1:15">
      <c r="A27" s="36" t="s">
        <v>1863</v>
      </c>
      <c r="B27" s="37"/>
      <c r="C27" s="37"/>
      <c r="D27" s="37"/>
      <c r="E27" s="37"/>
      <c r="F27" s="37"/>
      <c r="G27" s="37"/>
      <c r="H27" s="37"/>
      <c r="I27" s="37"/>
      <c r="J27" s="37"/>
      <c r="K27" s="37"/>
      <c r="L27" s="37"/>
      <c r="M27" s="37"/>
      <c r="N27" s="37"/>
      <c r="O27" s="37"/>
    </row>
    <row r="28" ht="32" customHeight="1" spans="1:15">
      <c r="A28" s="38" t="s">
        <v>211</v>
      </c>
      <c r="B28" s="38" t="s">
        <v>1828</v>
      </c>
      <c r="C28" s="38" t="s">
        <v>1864</v>
      </c>
      <c r="D28" s="38" t="s">
        <v>1865</v>
      </c>
      <c r="E28" s="38" t="s">
        <v>1866</v>
      </c>
      <c r="F28" s="38" t="s">
        <v>1867</v>
      </c>
      <c r="G28" s="38" t="s">
        <v>1868</v>
      </c>
      <c r="H28" s="38" t="s">
        <v>1869</v>
      </c>
      <c r="I28" s="38" t="s">
        <v>1870</v>
      </c>
      <c r="J28" s="38" t="s">
        <v>1871</v>
      </c>
      <c r="K28" s="38" t="s">
        <v>1872</v>
      </c>
      <c r="L28" s="38" t="s">
        <v>1873</v>
      </c>
      <c r="M28" s="38" t="s">
        <v>1874</v>
      </c>
      <c r="N28" s="38" t="s">
        <v>1875</v>
      </c>
      <c r="O28" s="38" t="s">
        <v>1876</v>
      </c>
    </row>
    <row r="29" ht="30" customHeight="1" spans="1:15">
      <c r="A29" s="39">
        <v>1</v>
      </c>
      <c r="B29" s="39" t="s">
        <v>1831</v>
      </c>
      <c r="C29" s="40" t="s">
        <v>5880</v>
      </c>
      <c r="D29" s="39" t="s">
        <v>1878</v>
      </c>
      <c r="E29" s="39">
        <v>20</v>
      </c>
      <c r="F29" s="39">
        <v>30</v>
      </c>
      <c r="G29" s="39">
        <v>49</v>
      </c>
      <c r="H29" s="39">
        <v>19860</v>
      </c>
      <c r="I29" s="39">
        <v>29</v>
      </c>
      <c r="J29" s="39">
        <v>60</v>
      </c>
      <c r="K29" s="39">
        <v>7</v>
      </c>
      <c r="L29" s="39">
        <v>421</v>
      </c>
      <c r="M29" s="39">
        <v>661.5</v>
      </c>
      <c r="N29" s="41">
        <v>0</v>
      </c>
      <c r="O29" s="39" t="s">
        <v>1385</v>
      </c>
    </row>
    <row r="30" customHeight="1" spans="1:15">
      <c r="A30" s="39">
        <v>2</v>
      </c>
      <c r="B30" s="39" t="s">
        <v>1834</v>
      </c>
      <c r="C30" s="40" t="s">
        <v>5881</v>
      </c>
      <c r="D30" s="39" t="s">
        <v>1881</v>
      </c>
      <c r="E30" s="39">
        <v>50</v>
      </c>
      <c r="F30" s="39">
        <v>30</v>
      </c>
      <c r="G30" s="39">
        <v>111</v>
      </c>
      <c r="H30" s="39">
        <v>24461</v>
      </c>
      <c r="I30" s="39">
        <v>58</v>
      </c>
      <c r="J30" s="39">
        <v>131</v>
      </c>
      <c r="K30" s="39">
        <v>7</v>
      </c>
      <c r="L30" s="39">
        <v>415</v>
      </c>
      <c r="M30" s="39">
        <v>814.6</v>
      </c>
      <c r="N30" s="41">
        <v>0</v>
      </c>
      <c r="O30" s="39" t="s">
        <v>1385</v>
      </c>
    </row>
    <row r="31" spans="1:15">
      <c r="A31" s="42" t="s">
        <v>1882</v>
      </c>
      <c r="B31" s="42" t="s">
        <v>1883</v>
      </c>
      <c r="C31" s="42" t="s">
        <v>1884</v>
      </c>
      <c r="D31" s="42" t="s">
        <v>1885</v>
      </c>
      <c r="H31" s="43">
        <f>SUM(H29:H30)</f>
        <v>44321</v>
      </c>
      <c r="I31" s="44">
        <f>IFERROR(SUMPRODUCT(H29:H30,I29:I30)/H31,0)</f>
        <v>45.0052571015997</v>
      </c>
      <c r="N31" s="45">
        <f>IFERROR(SUMPRODUCT(H29:H30,N29:N30)/H31,0)</f>
        <v>0</v>
      </c>
      <c r="O31" s="43" t="str">
        <f>IF(COUNTIF(O29:O30,"FAIL")=0,"PASS","FAIL")</f>
        <v>PASS</v>
      </c>
    </row>
    <row r="33" spans="1:15">
      <c r="A33" s="46" t="s">
        <v>1886</v>
      </c>
      <c r="B33" s="16"/>
      <c r="C33" s="16"/>
      <c r="D33" s="16"/>
      <c r="E33" s="17"/>
    </row>
    <row r="34" ht="30" spans="1:15">
      <c r="A34" s="38" t="s">
        <v>1887</v>
      </c>
      <c r="B34" s="38" t="s">
        <v>332</v>
      </c>
      <c r="C34" s="38" t="s">
        <v>1888</v>
      </c>
      <c r="D34" s="38" t="s">
        <v>1889</v>
      </c>
      <c r="E34" s="38" t="s">
        <v>430</v>
      </c>
    </row>
    <row r="35" ht="30" customHeight="1" spans="1:15">
      <c r="A35" s="47" t="s">
        <v>1831</v>
      </c>
      <c r="B35" s="47" t="s">
        <v>1878</v>
      </c>
      <c r="C35" s="47" t="s">
        <v>1890</v>
      </c>
      <c r="D35" s="47" t="s">
        <v>1891</v>
      </c>
      <c r="E35" s="47" t="s">
        <v>5880</v>
      </c>
    </row>
    <row r="36" ht="30" customHeight="1" spans="1:15">
      <c r="A36" s="47" t="s">
        <v>1834</v>
      </c>
      <c r="B36" s="47" t="s">
        <v>1881</v>
      </c>
      <c r="C36" s="47" t="s">
        <v>1892</v>
      </c>
      <c r="D36" s="47" t="s">
        <v>1891</v>
      </c>
      <c r="E36" s="47" t="s">
        <v>5881</v>
      </c>
    </row>
    <row r="38" spans="1:15">
      <c r="A38" s="46" t="s">
        <v>1893</v>
      </c>
      <c r="B38" s="16"/>
      <c r="C38" s="16"/>
      <c r="D38" s="16"/>
      <c r="E38" s="16"/>
      <c r="F38" s="16"/>
      <c r="G38" s="16"/>
      <c r="H38" s="16"/>
      <c r="I38" s="16"/>
      <c r="J38" s="16"/>
      <c r="K38" s="16"/>
      <c r="L38" s="16"/>
      <c r="M38" s="16"/>
      <c r="N38" s="16"/>
      <c r="O38" s="17"/>
    </row>
    <row r="39" customHeight="1" spans="1:15">
      <c r="A39" s="47" t="s">
        <v>4808</v>
      </c>
      <c r="B39" s="48"/>
      <c r="C39" s="48"/>
      <c r="D39" s="48"/>
      <c r="E39" s="48"/>
      <c r="F39" s="48"/>
      <c r="G39" s="48"/>
      <c r="H39" s="48"/>
      <c r="I39" s="48"/>
      <c r="J39" s="48"/>
      <c r="K39" s="48"/>
      <c r="L39" s="48"/>
      <c r="M39" s="48"/>
      <c r="N39" s="48"/>
      <c r="O39" s="32"/>
    </row>
  </sheetData>
  <mergeCells count="31">
    <mergeCell ref="A1:H1"/>
    <mergeCell ref="B3:H3"/>
    <mergeCell ref="B4:H4"/>
    <mergeCell ref="B5:H5"/>
    <mergeCell ref="A7:D7"/>
    <mergeCell ref="A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3:D23"/>
    <mergeCell ref="B24:C24"/>
    <mergeCell ref="B25:C25"/>
    <mergeCell ref="A27:O27"/>
    <mergeCell ref="A33:E33"/>
    <mergeCell ref="A38:O38"/>
    <mergeCell ref="A39:O39"/>
  </mergeCells>
  <conditionalFormatting sqref="O29:O31">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workbookViewId="0">
      <selection activeCell="A1" sqref="A1:G1"/>
    </sheetView>
  </sheetViews>
  <sheetFormatPr defaultColWidth="9" defaultRowHeight="15" outlineLevelCol="6"/>
  <cols>
    <col min="1" max="1" width="34" customWidth="1"/>
    <col min="2" max="2" width="14" customWidth="1"/>
    <col min="3" max="6" width="13" customWidth="1"/>
    <col min="7" max="7" width="44" customWidth="1"/>
  </cols>
  <sheetData>
    <row r="1" ht="19.5" spans="1:7">
      <c r="A1" s="1" t="s">
        <v>1895</v>
      </c>
    </row>
    <row r="2" spans="1:7">
      <c r="A2" s="2" t="s">
        <v>226</v>
      </c>
      <c r="C2" s="2" t="s">
        <v>227</v>
      </c>
    </row>
    <row r="3" spans="1:7">
      <c r="A3" s="2" t="s">
        <v>528</v>
      </c>
      <c r="C3" s="2" t="s">
        <v>231</v>
      </c>
    </row>
    <row r="4" spans="1:7">
      <c r="A4" s="2" t="s">
        <v>1896</v>
      </c>
      <c r="C4" s="2" t="s">
        <v>51</v>
      </c>
    </row>
    <row r="5" spans="1:7">
      <c r="A5" s="2" t="s">
        <v>1897</v>
      </c>
      <c r="C5" s="2" t="s">
        <v>7</v>
      </c>
    </row>
    <row r="6" spans="1:7">
      <c r="A6" s="2" t="s">
        <v>1898</v>
      </c>
      <c r="C6" s="2" t="s">
        <v>233</v>
      </c>
    </row>
    <row r="7" spans="1:7">
      <c r="A7" s="2" t="s">
        <v>1899</v>
      </c>
      <c r="C7" s="2">
        <f>B16</f>
        <v>37</v>
      </c>
    </row>
    <row r="8" spans="1:7">
      <c r="A8" s="2" t="s">
        <v>1900</v>
      </c>
      <c r="C8" s="3" t="s">
        <v>1901</v>
      </c>
    </row>
    <row r="10" spans="1:7">
      <c r="A10" s="4" t="s">
        <v>1902</v>
      </c>
      <c r="B10" s="5"/>
      <c r="C10" s="5"/>
      <c r="D10" s="5"/>
      <c r="E10" s="5"/>
      <c r="F10" s="5"/>
      <c r="G10" s="6"/>
    </row>
    <row r="11" ht="32" customHeight="1" spans="1:7">
      <c r="A11" s="7" t="s">
        <v>1903</v>
      </c>
      <c r="B11" s="7" t="s">
        <v>1904</v>
      </c>
      <c r="C11" s="7" t="s">
        <v>1553</v>
      </c>
      <c r="D11" s="7" t="s">
        <v>1554</v>
      </c>
      <c r="E11" s="7" t="s">
        <v>1905</v>
      </c>
      <c r="F11" s="7" t="s">
        <v>1759</v>
      </c>
      <c r="G11" s="7" t="s">
        <v>1906</v>
      </c>
    </row>
    <row r="12" customHeight="1" spans="1:7">
      <c r="A12" s="8" t="s">
        <v>1907</v>
      </c>
      <c r="B12" s="9">
        <f>'PH7-Kiểm thử giao diện'!C14</f>
        <v>15</v>
      </c>
      <c r="C12" s="9">
        <f>'PH7-Kiểm thử giao diện'!E14</f>
        <v>10</v>
      </c>
      <c r="D12" s="9">
        <f>'PH7-Kiểm thử giao diện'!F14</f>
        <v>5</v>
      </c>
      <c r="E12" s="9">
        <f>'PH7-Kiểm thử giao diện'!D14</f>
        <v>0</v>
      </c>
      <c r="F12" s="10">
        <f>IFERROR(C12/B12,0)</f>
        <v>0.666666666666667</v>
      </c>
      <c r="G12" s="11" t="s">
        <v>5882</v>
      </c>
    </row>
    <row r="13" ht="30" customHeight="1" spans="1:7">
      <c r="A13" s="8" t="s">
        <v>1909</v>
      </c>
      <c r="B13" s="9">
        <f>'PH7-Kiểm thử API(Postman)'!A10</f>
        <v>6</v>
      </c>
      <c r="C13" s="9">
        <f>'PH7-Kiểm thử API(Postman)'!B10</f>
        <v>4</v>
      </c>
      <c r="D13" s="9">
        <f>'PH7-Kiểm thử API(Postman)'!C10</f>
        <v>2</v>
      </c>
      <c r="E13" s="9">
        <v>0</v>
      </c>
      <c r="F13" s="10">
        <f>IFERROR(C13/B13,0)</f>
        <v>0.666666666666667</v>
      </c>
      <c r="G13" s="11" t="s">
        <v>5883</v>
      </c>
    </row>
    <row r="14" ht="30" customHeight="1" spans="1:7">
      <c r="A14" s="8" t="s">
        <v>1911</v>
      </c>
      <c r="B14" s="9">
        <f>'PH7-Unit test'!B63</f>
        <v>16</v>
      </c>
      <c r="C14" s="9">
        <f>'PH7-Unit test'!B64</f>
        <v>13</v>
      </c>
      <c r="D14" s="9">
        <f>'PH7-Unit test'!B65</f>
        <v>3</v>
      </c>
      <c r="E14" s="9">
        <v>0</v>
      </c>
      <c r="F14" s="10">
        <f>IFERROR(C14/B14,0)</f>
        <v>0.8125</v>
      </c>
      <c r="G14" s="11" t="s">
        <v>5884</v>
      </c>
    </row>
    <row r="15" ht="30" customHeight="1" spans="1:7">
      <c r="A15" s="8" t="s">
        <v>1913</v>
      </c>
      <c r="B15" s="9">
        <f>COUNTA('PH7-Kiểm thử hiệu năng'!O29:O30)</f>
        <v>2</v>
      </c>
      <c r="C15" s="9">
        <f>COUNTIF('PH7-Kiểm thử hiệu năng'!O29:O30,"PASS")</f>
        <v>2</v>
      </c>
      <c r="D15" s="9">
        <f>COUNTIF('PH7-Kiểm thử hiệu năng'!O29:O30,"FAIL")</f>
        <v>0</v>
      </c>
      <c r="E15" s="9">
        <v>0</v>
      </c>
      <c r="F15" s="10">
        <f>IFERROR(C15/B15,0)</f>
        <v>1</v>
      </c>
      <c r="G15" s="11" t="s">
        <v>4808</v>
      </c>
    </row>
    <row r="16" spans="1:7">
      <c r="A16" s="12" t="s">
        <v>1914</v>
      </c>
      <c r="B16" s="7">
        <f>SUMIF($A$12:$A$15,"&lt;&gt;Kiểm thử Hiệu năng*",B12:B15)</f>
        <v>37</v>
      </c>
      <c r="C16" s="7">
        <f>SUMIF($A$12:$A$15,"&lt;&gt;Kiểm thử Hiệu năng*",C12:C15)</f>
        <v>27</v>
      </c>
      <c r="D16" s="7">
        <f>SUMIF($A$12:$A$15,"&lt;&gt;Kiểm thử Hiệu năng*",D12:D15)</f>
        <v>10</v>
      </c>
      <c r="E16" s="7">
        <f>SUMIF($A$12:$A$15,"&lt;&gt;Kiểm thử Hiệu năng*",E12:E15)</f>
        <v>0</v>
      </c>
      <c r="F16" s="13">
        <f>IFERROR(C16/B16,0)</f>
        <v>0.72972972972973</v>
      </c>
      <c r="G16" s="12" t="s">
        <v>7</v>
      </c>
    </row>
    <row r="18" ht="400" customHeight="1" spans="1:7">
      <c r="A18" s="14" t="s">
        <v>1915</v>
      </c>
      <c r="B18" s="15" t="s">
        <v>5885</v>
      </c>
      <c r="C18" s="16"/>
      <c r="D18" s="16"/>
      <c r="E18" s="16"/>
      <c r="F18" s="16"/>
      <c r="G18" s="17"/>
    </row>
    <row r="19" ht="400" customHeight="1" spans="1:7">
      <c r="A19" s="18" t="s">
        <v>1917</v>
      </c>
      <c r="B19" s="15" t="s">
        <v>5886</v>
      </c>
      <c r="C19" s="16"/>
      <c r="D19" s="16"/>
      <c r="E19" s="17"/>
      <c r="F19" s="15" t="s">
        <v>5887</v>
      </c>
      <c r="G19" s="17"/>
    </row>
    <row r="20" ht="150" customHeight="1" spans="1:7">
      <c r="A20" s="14" t="s">
        <v>1920</v>
      </c>
      <c r="B20" s="15" t="s">
        <v>5585</v>
      </c>
      <c r="C20" s="16"/>
      <c r="D20" s="16"/>
      <c r="E20" s="16"/>
      <c r="F20" s="16"/>
      <c r="G20" s="17"/>
    </row>
    <row r="21" ht="45" customHeight="1" spans="1:7">
      <c r="A21" s="14" t="s">
        <v>1921</v>
      </c>
      <c r="B21" s="15" t="s">
        <v>5888</v>
      </c>
      <c r="C21" s="16"/>
      <c r="D21" s="16"/>
      <c r="E21" s="16"/>
      <c r="F21" s="16"/>
      <c r="G21" s="17"/>
    </row>
    <row r="22" ht="32" customHeight="1" spans="1:7">
      <c r="A22" s="19" t="s">
        <v>1923</v>
      </c>
    </row>
  </sheetData>
  <mergeCells count="21">
    <mergeCell ref="A1:G1"/>
    <mergeCell ref="A2:B2"/>
    <mergeCell ref="C2:F2"/>
    <mergeCell ref="A3:B3"/>
    <mergeCell ref="C3:F3"/>
    <mergeCell ref="A4:B4"/>
    <mergeCell ref="C4:F4"/>
    <mergeCell ref="A5:B5"/>
    <mergeCell ref="C5:F5"/>
    <mergeCell ref="A6:B6"/>
    <mergeCell ref="C6:F6"/>
    <mergeCell ref="A7:B7"/>
    <mergeCell ref="C7:F7"/>
    <mergeCell ref="A8:B8"/>
    <mergeCell ref="C8:F8"/>
    <mergeCell ref="A10:G10"/>
    <mergeCell ref="B18:G18"/>
    <mergeCell ref="B19:E19"/>
    <mergeCell ref="F19:G19"/>
    <mergeCell ref="B20:G20"/>
    <mergeCell ref="B21:G21"/>
  </mergeCells>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
  <sheetViews>
    <sheetView workbookViewId="0">
      <pane xSplit="1" ySplit="13" topLeftCell="B14" activePane="bottomRight" state="frozen"/>
      <selection/>
      <selection pane="topRight"/>
      <selection pane="bottomLeft"/>
      <selection pane="bottomRight" activeCell="A1" sqref="A1:F1"/>
    </sheetView>
  </sheetViews>
  <sheetFormatPr defaultColWidth="9" defaultRowHeight="15" outlineLevelCol="5"/>
  <cols>
    <col min="1" max="1" width="57.7142857142857" customWidth="1"/>
    <col min="2" max="2" width="11.1428571428571" customWidth="1"/>
    <col min="3" max="3" width="13.5714285714286" customWidth="1"/>
    <col min="4" max="4" width="13" customWidth="1"/>
    <col min="5" max="5" width="38.5714285714286" customWidth="1"/>
    <col min="6" max="6" width="13" customWidth="1"/>
  </cols>
  <sheetData>
    <row r="1" ht="24" customHeight="1" spans="1:6">
      <c r="A1" s="144" t="s">
        <v>69</v>
      </c>
    </row>
    <row r="3" customHeight="1" spans="1:6">
      <c r="A3" s="145" t="s">
        <v>226</v>
      </c>
      <c r="B3" s="146" t="s">
        <v>227</v>
      </c>
      <c r="C3" s="147"/>
      <c r="D3" s="147"/>
      <c r="E3" s="147"/>
      <c r="F3" s="147"/>
    </row>
    <row r="4" customHeight="1" spans="1:6">
      <c r="A4" s="145" t="s">
        <v>528</v>
      </c>
      <c r="B4" s="146" t="s">
        <v>231</v>
      </c>
      <c r="C4" s="147"/>
      <c r="D4" s="147"/>
      <c r="E4" s="147"/>
      <c r="F4" s="147"/>
    </row>
    <row r="5" customHeight="1" spans="1:6">
      <c r="A5" s="145" t="s">
        <v>529</v>
      </c>
      <c r="B5" s="148" t="s">
        <v>52</v>
      </c>
      <c r="C5" s="147"/>
      <c r="D5" s="147"/>
      <c r="E5" s="147"/>
      <c r="F5" s="147"/>
    </row>
    <row r="6" customHeight="1" spans="1:6">
      <c r="A6" s="145" t="s">
        <v>422</v>
      </c>
      <c r="B6" s="146" t="s">
        <v>60</v>
      </c>
      <c r="C6" s="147"/>
      <c r="D6" s="147"/>
      <c r="E6" s="147"/>
      <c r="F6" s="147"/>
    </row>
    <row r="7" customHeight="1" spans="1:6">
      <c r="A7" s="145" t="s">
        <v>238</v>
      </c>
      <c r="B7" s="146" t="s">
        <v>7</v>
      </c>
      <c r="C7" s="147"/>
      <c r="D7" s="147"/>
      <c r="E7" s="147"/>
      <c r="F7" s="147"/>
    </row>
    <row r="8" customHeight="1" spans="1:6">
      <c r="A8" s="145" t="s">
        <v>421</v>
      </c>
      <c r="B8" s="146" t="s">
        <v>233</v>
      </c>
      <c r="C8" s="147"/>
      <c r="D8" s="147"/>
      <c r="E8" s="147"/>
      <c r="F8" s="147"/>
    </row>
    <row r="9" ht="45" customHeight="1" spans="1:6">
      <c r="A9" s="145" t="s">
        <v>423</v>
      </c>
      <c r="B9" s="148" t="s">
        <v>5889</v>
      </c>
      <c r="C9" s="147"/>
      <c r="D9" s="147"/>
      <c r="E9" s="147"/>
      <c r="F9" s="147"/>
    </row>
    <row r="10" customHeight="1" spans="1:6">
      <c r="A10" s="145" t="s">
        <v>532</v>
      </c>
      <c r="B10" s="146" t="s">
        <v>103</v>
      </c>
      <c r="C10" s="147"/>
      <c r="D10" s="147"/>
      <c r="E10" s="147"/>
      <c r="F10" s="147"/>
    </row>
    <row r="11" ht="75" customHeight="1" spans="1:6">
      <c r="A11" s="145" t="s">
        <v>935</v>
      </c>
      <c r="B11" s="148" t="s">
        <v>5890</v>
      </c>
      <c r="C11" s="147"/>
      <c r="D11" s="147"/>
      <c r="E11" s="147"/>
      <c r="F11" s="147"/>
    </row>
    <row r="13" spans="1:6">
      <c r="A13" s="149" t="s">
        <v>426</v>
      </c>
      <c r="B13" s="150" t="s">
        <v>427</v>
      </c>
      <c r="C13" s="150" t="s">
        <v>428</v>
      </c>
      <c r="D13" s="150" t="s">
        <v>429</v>
      </c>
      <c r="E13" s="150" t="s">
        <v>430</v>
      </c>
      <c r="F13" s="150" t="s">
        <v>431</v>
      </c>
    </row>
    <row r="14" spans="1:6">
      <c r="A14" s="149" t="s">
        <v>432</v>
      </c>
      <c r="B14" s="149"/>
      <c r="C14" s="149"/>
      <c r="D14" s="149"/>
      <c r="E14" s="149"/>
      <c r="F14" s="149"/>
    </row>
    <row r="15" ht="90" customHeight="1" spans="1:6">
      <c r="A15" s="151" t="s">
        <v>433</v>
      </c>
      <c r="B15" s="152"/>
      <c r="C15" s="152" t="s">
        <v>434</v>
      </c>
      <c r="D15" s="152"/>
      <c r="E15" s="151" t="s">
        <v>5891</v>
      </c>
      <c r="F15" s="152" t="s">
        <v>436</v>
      </c>
    </row>
    <row r="16" ht="45" customHeight="1" spans="1:6">
      <c r="A16" s="151" t="s">
        <v>437</v>
      </c>
      <c r="B16" s="152"/>
      <c r="C16" s="152" t="s">
        <v>434</v>
      </c>
      <c r="D16" s="152"/>
      <c r="E16" s="151" t="s">
        <v>5892</v>
      </c>
      <c r="F16" s="152" t="s">
        <v>436</v>
      </c>
    </row>
    <row r="17" ht="45" customHeight="1" spans="1:6">
      <c r="A17" s="151" t="s">
        <v>535</v>
      </c>
      <c r="B17" s="152"/>
      <c r="C17" s="152" t="s">
        <v>434</v>
      </c>
      <c r="D17" s="152"/>
      <c r="E17" s="151" t="s">
        <v>5893</v>
      </c>
      <c r="F17" s="152" t="s">
        <v>436</v>
      </c>
    </row>
    <row r="18" ht="30" customHeight="1" spans="1:6">
      <c r="A18" s="151" t="s">
        <v>537</v>
      </c>
      <c r="B18" s="152"/>
      <c r="C18" s="152" t="s">
        <v>434</v>
      </c>
      <c r="D18" s="152"/>
      <c r="E18" s="151" t="s">
        <v>5894</v>
      </c>
      <c r="F18" s="152" t="s">
        <v>436</v>
      </c>
    </row>
    <row r="19" ht="30" customHeight="1" spans="1:6">
      <c r="A19" s="151" t="s">
        <v>539</v>
      </c>
      <c r="B19" s="152"/>
      <c r="C19" s="152" t="s">
        <v>434</v>
      </c>
      <c r="D19" s="152"/>
      <c r="E19" s="151" t="s">
        <v>5895</v>
      </c>
      <c r="F19" s="152" t="s">
        <v>436</v>
      </c>
    </row>
    <row r="20" ht="30" customHeight="1" spans="1:6">
      <c r="A20" s="151" t="s">
        <v>541</v>
      </c>
      <c r="B20" s="152"/>
      <c r="C20" s="152" t="s">
        <v>434</v>
      </c>
      <c r="D20" s="152"/>
      <c r="E20" s="151" t="s">
        <v>5896</v>
      </c>
      <c r="F20" s="152" t="s">
        <v>436</v>
      </c>
    </row>
    <row r="21" ht="75" customHeight="1" spans="1:6">
      <c r="A21" s="151" t="s">
        <v>543</v>
      </c>
      <c r="B21" s="152"/>
      <c r="C21" s="152" t="s">
        <v>434</v>
      </c>
      <c r="D21" s="152"/>
      <c r="E21" s="151" t="s">
        <v>5897</v>
      </c>
      <c r="F21" s="152" t="s">
        <v>436</v>
      </c>
    </row>
    <row r="22" customHeight="1" spans="1:6">
      <c r="A22" s="151" t="s">
        <v>449</v>
      </c>
      <c r="B22" s="152"/>
      <c r="C22" s="152"/>
      <c r="D22" s="152" t="s">
        <v>434</v>
      </c>
      <c r="E22" s="151" t="s">
        <v>5898</v>
      </c>
      <c r="F22" s="152" t="s">
        <v>436</v>
      </c>
    </row>
    <row r="23" ht="90" customHeight="1" spans="1:6">
      <c r="A23" s="151" t="s">
        <v>451</v>
      </c>
      <c r="B23" s="152"/>
      <c r="C23" s="152" t="s">
        <v>434</v>
      </c>
      <c r="D23" s="152"/>
      <c r="E23" s="151" t="s">
        <v>5899</v>
      </c>
      <c r="F23" s="152" t="s">
        <v>436</v>
      </c>
    </row>
    <row r="24" spans="1:6">
      <c r="A24" s="149" t="s">
        <v>547</v>
      </c>
      <c r="B24" s="149"/>
      <c r="C24" s="149"/>
      <c r="D24" s="149"/>
      <c r="E24" s="149"/>
      <c r="F24" s="149"/>
    </row>
    <row r="25" ht="60" customHeight="1" spans="1:6">
      <c r="A25" s="151" t="s">
        <v>548</v>
      </c>
      <c r="B25" s="152" t="s">
        <v>434</v>
      </c>
      <c r="C25" s="152"/>
      <c r="D25" s="152"/>
      <c r="E25" s="151" t="s">
        <v>5900</v>
      </c>
      <c r="F25" s="152" t="s">
        <v>436</v>
      </c>
    </row>
    <row r="26" ht="60" customHeight="1" spans="1:6">
      <c r="A26" s="151" t="s">
        <v>550</v>
      </c>
      <c r="B26" s="152" t="s">
        <v>434</v>
      </c>
      <c r="C26" s="152"/>
      <c r="D26" s="152"/>
      <c r="E26" s="151" t="s">
        <v>5901</v>
      </c>
      <c r="F26" s="152" t="s">
        <v>436</v>
      </c>
    </row>
    <row r="27" ht="45" customHeight="1" spans="1:6">
      <c r="A27" s="151" t="s">
        <v>552</v>
      </c>
      <c r="B27" s="152" t="s">
        <v>434</v>
      </c>
      <c r="C27" s="152"/>
      <c r="D27" s="152"/>
      <c r="E27" s="151" t="s">
        <v>5902</v>
      </c>
      <c r="F27" s="152" t="s">
        <v>436</v>
      </c>
    </row>
    <row r="28" ht="90" customHeight="1" spans="1:6">
      <c r="A28" s="151" t="s">
        <v>554</v>
      </c>
      <c r="B28" s="152" t="s">
        <v>434</v>
      </c>
      <c r="C28" s="152"/>
      <c r="D28" s="152"/>
      <c r="E28" s="151" t="s">
        <v>5903</v>
      </c>
      <c r="F28" s="152" t="s">
        <v>436</v>
      </c>
    </row>
    <row r="29" ht="45" customHeight="1" spans="1:6">
      <c r="A29" s="151" t="s">
        <v>556</v>
      </c>
      <c r="B29" s="152"/>
      <c r="C29" s="152" t="s">
        <v>434</v>
      </c>
      <c r="D29" s="152"/>
      <c r="E29" s="151" t="s">
        <v>5904</v>
      </c>
      <c r="F29" s="152" t="s">
        <v>7</v>
      </c>
    </row>
    <row r="30" customHeight="1" spans="1:6">
      <c r="A30" s="151" t="s">
        <v>224</v>
      </c>
      <c r="B30" s="152" t="s">
        <v>434</v>
      </c>
      <c r="C30" s="152"/>
      <c r="D30" s="152"/>
      <c r="E30" s="151" t="s">
        <v>5905</v>
      </c>
      <c r="F30" s="152" t="s">
        <v>7</v>
      </c>
    </row>
    <row r="31" ht="45" customHeight="1" spans="1:6">
      <c r="A31" s="151" t="s">
        <v>558</v>
      </c>
      <c r="B31" s="152"/>
      <c r="C31" s="152" t="s">
        <v>434</v>
      </c>
      <c r="D31" s="152"/>
      <c r="E31" s="151" t="s">
        <v>5906</v>
      </c>
      <c r="F31" s="152" t="s">
        <v>7</v>
      </c>
    </row>
    <row r="32" ht="30" customHeight="1" spans="1:6">
      <c r="A32" s="151" t="s">
        <v>246</v>
      </c>
      <c r="B32" s="152" t="s">
        <v>434</v>
      </c>
      <c r="C32" s="152"/>
      <c r="D32" s="152"/>
      <c r="E32" s="151" t="s">
        <v>5907</v>
      </c>
      <c r="F32" s="152" t="s">
        <v>7</v>
      </c>
    </row>
    <row r="33" ht="75" customHeight="1" spans="1:6">
      <c r="A33" s="151" t="s">
        <v>559</v>
      </c>
      <c r="B33" s="152" t="s">
        <v>434</v>
      </c>
      <c r="C33" s="152"/>
      <c r="D33" s="152"/>
      <c r="E33" s="151" t="s">
        <v>5908</v>
      </c>
      <c r="F33" s="152" t="s">
        <v>436</v>
      </c>
    </row>
    <row r="34" ht="45" customHeight="1" spans="1:6">
      <c r="A34" s="151" t="s">
        <v>561</v>
      </c>
      <c r="B34" s="152" t="s">
        <v>434</v>
      </c>
      <c r="C34" s="152"/>
      <c r="D34" s="152"/>
      <c r="E34" s="151" t="s">
        <v>5909</v>
      </c>
      <c r="F34" s="152" t="s">
        <v>436</v>
      </c>
    </row>
    <row r="35" spans="1:6">
      <c r="A35" s="149" t="s">
        <v>563</v>
      </c>
      <c r="B35" s="149"/>
      <c r="C35" s="149"/>
      <c r="D35" s="149"/>
      <c r="E35" s="149"/>
      <c r="F35" s="149"/>
    </row>
    <row r="36" ht="60" customHeight="1" spans="1:6">
      <c r="A36" s="151" t="s">
        <v>564</v>
      </c>
      <c r="B36" s="152" t="s">
        <v>434</v>
      </c>
      <c r="C36" s="152"/>
      <c r="D36" s="152"/>
      <c r="E36" s="151" t="s">
        <v>5910</v>
      </c>
      <c r="F36" s="152" t="s">
        <v>436</v>
      </c>
    </row>
    <row r="37" ht="60" customHeight="1" spans="1:6">
      <c r="A37" s="151" t="s">
        <v>566</v>
      </c>
      <c r="B37" s="152" t="s">
        <v>434</v>
      </c>
      <c r="C37" s="152"/>
      <c r="D37" s="152"/>
      <c r="E37" s="151" t="s">
        <v>5911</v>
      </c>
      <c r="F37" s="152" t="s">
        <v>436</v>
      </c>
    </row>
    <row r="38" ht="45" customHeight="1" spans="1:6">
      <c r="A38" s="151" t="s">
        <v>568</v>
      </c>
      <c r="B38" s="152"/>
      <c r="C38" s="152" t="s">
        <v>434</v>
      </c>
      <c r="D38" s="152"/>
      <c r="E38" s="151" t="s">
        <v>5912</v>
      </c>
      <c r="F38" s="152" t="s">
        <v>436</v>
      </c>
    </row>
    <row r="39" ht="60" customHeight="1" spans="1:6">
      <c r="A39" s="151" t="s">
        <v>570</v>
      </c>
      <c r="B39" s="152" t="s">
        <v>434</v>
      </c>
      <c r="C39" s="152"/>
      <c r="D39" s="152"/>
      <c r="E39" s="151" t="s">
        <v>5913</v>
      </c>
      <c r="F39" s="152" t="s">
        <v>436</v>
      </c>
    </row>
    <row r="40" ht="135" customHeight="1" spans="1:6">
      <c r="A40" s="151" t="s">
        <v>572</v>
      </c>
      <c r="B40" s="152"/>
      <c r="C40" s="152" t="s">
        <v>434</v>
      </c>
      <c r="D40" s="152"/>
      <c r="E40" s="151" t="s">
        <v>5914</v>
      </c>
      <c r="F40" s="152" t="s">
        <v>436</v>
      </c>
    </row>
    <row r="41" ht="45" customHeight="1" spans="1:6">
      <c r="A41" s="151" t="s">
        <v>574</v>
      </c>
      <c r="B41" s="152" t="s">
        <v>434</v>
      </c>
      <c r="C41" s="152"/>
      <c r="D41" s="152"/>
      <c r="E41" s="151" t="s">
        <v>5915</v>
      </c>
      <c r="F41" s="152" t="s">
        <v>7</v>
      </c>
    </row>
    <row r="42" ht="45" customHeight="1" spans="1:6">
      <c r="A42" s="151" t="s">
        <v>576</v>
      </c>
      <c r="B42" s="152" t="s">
        <v>434</v>
      </c>
      <c r="C42" s="152"/>
      <c r="D42" s="152"/>
      <c r="E42" s="151" t="s">
        <v>5916</v>
      </c>
      <c r="F42" s="152" t="s">
        <v>7</v>
      </c>
    </row>
    <row r="43" ht="75" customHeight="1" spans="1:6">
      <c r="A43" s="151" t="s">
        <v>578</v>
      </c>
      <c r="B43" s="152" t="s">
        <v>434</v>
      </c>
      <c r="C43" s="152"/>
      <c r="D43" s="152"/>
      <c r="E43" s="151" t="s">
        <v>5917</v>
      </c>
      <c r="F43" s="152" t="s">
        <v>7</v>
      </c>
    </row>
    <row r="44" ht="45" customHeight="1" spans="1:6">
      <c r="A44" s="151" t="s">
        <v>580</v>
      </c>
      <c r="B44" s="152"/>
      <c r="C44" s="152" t="s">
        <v>434</v>
      </c>
      <c r="D44" s="152"/>
      <c r="E44" s="151" t="s">
        <v>5918</v>
      </c>
      <c r="F44" s="152" t="s">
        <v>436</v>
      </c>
    </row>
    <row r="45" ht="60" customHeight="1" spans="1:6">
      <c r="A45" s="151" t="s">
        <v>582</v>
      </c>
      <c r="B45" s="152" t="s">
        <v>434</v>
      </c>
      <c r="C45" s="152"/>
      <c r="D45" s="152"/>
      <c r="E45" s="151" t="s">
        <v>5919</v>
      </c>
      <c r="F45" s="152" t="s">
        <v>7</v>
      </c>
    </row>
    <row r="46" ht="75" customHeight="1" spans="1:6">
      <c r="A46" s="151" t="s">
        <v>584</v>
      </c>
      <c r="B46" s="152" t="s">
        <v>434</v>
      </c>
      <c r="C46" s="152"/>
      <c r="D46" s="152"/>
      <c r="E46" s="151" t="s">
        <v>5920</v>
      </c>
      <c r="F46" s="152" t="s">
        <v>7</v>
      </c>
    </row>
    <row r="47" spans="1:6">
      <c r="A47" s="153" t="s">
        <v>586</v>
      </c>
      <c r="B47" s="149"/>
      <c r="C47" s="149"/>
      <c r="D47" s="149"/>
      <c r="E47" s="149"/>
      <c r="F47" s="149"/>
    </row>
    <row r="48" ht="30" customHeight="1" spans="1:6">
      <c r="A48" s="151" t="s">
        <v>962</v>
      </c>
      <c r="B48" s="152"/>
      <c r="C48" s="152" t="s">
        <v>434</v>
      </c>
      <c r="D48" s="152"/>
      <c r="E48" s="151" t="s">
        <v>5921</v>
      </c>
      <c r="F48" s="152" t="s">
        <v>436</v>
      </c>
    </row>
    <row r="49" ht="120" customHeight="1" spans="1:6">
      <c r="A49" s="151" t="s">
        <v>589</v>
      </c>
      <c r="B49" s="152"/>
      <c r="C49" s="152" t="s">
        <v>434</v>
      </c>
      <c r="D49" s="152"/>
      <c r="E49" s="151" t="s">
        <v>5922</v>
      </c>
      <c r="F49" s="152" t="s">
        <v>436</v>
      </c>
    </row>
    <row r="50" ht="30" customHeight="1" spans="1:6">
      <c r="A50" s="151" t="s">
        <v>591</v>
      </c>
      <c r="B50" s="152"/>
      <c r="C50" s="152" t="s">
        <v>434</v>
      </c>
      <c r="D50" s="152"/>
      <c r="E50" s="151" t="s">
        <v>5923</v>
      </c>
      <c r="F50" s="152" t="s">
        <v>436</v>
      </c>
    </row>
    <row r="51" ht="45" customHeight="1" spans="1:6">
      <c r="A51" s="151" t="s">
        <v>593</v>
      </c>
      <c r="B51" s="152"/>
      <c r="C51" s="152" t="s">
        <v>434</v>
      </c>
      <c r="D51" s="152"/>
      <c r="E51" s="151" t="s">
        <v>5924</v>
      </c>
      <c r="F51" s="152" t="s">
        <v>436</v>
      </c>
    </row>
    <row r="52" ht="75" customHeight="1" spans="1:6">
      <c r="A52" s="151" t="s">
        <v>595</v>
      </c>
      <c r="B52" s="152"/>
      <c r="C52" s="152" t="s">
        <v>434</v>
      </c>
      <c r="D52" s="152"/>
      <c r="E52" s="151" t="s">
        <v>5925</v>
      </c>
      <c r="F52" s="152" t="s">
        <v>7</v>
      </c>
    </row>
    <row r="53" ht="105" customHeight="1" spans="1:6">
      <c r="A53" s="151" t="s">
        <v>597</v>
      </c>
      <c r="B53" s="152" t="s">
        <v>434</v>
      </c>
      <c r="C53" s="152"/>
      <c r="D53" s="152"/>
      <c r="E53" s="151" t="s">
        <v>5926</v>
      </c>
      <c r="F53" s="152" t="s">
        <v>436</v>
      </c>
    </row>
    <row r="54" ht="75" customHeight="1" spans="1:6">
      <c r="A54" s="151" t="s">
        <v>599</v>
      </c>
      <c r="B54" s="152"/>
      <c r="C54" s="152" t="s">
        <v>434</v>
      </c>
      <c r="D54" s="152"/>
      <c r="E54" s="151" t="s">
        <v>5927</v>
      </c>
      <c r="F54" s="152" t="s">
        <v>7</v>
      </c>
    </row>
    <row r="55" ht="60" customHeight="1" spans="1:6">
      <c r="A55" s="151" t="s">
        <v>601</v>
      </c>
      <c r="B55" s="152" t="s">
        <v>434</v>
      </c>
      <c r="C55" s="152"/>
      <c r="D55" s="152"/>
      <c r="E55" s="151" t="s">
        <v>5928</v>
      </c>
      <c r="F55" s="152" t="s">
        <v>7</v>
      </c>
    </row>
    <row r="56" ht="75" customHeight="1" spans="1:6">
      <c r="A56" s="151" t="s">
        <v>603</v>
      </c>
      <c r="B56" s="152" t="s">
        <v>434</v>
      </c>
      <c r="C56" s="152"/>
      <c r="D56" s="152"/>
      <c r="E56" s="151" t="s">
        <v>5929</v>
      </c>
      <c r="F56" s="152" t="s">
        <v>7</v>
      </c>
    </row>
    <row r="57" ht="75" customHeight="1" spans="1:6">
      <c r="A57" s="151" t="s">
        <v>605</v>
      </c>
      <c r="B57" s="152"/>
      <c r="C57" s="152" t="s">
        <v>434</v>
      </c>
      <c r="D57" s="152"/>
      <c r="E57" s="151" t="s">
        <v>5930</v>
      </c>
      <c r="F57" s="152" t="s">
        <v>7</v>
      </c>
    </row>
    <row r="58" ht="75" customHeight="1" spans="1:6">
      <c r="A58" s="151" t="s">
        <v>607</v>
      </c>
      <c r="B58" s="152"/>
      <c r="C58" s="152" t="s">
        <v>434</v>
      </c>
      <c r="D58" s="152"/>
      <c r="E58" s="151" t="s">
        <v>5931</v>
      </c>
      <c r="F58" s="152" t="s">
        <v>7</v>
      </c>
    </row>
    <row r="59" ht="75" customHeight="1" spans="1:6">
      <c r="A59" s="151" t="s">
        <v>609</v>
      </c>
      <c r="B59" s="152" t="s">
        <v>434</v>
      </c>
      <c r="C59" s="152"/>
      <c r="D59" s="152"/>
      <c r="E59" s="151" t="s">
        <v>5932</v>
      </c>
      <c r="F59" s="152" t="s">
        <v>7</v>
      </c>
    </row>
    <row r="60" spans="1:6">
      <c r="A60" s="153" t="s">
        <v>611</v>
      </c>
      <c r="B60" s="149"/>
      <c r="C60" s="149"/>
      <c r="D60" s="149"/>
      <c r="E60" s="149"/>
      <c r="F60" s="149"/>
    </row>
    <row r="61" ht="75" customHeight="1" spans="1:6">
      <c r="A61" s="151" t="s">
        <v>612</v>
      </c>
      <c r="B61" s="152" t="s">
        <v>434</v>
      </c>
      <c r="C61" s="152"/>
      <c r="D61" s="152"/>
      <c r="E61" s="151" t="s">
        <v>5933</v>
      </c>
      <c r="F61" s="152" t="s">
        <v>436</v>
      </c>
    </row>
    <row r="62" ht="105" customHeight="1" spans="1:6">
      <c r="A62" s="151" t="s">
        <v>614</v>
      </c>
      <c r="B62" s="152"/>
      <c r="C62" s="152" t="s">
        <v>434</v>
      </c>
      <c r="D62" s="152"/>
      <c r="E62" s="151" t="s">
        <v>5934</v>
      </c>
      <c r="F62" s="152" t="s">
        <v>436</v>
      </c>
    </row>
    <row r="63" ht="75" customHeight="1" spans="1:6">
      <c r="A63" s="151" t="s">
        <v>616</v>
      </c>
      <c r="B63" s="152" t="s">
        <v>434</v>
      </c>
      <c r="C63" s="152"/>
      <c r="D63" s="152"/>
      <c r="E63" s="151" t="s">
        <v>5935</v>
      </c>
      <c r="F63" s="152" t="s">
        <v>7</v>
      </c>
    </row>
    <row r="64" ht="75" customHeight="1" spans="1:6">
      <c r="A64" s="151" t="s">
        <v>978</v>
      </c>
      <c r="B64" s="152" t="s">
        <v>434</v>
      </c>
      <c r="C64" s="152"/>
      <c r="D64" s="152"/>
      <c r="E64" s="151" t="s">
        <v>5936</v>
      </c>
      <c r="F64" s="152" t="s">
        <v>436</v>
      </c>
    </row>
    <row r="65" ht="45" customHeight="1" spans="1:6">
      <c r="A65" s="151" t="s">
        <v>620</v>
      </c>
      <c r="B65" s="152"/>
      <c r="C65" s="152" t="s">
        <v>434</v>
      </c>
      <c r="D65" s="152"/>
      <c r="E65" s="151" t="s">
        <v>5937</v>
      </c>
      <c r="F65" s="152" t="s">
        <v>7</v>
      </c>
    </row>
    <row r="66" ht="75" customHeight="1" spans="1:6">
      <c r="A66" s="151" t="s">
        <v>622</v>
      </c>
      <c r="B66" s="152" t="s">
        <v>434</v>
      </c>
      <c r="C66" s="152"/>
      <c r="D66" s="152"/>
      <c r="E66" s="151" t="s">
        <v>5938</v>
      </c>
      <c r="F66" s="152" t="s">
        <v>7</v>
      </c>
    </row>
    <row r="67" ht="25.5" spans="1:6">
      <c r="A67" s="153" t="s">
        <v>624</v>
      </c>
      <c r="B67" s="149"/>
      <c r="C67" s="149"/>
      <c r="D67" s="149"/>
      <c r="E67" s="149"/>
      <c r="F67" s="149"/>
    </row>
    <row r="68" ht="75" customHeight="1" spans="1:6">
      <c r="A68" s="151" t="s">
        <v>625</v>
      </c>
      <c r="B68" s="152" t="s">
        <v>434</v>
      </c>
      <c r="C68" s="152"/>
      <c r="D68" s="152"/>
      <c r="E68" s="151" t="s">
        <v>5939</v>
      </c>
      <c r="F68" s="152" t="s">
        <v>436</v>
      </c>
    </row>
    <row r="69" ht="75" customHeight="1" spans="1:6">
      <c r="A69" s="151" t="s">
        <v>627</v>
      </c>
      <c r="B69" s="152" t="s">
        <v>434</v>
      </c>
      <c r="C69" s="152"/>
      <c r="D69" s="152"/>
      <c r="E69" s="151" t="s">
        <v>5940</v>
      </c>
      <c r="F69" s="152" t="s">
        <v>7</v>
      </c>
    </row>
    <row r="70" ht="60" customHeight="1" spans="1:6">
      <c r="A70" s="151" t="s">
        <v>629</v>
      </c>
      <c r="B70" s="152"/>
      <c r="C70" s="152" t="s">
        <v>434</v>
      </c>
      <c r="D70" s="152"/>
      <c r="E70" s="151" t="s">
        <v>5941</v>
      </c>
      <c r="F70" s="152" t="s">
        <v>7</v>
      </c>
    </row>
    <row r="71" ht="60" customHeight="1" spans="1:6">
      <c r="A71" s="151" t="s">
        <v>631</v>
      </c>
      <c r="B71" s="152" t="s">
        <v>434</v>
      </c>
      <c r="C71" s="152"/>
      <c r="D71" s="152"/>
      <c r="E71" s="151" t="s">
        <v>5942</v>
      </c>
      <c r="F71" s="152" t="s">
        <v>7</v>
      </c>
    </row>
    <row r="72" ht="45" customHeight="1" spans="1:6">
      <c r="A72" s="151" t="s">
        <v>633</v>
      </c>
      <c r="B72" s="152" t="s">
        <v>434</v>
      </c>
      <c r="C72" s="152"/>
      <c r="D72" s="152"/>
      <c r="E72" s="151" t="s">
        <v>5943</v>
      </c>
      <c r="F72" s="152" t="s">
        <v>7</v>
      </c>
    </row>
    <row r="73" ht="45" customHeight="1" spans="1:6">
      <c r="A73" s="151" t="s">
        <v>635</v>
      </c>
      <c r="B73" s="152" t="s">
        <v>434</v>
      </c>
      <c r="C73" s="152"/>
      <c r="D73" s="152"/>
      <c r="E73" s="151" t="s">
        <v>5944</v>
      </c>
      <c r="F73" s="152" t="s">
        <v>7</v>
      </c>
    </row>
    <row r="74" ht="90" customHeight="1" spans="1:6">
      <c r="A74" s="151" t="s">
        <v>637</v>
      </c>
      <c r="B74" s="152"/>
      <c r="C74" s="152" t="s">
        <v>434</v>
      </c>
      <c r="D74" s="152"/>
      <c r="E74" s="151" t="s">
        <v>5945</v>
      </c>
      <c r="F74" s="152" t="s">
        <v>436</v>
      </c>
    </row>
    <row r="75" ht="75" customHeight="1" spans="1:6">
      <c r="A75" s="151" t="s">
        <v>639</v>
      </c>
      <c r="B75" s="152" t="s">
        <v>434</v>
      </c>
      <c r="C75" s="152"/>
      <c r="D75" s="152"/>
      <c r="E75" s="151" t="s">
        <v>5946</v>
      </c>
      <c r="F75" s="152" t="s">
        <v>7</v>
      </c>
    </row>
    <row r="76" ht="75" customHeight="1" spans="1:6">
      <c r="A76" s="151" t="s">
        <v>641</v>
      </c>
      <c r="B76" s="152" t="s">
        <v>434</v>
      </c>
      <c r="C76" s="152"/>
      <c r="D76" s="152"/>
      <c r="E76" s="151" t="s">
        <v>5947</v>
      </c>
      <c r="F76" s="152" t="s">
        <v>436</v>
      </c>
    </row>
    <row r="77" ht="45" customHeight="1" spans="1:6">
      <c r="A77" s="151" t="s">
        <v>643</v>
      </c>
      <c r="B77" s="152" t="s">
        <v>434</v>
      </c>
      <c r="C77" s="152"/>
      <c r="D77" s="152"/>
      <c r="E77" s="151" t="s">
        <v>5948</v>
      </c>
      <c r="F77" s="152" t="s">
        <v>7</v>
      </c>
    </row>
    <row r="78" ht="75" customHeight="1" spans="1:6">
      <c r="A78" s="151" t="s">
        <v>645</v>
      </c>
      <c r="B78" s="152" t="s">
        <v>434</v>
      </c>
      <c r="C78" s="152"/>
      <c r="D78" s="152"/>
      <c r="E78" s="151" t="s">
        <v>5949</v>
      </c>
      <c r="F78" s="152" t="s">
        <v>436</v>
      </c>
    </row>
    <row r="79" ht="30" customHeight="1" spans="1:6">
      <c r="A79" s="151" t="s">
        <v>647</v>
      </c>
      <c r="B79" s="152"/>
      <c r="C79" s="152"/>
      <c r="D79" s="152" t="s">
        <v>434</v>
      </c>
      <c r="E79" s="151" t="s">
        <v>5950</v>
      </c>
      <c r="F79" s="152" t="s">
        <v>7</v>
      </c>
    </row>
    <row r="80" customHeight="1" spans="1:6">
      <c r="A80" s="151" t="s">
        <v>649</v>
      </c>
      <c r="B80" s="152" t="s">
        <v>434</v>
      </c>
      <c r="C80" s="152"/>
      <c r="D80" s="152"/>
      <c r="E80" s="151" t="s">
        <v>5524</v>
      </c>
      <c r="F80" s="152" t="s">
        <v>7</v>
      </c>
    </row>
    <row r="81" ht="75" customHeight="1" spans="1:6">
      <c r="A81" s="151" t="s">
        <v>650</v>
      </c>
      <c r="B81" s="152" t="s">
        <v>434</v>
      </c>
      <c r="C81" s="152"/>
      <c r="D81" s="152"/>
      <c r="E81" s="151" t="s">
        <v>5951</v>
      </c>
      <c r="F81" s="152" t="s">
        <v>436</v>
      </c>
    </row>
    <row r="82" ht="90" customHeight="1" spans="1:6">
      <c r="A82" s="151" t="s">
        <v>652</v>
      </c>
      <c r="B82" s="152" t="s">
        <v>434</v>
      </c>
      <c r="C82" s="152"/>
      <c r="D82" s="152"/>
      <c r="E82" s="151" t="s">
        <v>5952</v>
      </c>
      <c r="F82" s="152" t="s">
        <v>436</v>
      </c>
    </row>
    <row r="83" ht="45" customHeight="1" spans="1:6">
      <c r="A83" s="151" t="s">
        <v>654</v>
      </c>
      <c r="B83" s="152" t="s">
        <v>434</v>
      </c>
      <c r="C83" s="152"/>
      <c r="D83" s="152"/>
      <c r="E83" s="151" t="s">
        <v>5953</v>
      </c>
      <c r="F83" s="152" t="s">
        <v>7</v>
      </c>
    </row>
    <row r="84" ht="45" customHeight="1" spans="1:6">
      <c r="A84" s="151" t="s">
        <v>656</v>
      </c>
      <c r="B84" s="152"/>
      <c r="C84" s="152" t="s">
        <v>434</v>
      </c>
      <c r="D84" s="152"/>
      <c r="E84" s="151" t="s">
        <v>5954</v>
      </c>
      <c r="F84" s="152" t="s">
        <v>7</v>
      </c>
    </row>
    <row r="85" ht="45" customHeight="1" spans="1:6">
      <c r="A85" s="151" t="s">
        <v>658</v>
      </c>
      <c r="B85" s="152" t="s">
        <v>434</v>
      </c>
      <c r="C85" s="152"/>
      <c r="D85" s="152"/>
      <c r="E85" s="151" t="s">
        <v>5955</v>
      </c>
      <c r="F85" s="152" t="s">
        <v>7</v>
      </c>
    </row>
    <row r="86" ht="75" customHeight="1" spans="1:6">
      <c r="A86" s="151" t="s">
        <v>660</v>
      </c>
      <c r="B86" s="152" t="s">
        <v>434</v>
      </c>
      <c r="C86" s="152"/>
      <c r="D86" s="152"/>
      <c r="E86" s="151" t="s">
        <v>5956</v>
      </c>
      <c r="F86" s="152" t="s">
        <v>436</v>
      </c>
    </row>
    <row r="87" ht="45" customHeight="1" spans="1:6">
      <c r="A87" s="151" t="s">
        <v>662</v>
      </c>
      <c r="B87" s="152" t="s">
        <v>434</v>
      </c>
      <c r="C87" s="152"/>
      <c r="D87" s="152"/>
      <c r="E87" s="151" t="s">
        <v>5957</v>
      </c>
      <c r="F87" s="152" t="s">
        <v>7</v>
      </c>
    </row>
    <row r="88" ht="90" customHeight="1" spans="1:6">
      <c r="A88" s="151" t="s">
        <v>660</v>
      </c>
      <c r="B88" s="152" t="s">
        <v>434</v>
      </c>
      <c r="C88" s="152"/>
      <c r="D88" s="152"/>
      <c r="E88" s="151" t="s">
        <v>5958</v>
      </c>
      <c r="F88" s="152" t="s">
        <v>436</v>
      </c>
    </row>
    <row r="89" ht="30" customHeight="1" spans="1:6">
      <c r="A89" s="151" t="s">
        <v>665</v>
      </c>
      <c r="B89" s="152"/>
      <c r="C89" s="152" t="s">
        <v>434</v>
      </c>
      <c r="D89" s="152"/>
      <c r="E89" s="151" t="s">
        <v>5533</v>
      </c>
      <c r="F89" s="152" t="s">
        <v>7</v>
      </c>
    </row>
    <row r="90" customHeight="1" spans="1:6">
      <c r="A90" s="151" t="s">
        <v>660</v>
      </c>
      <c r="B90" s="152"/>
      <c r="C90" s="152"/>
      <c r="D90" s="152" t="s">
        <v>434</v>
      </c>
      <c r="E90" s="151" t="s">
        <v>5534</v>
      </c>
      <c r="F90" s="152" t="s">
        <v>436</v>
      </c>
    </row>
    <row r="91" spans="1:6">
      <c r="A91" s="149" t="s">
        <v>519</v>
      </c>
      <c r="B91" s="150">
        <f>COUNTIF(B14:B90,"x")</f>
        <v>41</v>
      </c>
      <c r="C91" s="150">
        <f>COUNTIF(C14:C90,"x")</f>
        <v>27</v>
      </c>
      <c r="D91" s="150">
        <f>COUNTIF(D14:D90,"x")</f>
        <v>3</v>
      </c>
    </row>
    <row r="93" spans="1:6">
      <c r="A93" s="149" t="s">
        <v>1004</v>
      </c>
      <c r="B93" s="154"/>
      <c r="C93" s="154"/>
      <c r="D93" s="154"/>
      <c r="E93" s="154"/>
      <c r="F93" s="155"/>
    </row>
    <row r="94" ht="75" customHeight="1" spans="1:6">
      <c r="A94" s="151" t="s">
        <v>5959</v>
      </c>
      <c r="B94" s="156"/>
      <c r="C94" s="156"/>
      <c r="D94" s="156"/>
      <c r="E94" s="156"/>
      <c r="F94" s="157"/>
    </row>
    <row r="95" spans="1:6">
      <c r="A95" s="149" t="s">
        <v>522</v>
      </c>
      <c r="B95" s="154"/>
      <c r="C95" s="154"/>
      <c r="D95" s="154"/>
      <c r="E95" s="154"/>
      <c r="F95" s="155"/>
    </row>
    <row r="96" ht="105" customHeight="1" spans="1:6">
      <c r="A96" s="151" t="s">
        <v>5960</v>
      </c>
      <c r="B96" s="156"/>
      <c r="C96" s="156"/>
      <c r="D96" s="156"/>
      <c r="E96" s="156"/>
      <c r="F96" s="157"/>
    </row>
    <row r="97" spans="1:6">
      <c r="A97" s="158" t="s">
        <v>524</v>
      </c>
      <c r="B97" s="156"/>
      <c r="C97" s="156"/>
      <c r="D97" s="156"/>
      <c r="E97" s="156"/>
      <c r="F97" s="157"/>
    </row>
    <row r="98" spans="1:6">
      <c r="A98" s="158" t="s">
        <v>525</v>
      </c>
      <c r="B98" s="156"/>
      <c r="C98" s="156"/>
      <c r="D98" s="156"/>
      <c r="E98" s="156"/>
      <c r="F98" s="157"/>
    </row>
    <row r="99" spans="1:6">
      <c r="A99" s="158" t="s">
        <v>526</v>
      </c>
      <c r="B99" s="156"/>
      <c r="C99" s="156"/>
      <c r="D99" s="156"/>
      <c r="E99" s="156"/>
      <c r="F99" s="157"/>
    </row>
  </sheetData>
  <mergeCells count="17">
    <mergeCell ref="A1:F1"/>
    <mergeCell ref="B3:F3"/>
    <mergeCell ref="B4:F4"/>
    <mergeCell ref="B5:F5"/>
    <mergeCell ref="B6:F6"/>
    <mergeCell ref="B7:F7"/>
    <mergeCell ref="B8:F8"/>
    <mergeCell ref="B9:F9"/>
    <mergeCell ref="B10:F10"/>
    <mergeCell ref="B11:F11"/>
    <mergeCell ref="A93:F93"/>
    <mergeCell ref="A94:F94"/>
    <mergeCell ref="A95:F95"/>
    <mergeCell ref="A96:F96"/>
    <mergeCell ref="A97:F97"/>
    <mergeCell ref="A98:F98"/>
    <mergeCell ref="A99:F99"/>
  </mergeCells>
  <pageMargins left="0.75" right="0.75" top="1" bottom="1" header="0.5" footer="0.5"/>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0"/>
  <sheetViews>
    <sheetView workbookViewId="0">
      <pane xSplit="1" ySplit="12" topLeftCell="B13" activePane="bottomRight" state="frozen"/>
      <selection/>
      <selection pane="topRight"/>
      <selection pane="bottomLeft"/>
      <selection pane="bottomRight" activeCell="A1" sqref="A1:F1"/>
    </sheetView>
  </sheetViews>
  <sheetFormatPr defaultColWidth="9" defaultRowHeight="15" outlineLevelCol="5"/>
  <cols>
    <col min="1" max="1" width="64.2857142857143" customWidth="1"/>
    <col min="2" max="2" width="7.42857142857143" customWidth="1"/>
    <col min="3" max="3" width="6.71428571428571" customWidth="1"/>
    <col min="4" max="4" width="4" customWidth="1"/>
    <col min="5" max="5" width="53.8571428571429" customWidth="1"/>
    <col min="6" max="6" width="9.14285714285714" customWidth="1"/>
  </cols>
  <sheetData>
    <row r="1" ht="24" customHeight="1" spans="1:6">
      <c r="A1" s="128" t="s">
        <v>1007</v>
      </c>
      <c r="B1" s="129"/>
      <c r="C1" s="129"/>
      <c r="D1" s="129"/>
      <c r="E1" s="129"/>
      <c r="F1" s="130"/>
    </row>
    <row r="3" customHeight="1" spans="1:6">
      <c r="A3" s="131" t="s">
        <v>1008</v>
      </c>
      <c r="B3" s="132" t="s">
        <v>227</v>
      </c>
      <c r="C3" s="133"/>
      <c r="D3" s="133"/>
      <c r="E3" s="133"/>
      <c r="F3" s="134"/>
    </row>
    <row r="4" ht="75" customHeight="1" spans="1:6">
      <c r="A4" s="131" t="s">
        <v>1009</v>
      </c>
      <c r="B4" s="135" t="s">
        <v>5961</v>
      </c>
      <c r="C4" s="133"/>
      <c r="D4" s="133"/>
      <c r="E4" s="133"/>
      <c r="F4" s="134"/>
    </row>
    <row r="5" customHeight="1" spans="1:6">
      <c r="A5" s="131" t="s">
        <v>1011</v>
      </c>
      <c r="B5" s="132" t="s">
        <v>231</v>
      </c>
      <c r="C5" s="133"/>
      <c r="D5" s="133"/>
      <c r="E5" s="133"/>
      <c r="F5" s="134"/>
    </row>
    <row r="6" customHeight="1" spans="1:6">
      <c r="A6" s="131" t="s">
        <v>1012</v>
      </c>
      <c r="B6" s="132" t="s">
        <v>60</v>
      </c>
      <c r="C6" s="133"/>
      <c r="D6" s="133"/>
      <c r="E6" s="133"/>
      <c r="F6" s="134"/>
    </row>
    <row r="7" customHeight="1" spans="1:6">
      <c r="A7" s="131" t="s">
        <v>1013</v>
      </c>
      <c r="B7" s="132" t="s">
        <v>7</v>
      </c>
      <c r="C7" s="133"/>
      <c r="D7" s="133"/>
      <c r="E7" s="133"/>
      <c r="F7" s="134"/>
    </row>
    <row r="8" customHeight="1" spans="1:6">
      <c r="A8" s="131" t="s">
        <v>1014</v>
      </c>
      <c r="B8" s="132" t="s">
        <v>233</v>
      </c>
      <c r="C8" s="133"/>
      <c r="D8" s="133"/>
      <c r="E8" s="133"/>
      <c r="F8" s="134"/>
    </row>
    <row r="9" ht="120" customHeight="1" spans="1:6">
      <c r="A9" s="131" t="s">
        <v>1015</v>
      </c>
      <c r="B9" s="135" t="s">
        <v>5962</v>
      </c>
      <c r="C9" s="133"/>
      <c r="D9" s="133"/>
      <c r="E9" s="133"/>
      <c r="F9" s="134"/>
    </row>
    <row r="10" customHeight="1" spans="1:6">
      <c r="A10" s="131" t="s">
        <v>1017</v>
      </c>
      <c r="B10" s="132" t="s">
        <v>103</v>
      </c>
      <c r="C10" s="133"/>
      <c r="D10" s="133"/>
      <c r="E10" s="133"/>
      <c r="F10" s="134"/>
    </row>
    <row r="12" spans="1:6">
      <c r="A12" s="136" t="s">
        <v>426</v>
      </c>
      <c r="B12" s="137" t="s">
        <v>427</v>
      </c>
      <c r="C12" s="137" t="s">
        <v>428</v>
      </c>
      <c r="D12" s="137" t="s">
        <v>429</v>
      </c>
      <c r="E12" s="137" t="s">
        <v>430</v>
      </c>
    </row>
    <row r="13" spans="1:6">
      <c r="A13" s="136" t="s">
        <v>1018</v>
      </c>
      <c r="B13" s="136"/>
      <c r="C13" s="136"/>
      <c r="D13" s="136"/>
      <c r="E13" s="136"/>
    </row>
    <row r="14" ht="90" customHeight="1" spans="1:6">
      <c r="A14" s="138" t="s">
        <v>1019</v>
      </c>
      <c r="B14" s="139" t="s">
        <v>434</v>
      </c>
      <c r="C14" s="139"/>
      <c r="D14" s="139"/>
      <c r="E14" s="138" t="s">
        <v>5963</v>
      </c>
    </row>
    <row r="15" spans="1:6">
      <c r="A15" s="136" t="s">
        <v>1021</v>
      </c>
      <c r="B15" s="136"/>
      <c r="C15" s="136"/>
      <c r="D15" s="136"/>
      <c r="E15" s="136"/>
    </row>
    <row r="16" ht="45" customHeight="1" spans="1:6">
      <c r="A16" s="138" t="s">
        <v>1022</v>
      </c>
      <c r="B16" s="139" t="s">
        <v>434</v>
      </c>
      <c r="C16" s="139"/>
      <c r="D16" s="139"/>
      <c r="E16" s="138" t="s">
        <v>5964</v>
      </c>
    </row>
    <row r="17" ht="45" customHeight="1" spans="1:5">
      <c r="A17" s="138" t="s">
        <v>1024</v>
      </c>
      <c r="B17" s="139" t="s">
        <v>434</v>
      </c>
      <c r="C17" s="139"/>
      <c r="D17" s="139"/>
      <c r="E17" s="138" t="s">
        <v>5965</v>
      </c>
    </row>
    <row r="18" ht="30" customHeight="1" spans="1:5">
      <c r="A18" s="138" t="s">
        <v>1026</v>
      </c>
      <c r="B18" s="139" t="s">
        <v>434</v>
      </c>
      <c r="C18" s="139"/>
      <c r="D18" s="139"/>
      <c r="E18" s="138" t="s">
        <v>5966</v>
      </c>
    </row>
    <row r="19" ht="60" customHeight="1" spans="1:5">
      <c r="A19" s="138" t="s">
        <v>1028</v>
      </c>
      <c r="B19" s="139" t="s">
        <v>434</v>
      </c>
      <c r="C19" s="139"/>
      <c r="D19" s="139"/>
      <c r="E19" s="138" t="s">
        <v>5967</v>
      </c>
    </row>
    <row r="20" ht="60" customHeight="1" spans="1:5">
      <c r="A20" s="138" t="s">
        <v>1030</v>
      </c>
      <c r="B20" s="139"/>
      <c r="C20" s="139" t="s">
        <v>434</v>
      </c>
      <c r="D20" s="139"/>
      <c r="E20" s="138" t="s">
        <v>5968</v>
      </c>
    </row>
    <row r="21" ht="75" customHeight="1" spans="1:5">
      <c r="A21" s="138" t="s">
        <v>1032</v>
      </c>
      <c r="B21" s="139" t="s">
        <v>434</v>
      </c>
      <c r="C21" s="139"/>
      <c r="D21" s="139"/>
      <c r="E21" s="138" t="s">
        <v>5969</v>
      </c>
    </row>
    <row r="22" ht="60" customHeight="1" spans="1:5">
      <c r="A22" s="138" t="s">
        <v>1034</v>
      </c>
      <c r="B22" s="139" t="s">
        <v>434</v>
      </c>
      <c r="C22" s="139"/>
      <c r="D22" s="139"/>
      <c r="E22" s="138" t="s">
        <v>5970</v>
      </c>
    </row>
    <row r="23" ht="90" customHeight="1" spans="1:5">
      <c r="A23" s="138" t="s">
        <v>1036</v>
      </c>
      <c r="B23" s="139"/>
      <c r="C23" s="139" t="s">
        <v>434</v>
      </c>
      <c r="D23" s="139"/>
      <c r="E23" s="138" t="s">
        <v>5971</v>
      </c>
    </row>
    <row r="24" ht="75" customHeight="1" spans="1:5">
      <c r="A24" s="138" t="s">
        <v>1038</v>
      </c>
      <c r="B24" s="139" t="s">
        <v>434</v>
      </c>
      <c r="C24" s="139"/>
      <c r="D24" s="139"/>
      <c r="E24" s="138" t="s">
        <v>5972</v>
      </c>
    </row>
    <row r="25" ht="45" customHeight="1" spans="1:5">
      <c r="A25" s="138" t="s">
        <v>1040</v>
      </c>
      <c r="B25" s="139"/>
      <c r="C25" s="139"/>
      <c r="D25" s="139" t="s">
        <v>434</v>
      </c>
      <c r="E25" s="138" t="s">
        <v>5973</v>
      </c>
    </row>
    <row r="26" ht="105" customHeight="1" spans="1:5">
      <c r="A26" s="138" t="s">
        <v>1042</v>
      </c>
      <c r="B26" s="139"/>
      <c r="C26" s="139" t="s">
        <v>434</v>
      </c>
      <c r="D26" s="139"/>
      <c r="E26" s="138" t="s">
        <v>5974</v>
      </c>
    </row>
    <row r="27" ht="45" customHeight="1" spans="1:5">
      <c r="A27" s="138" t="s">
        <v>1044</v>
      </c>
      <c r="B27" s="139" t="s">
        <v>434</v>
      </c>
      <c r="C27" s="139"/>
      <c r="D27" s="139"/>
      <c r="E27" s="138" t="s">
        <v>5975</v>
      </c>
    </row>
    <row r="28" ht="90" customHeight="1" spans="1:5">
      <c r="A28" s="138" t="s">
        <v>1046</v>
      </c>
      <c r="B28" s="139" t="s">
        <v>434</v>
      </c>
      <c r="C28" s="139"/>
      <c r="D28" s="139"/>
      <c r="E28" s="138" t="s">
        <v>5976</v>
      </c>
    </row>
    <row r="29" ht="75" customHeight="1" spans="1:5">
      <c r="A29" s="138" t="s">
        <v>1048</v>
      </c>
      <c r="B29" s="139" t="s">
        <v>434</v>
      </c>
      <c r="C29" s="139"/>
      <c r="D29" s="139"/>
      <c r="E29" s="138" t="s">
        <v>5977</v>
      </c>
    </row>
    <row r="30" spans="1:5">
      <c r="A30" s="136" t="s">
        <v>1050</v>
      </c>
      <c r="B30" s="136"/>
      <c r="C30" s="136"/>
      <c r="D30" s="136"/>
      <c r="E30" s="136"/>
    </row>
    <row r="31" ht="90" customHeight="1" spans="1:5">
      <c r="A31" s="138" t="s">
        <v>1051</v>
      </c>
      <c r="B31" s="139" t="s">
        <v>434</v>
      </c>
      <c r="C31" s="139"/>
      <c r="D31" s="139"/>
      <c r="E31" s="138" t="s">
        <v>5978</v>
      </c>
    </row>
    <row r="32" ht="120" customHeight="1" spans="1:5">
      <c r="A32" s="138" t="s">
        <v>1053</v>
      </c>
      <c r="B32" s="139"/>
      <c r="C32" s="139" t="s">
        <v>434</v>
      </c>
      <c r="D32" s="139"/>
      <c r="E32" s="138" t="s">
        <v>5979</v>
      </c>
    </row>
    <row r="33" ht="105" customHeight="1" spans="1:5">
      <c r="A33" s="138" t="s">
        <v>1055</v>
      </c>
      <c r="B33" s="139"/>
      <c r="C33" s="139" t="s">
        <v>434</v>
      </c>
      <c r="D33" s="139"/>
      <c r="E33" s="138" t="s">
        <v>5980</v>
      </c>
    </row>
    <row r="34" spans="1:5">
      <c r="A34" s="136" t="s">
        <v>1057</v>
      </c>
      <c r="B34" s="136"/>
      <c r="C34" s="136"/>
      <c r="D34" s="136"/>
      <c r="E34" s="136"/>
    </row>
    <row r="35" ht="75" customHeight="1" spans="1:5">
      <c r="A35" s="138" t="s">
        <v>1058</v>
      </c>
      <c r="B35" s="139" t="s">
        <v>434</v>
      </c>
      <c r="C35" s="139"/>
      <c r="D35" s="139"/>
      <c r="E35" s="138" t="s">
        <v>5981</v>
      </c>
    </row>
    <row r="36" ht="105" customHeight="1" spans="1:5">
      <c r="A36" s="138" t="s">
        <v>1060</v>
      </c>
      <c r="B36" s="139" t="s">
        <v>434</v>
      </c>
      <c r="C36" s="139"/>
      <c r="D36" s="139"/>
      <c r="E36" s="138" t="s">
        <v>5982</v>
      </c>
    </row>
    <row r="37" ht="45" customHeight="1" spans="1:5">
      <c r="A37" s="138" t="s">
        <v>1062</v>
      </c>
      <c r="B37" s="139"/>
      <c r="C37" s="139" t="s">
        <v>434</v>
      </c>
      <c r="D37" s="139"/>
      <c r="E37" s="138" t="s">
        <v>5983</v>
      </c>
    </row>
    <row r="38" spans="1:5">
      <c r="A38" s="136" t="s">
        <v>1064</v>
      </c>
      <c r="B38" s="136"/>
      <c r="C38" s="136"/>
      <c r="D38" s="136"/>
      <c r="E38" s="136"/>
    </row>
    <row r="39" ht="105" customHeight="1" spans="1:5">
      <c r="A39" s="138" t="s">
        <v>1065</v>
      </c>
      <c r="B39" s="139"/>
      <c r="C39" s="139" t="s">
        <v>434</v>
      </c>
      <c r="D39" s="139"/>
      <c r="E39" s="138" t="s">
        <v>5984</v>
      </c>
    </row>
    <row r="40" ht="60" customHeight="1" spans="1:5">
      <c r="A40" s="138" t="s">
        <v>1067</v>
      </c>
      <c r="B40" s="139" t="s">
        <v>434</v>
      </c>
      <c r="C40" s="139"/>
      <c r="D40" s="139"/>
      <c r="E40" s="138" t="s">
        <v>5985</v>
      </c>
    </row>
    <row r="41" ht="30" customHeight="1" spans="1:5">
      <c r="A41" s="138" t="s">
        <v>1069</v>
      </c>
      <c r="B41" s="139" t="s">
        <v>434</v>
      </c>
      <c r="C41" s="139"/>
      <c r="D41" s="139"/>
      <c r="E41" s="138" t="s">
        <v>5986</v>
      </c>
    </row>
    <row r="42" ht="90" customHeight="1" spans="1:5">
      <c r="A42" s="138" t="s">
        <v>1071</v>
      </c>
      <c r="B42" s="139" t="s">
        <v>434</v>
      </c>
      <c r="C42" s="139"/>
      <c r="D42" s="139"/>
      <c r="E42" s="138" t="s">
        <v>5987</v>
      </c>
    </row>
    <row r="43" spans="1:5">
      <c r="A43" s="136" t="s">
        <v>1073</v>
      </c>
      <c r="B43" s="136"/>
      <c r="C43" s="136"/>
      <c r="D43" s="136"/>
      <c r="E43" s="136"/>
    </row>
    <row r="44" ht="45" customHeight="1" spans="1:5">
      <c r="A44" s="138" t="s">
        <v>1074</v>
      </c>
      <c r="B44" s="139" t="s">
        <v>434</v>
      </c>
      <c r="C44" s="139"/>
      <c r="D44" s="139"/>
      <c r="E44" s="138" t="s">
        <v>5988</v>
      </c>
    </row>
    <row r="45" ht="75" customHeight="1" spans="1:5">
      <c r="A45" s="138" t="s">
        <v>1076</v>
      </c>
      <c r="B45" s="139"/>
      <c r="C45" s="139" t="s">
        <v>434</v>
      </c>
      <c r="D45" s="139"/>
      <c r="E45" s="138" t="s">
        <v>5989</v>
      </c>
    </row>
    <row r="46" customHeight="1" spans="1:5">
      <c r="A46" s="138" t="s">
        <v>1078</v>
      </c>
      <c r="B46" s="139" t="s">
        <v>434</v>
      </c>
      <c r="C46" s="139"/>
      <c r="D46" s="139"/>
      <c r="E46" s="138" t="s">
        <v>5990</v>
      </c>
    </row>
    <row r="47" spans="1:5">
      <c r="A47" s="136" t="s">
        <v>1080</v>
      </c>
      <c r="B47" s="136"/>
      <c r="C47" s="136"/>
      <c r="D47" s="136"/>
      <c r="E47" s="136"/>
    </row>
    <row r="48" ht="75" customHeight="1" spans="1:5">
      <c r="A48" s="138" t="s">
        <v>1081</v>
      </c>
      <c r="B48" s="139"/>
      <c r="C48" s="139" t="s">
        <v>434</v>
      </c>
      <c r="D48" s="139"/>
      <c r="E48" s="138" t="s">
        <v>5991</v>
      </c>
    </row>
    <row r="49" ht="120" customHeight="1" spans="1:6">
      <c r="A49" s="138" t="s">
        <v>1083</v>
      </c>
      <c r="B49" s="139" t="s">
        <v>434</v>
      </c>
      <c r="C49" s="139"/>
      <c r="D49" s="139"/>
      <c r="E49" s="138" t="s">
        <v>5992</v>
      </c>
    </row>
    <row r="50" ht="90" customHeight="1" spans="1:6">
      <c r="A50" s="138" t="s">
        <v>1085</v>
      </c>
      <c r="B50" s="139"/>
      <c r="C50" s="139" t="s">
        <v>434</v>
      </c>
      <c r="D50" s="139"/>
      <c r="E50" s="138" t="s">
        <v>5993</v>
      </c>
    </row>
    <row r="51" spans="1:6">
      <c r="A51" s="136" t="s">
        <v>1087</v>
      </c>
      <c r="B51" s="136"/>
      <c r="C51" s="136"/>
      <c r="D51" s="136"/>
      <c r="E51" s="136"/>
    </row>
    <row r="52" ht="135" customHeight="1" spans="1:6">
      <c r="A52" s="138" t="s">
        <v>1088</v>
      </c>
      <c r="B52" s="139"/>
      <c r="C52" s="139" t="s">
        <v>434</v>
      </c>
      <c r="D52" s="139"/>
      <c r="E52" s="138" t="s">
        <v>5994</v>
      </c>
    </row>
    <row r="53" ht="105" customHeight="1" spans="1:6">
      <c r="A53" s="138" t="s">
        <v>1090</v>
      </c>
      <c r="B53" s="139"/>
      <c r="C53" s="139" t="s">
        <v>434</v>
      </c>
      <c r="D53" s="139"/>
      <c r="E53" s="138" t="s">
        <v>5995</v>
      </c>
    </row>
    <row r="54" ht="30" customHeight="1" spans="1:6">
      <c r="A54" s="138" t="s">
        <v>1092</v>
      </c>
      <c r="B54" s="139" t="s">
        <v>434</v>
      </c>
      <c r="C54" s="139"/>
      <c r="D54" s="139"/>
      <c r="E54" s="138" t="s">
        <v>5996</v>
      </c>
    </row>
    <row r="55" ht="75" customHeight="1" spans="1:6">
      <c r="A55" s="138" t="s">
        <v>1094</v>
      </c>
      <c r="B55" s="139"/>
      <c r="C55" s="139" t="s">
        <v>434</v>
      </c>
      <c r="D55" s="139"/>
      <c r="E55" s="138" t="s">
        <v>5997</v>
      </c>
    </row>
    <row r="56" spans="1:6">
      <c r="A56" s="136" t="s">
        <v>3099</v>
      </c>
      <c r="B56" s="136"/>
      <c r="C56" s="136"/>
      <c r="D56" s="136"/>
      <c r="E56" s="136"/>
    </row>
    <row r="57" ht="105" customHeight="1" spans="1:6">
      <c r="A57" s="138" t="s">
        <v>5998</v>
      </c>
      <c r="B57" s="139"/>
      <c r="C57" s="139" t="s">
        <v>434</v>
      </c>
      <c r="D57" s="139"/>
      <c r="E57" s="138" t="s">
        <v>5999</v>
      </c>
    </row>
    <row r="58" ht="135" customHeight="1" spans="1:6">
      <c r="A58" s="138" t="s">
        <v>6000</v>
      </c>
      <c r="B58" s="139"/>
      <c r="C58" s="139" t="s">
        <v>434</v>
      </c>
      <c r="D58" s="139"/>
      <c r="E58" s="138" t="s">
        <v>6001</v>
      </c>
    </row>
    <row r="59" ht="120" customHeight="1" spans="1:6">
      <c r="A59" s="138" t="s">
        <v>6002</v>
      </c>
      <c r="B59" s="139"/>
      <c r="C59" s="139" t="s">
        <v>434</v>
      </c>
      <c r="D59" s="139"/>
      <c r="E59" s="138" t="s">
        <v>6003</v>
      </c>
    </row>
    <row r="60" ht="90" customHeight="1" spans="1:6">
      <c r="A60" s="138" t="s">
        <v>6004</v>
      </c>
      <c r="B60" s="139"/>
      <c r="C60" s="139" t="s">
        <v>434</v>
      </c>
      <c r="D60" s="139"/>
      <c r="E60" s="138" t="s">
        <v>6005</v>
      </c>
    </row>
    <row r="61" ht="90" customHeight="1" spans="1:6">
      <c r="A61" s="138" t="s">
        <v>6006</v>
      </c>
      <c r="B61" s="139" t="s">
        <v>434</v>
      </c>
      <c r="C61" s="139"/>
      <c r="D61" s="139"/>
      <c r="E61" s="138" t="s">
        <v>6007</v>
      </c>
    </row>
    <row r="62" spans="1:6">
      <c r="A62" s="136" t="s">
        <v>519</v>
      </c>
      <c r="B62" s="137">
        <f>COUNTIF(B13:B61,"x")</f>
        <v>22</v>
      </c>
      <c r="C62" s="137">
        <f>COUNTIF(C13:C61,"x")</f>
        <v>17</v>
      </c>
      <c r="D62" s="137">
        <f>COUNTIF(D13:D61,"x")</f>
        <v>1</v>
      </c>
    </row>
    <row r="64" spans="1:6">
      <c r="A64" s="136" t="s">
        <v>1004</v>
      </c>
      <c r="B64" s="140"/>
      <c r="C64" s="140"/>
      <c r="D64" s="140"/>
      <c r="E64" s="140"/>
      <c r="F64" s="141"/>
    </row>
    <row r="65" ht="75" customHeight="1" spans="1:6">
      <c r="A65" s="138" t="s">
        <v>6008</v>
      </c>
      <c r="B65" s="140"/>
      <c r="C65" s="140"/>
      <c r="D65" s="140"/>
      <c r="E65" s="140"/>
      <c r="F65" s="142"/>
    </row>
    <row r="66" spans="1:6">
      <c r="A66" s="136" t="s">
        <v>522</v>
      </c>
      <c r="B66" s="140"/>
      <c r="C66" s="140"/>
      <c r="D66" s="140"/>
      <c r="E66" s="140"/>
      <c r="F66" s="141"/>
    </row>
    <row r="67" ht="135" customHeight="1" spans="1:6">
      <c r="A67" s="138" t="s">
        <v>6009</v>
      </c>
      <c r="B67" s="140"/>
      <c r="C67" s="140"/>
      <c r="D67" s="140"/>
      <c r="E67" s="140"/>
      <c r="F67" s="142"/>
    </row>
    <row r="68" spans="1:6">
      <c r="A68" s="143" t="s">
        <v>524</v>
      </c>
      <c r="B68" s="140"/>
      <c r="C68" s="140"/>
      <c r="D68" s="140"/>
      <c r="E68" s="140"/>
      <c r="F68" s="142"/>
    </row>
    <row r="69" spans="1:6">
      <c r="A69" s="143" t="s">
        <v>525</v>
      </c>
      <c r="B69" s="140"/>
      <c r="C69" s="140"/>
      <c r="D69" s="140"/>
      <c r="E69" s="140"/>
      <c r="F69" s="142"/>
    </row>
    <row r="70" spans="1:6">
      <c r="A70" s="143" t="s">
        <v>526</v>
      </c>
      <c r="B70" s="140"/>
      <c r="C70" s="140"/>
      <c r="D70" s="140"/>
      <c r="E70" s="140"/>
      <c r="F70" s="142"/>
    </row>
  </sheetData>
  <mergeCells count="16">
    <mergeCell ref="A1:F1"/>
    <mergeCell ref="B3:F3"/>
    <mergeCell ref="B4:F4"/>
    <mergeCell ref="B5:F5"/>
    <mergeCell ref="B6:F6"/>
    <mergeCell ref="B7:F7"/>
    <mergeCell ref="B8:F8"/>
    <mergeCell ref="B9:F9"/>
    <mergeCell ref="B10:F10"/>
    <mergeCell ref="A64:F64"/>
    <mergeCell ref="A65:F65"/>
    <mergeCell ref="A66:F66"/>
    <mergeCell ref="A67:F67"/>
    <mergeCell ref="A68:F68"/>
    <mergeCell ref="A69:F69"/>
    <mergeCell ref="A70:F70"/>
  </mergeCells>
  <pageMargins left="0.75" right="0.75" top="1" bottom="1" header="0.5" footer="0.5"/>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6"/>
  <sheetViews>
    <sheetView workbookViewId="0">
      <selection activeCell="A1" sqref="A1:C1"/>
    </sheetView>
  </sheetViews>
  <sheetFormatPr defaultColWidth="9" defaultRowHeight="15"/>
  <cols>
    <col min="1" max="1" width="18" customWidth="1"/>
    <col min="2" max="2" width="34" customWidth="1"/>
    <col min="3" max="3" width="13" customWidth="1"/>
    <col min="4" max="4" width="26" customWidth="1"/>
    <col min="5" max="6" width="40" customWidth="1"/>
    <col min="7" max="7" width="10" customWidth="1"/>
    <col min="8" max="8" width="9" customWidth="1"/>
    <col min="9" max="9" width="36" customWidth="1"/>
  </cols>
  <sheetData>
    <row r="1" spans="1:14">
      <c r="A1" s="107" t="s">
        <v>1108</v>
      </c>
      <c r="B1" s="16"/>
      <c r="C1" s="17"/>
    </row>
    <row r="2" ht="15.75" spans="1:14">
      <c r="A2" s="108" t="s">
        <v>1109</v>
      </c>
      <c r="B2" s="108" t="s">
        <v>13</v>
      </c>
      <c r="C2" s="108" t="s">
        <v>1110</v>
      </c>
    </row>
    <row r="3" ht="15.75" spans="1:14">
      <c r="A3" s="109" t="s">
        <v>6010</v>
      </c>
      <c r="B3" s="16"/>
      <c r="C3" s="17"/>
    </row>
    <row r="4" ht="135" customHeight="1" spans="1:14">
      <c r="A4" s="110" t="s">
        <v>1112</v>
      </c>
      <c r="B4" s="110" t="s">
        <v>6011</v>
      </c>
      <c r="C4" s="111" t="s">
        <v>6012</v>
      </c>
    </row>
    <row r="5" ht="135" customHeight="1" spans="1:14">
      <c r="A5" s="110" t="s">
        <v>1115</v>
      </c>
      <c r="B5" s="110" t="s">
        <v>6013</v>
      </c>
      <c r="C5" s="111" t="s">
        <v>6014</v>
      </c>
    </row>
    <row r="6" ht="105" customHeight="1" spans="1:14">
      <c r="A6" s="110" t="s">
        <v>1118</v>
      </c>
      <c r="B6" s="110" t="s">
        <v>6015</v>
      </c>
      <c r="C6" s="111" t="s">
        <v>6016</v>
      </c>
    </row>
    <row r="9" ht="15.75" spans="1:14">
      <c r="A9" s="112" t="s">
        <v>1124</v>
      </c>
      <c r="B9" s="16"/>
      <c r="C9" s="16"/>
      <c r="D9" s="16"/>
      <c r="E9" s="16"/>
      <c r="F9" s="16"/>
      <c r="G9" s="16"/>
      <c r="H9" s="16"/>
      <c r="I9" s="16"/>
      <c r="J9" s="16"/>
      <c r="K9" s="16"/>
      <c r="L9" s="16"/>
      <c r="M9" s="16"/>
      <c r="N9" s="17"/>
    </row>
    <row r="10" ht="45" customHeight="1" spans="1:14">
      <c r="A10" s="113" t="s">
        <v>1125</v>
      </c>
      <c r="B10" s="113" t="s">
        <v>1126</v>
      </c>
      <c r="C10" s="113" t="s">
        <v>1127</v>
      </c>
      <c r="D10" s="113" t="s">
        <v>1128</v>
      </c>
      <c r="E10" s="113" t="s">
        <v>1129</v>
      </c>
      <c r="F10" s="113" t="s">
        <v>1130</v>
      </c>
      <c r="G10" s="113" t="s">
        <v>1131</v>
      </c>
      <c r="H10" s="113" t="s">
        <v>1132</v>
      </c>
      <c r="I10" s="113" t="s">
        <v>1133</v>
      </c>
      <c r="J10" s="113" t="s">
        <v>1134</v>
      </c>
      <c r="K10" s="113" t="s">
        <v>1135</v>
      </c>
      <c r="L10" s="113" t="s">
        <v>1136</v>
      </c>
      <c r="M10" s="113" t="s">
        <v>1137</v>
      </c>
      <c r="N10" s="113" t="s">
        <v>1138</v>
      </c>
    </row>
    <row r="11" customHeight="1" spans="1:14">
      <c r="A11" s="114" t="s">
        <v>1112</v>
      </c>
      <c r="B11" s="114" t="s">
        <v>6011</v>
      </c>
      <c r="C11" s="115">
        <f>COUNTIF($A$51:$A$76,"UI_PH8_FR01_*")</f>
        <v>10</v>
      </c>
      <c r="D11" s="115">
        <f>COUNTIFS($A$51:$A$76,"UI_PH8_FR01_*",$G$51:$G$76,"Pending")</f>
        <v>0</v>
      </c>
      <c r="E11" s="115">
        <f>COUNTIFS($A$51:$A$76,"UI_PH8_FR01_*",$G$51:$G$76,"Pass")</f>
        <v>9</v>
      </c>
      <c r="F11" s="115">
        <f>COUNTIFS($A$51:$A$76,"UI_PH8_FR01_*",$G$51:$G$76,"Fail")</f>
        <v>1</v>
      </c>
      <c r="G11" s="115">
        <f>SUMIFS($H$51:$H$76,$A$51:$A$76,"UI_PH8_FR01_*")</f>
        <v>1</v>
      </c>
      <c r="H11" s="116">
        <f>IFERROR(E11/C11,0)</f>
        <v>0.9</v>
      </c>
      <c r="I11" s="115">
        <f>COUNTIFS($A$51:$A$76,"UI_PH8_FR01_*",$C$51:$C$76,"UI/UX")</f>
        <v>4</v>
      </c>
      <c r="J11" s="115">
        <f>COUNTIFS($A$51:$A$76,"UI_PH8_FR01_*",$C$51:$C$76,"Function")</f>
        <v>5</v>
      </c>
      <c r="K11" s="115">
        <f>COUNTIFS($A$51:$A$76,"UI_PH8_FR01_*",$C$51:$C$76,"Negative")</f>
        <v>1</v>
      </c>
      <c r="L11" s="115">
        <f>SUMIFS($H$51:$H$76,$A$51:$A$76,"UI_PH8_FR01_*",$C$51:$C$76,"UI/UX")</f>
        <v>0</v>
      </c>
      <c r="M11" s="115">
        <f>SUMIFS($H$51:$H$76,$A$51:$A$76,"UI_PH8_FR01_*",$C$51:$C$76,"Function")</f>
        <v>1</v>
      </c>
      <c r="N11" s="115">
        <f>SUMIFS($H$51:$H$76,$A$51:$A$76,"UI_PH8_FR01_*",$C$51:$C$76,"Negative")</f>
        <v>0</v>
      </c>
    </row>
    <row r="12" customHeight="1" spans="1:14">
      <c r="A12" s="114" t="s">
        <v>1115</v>
      </c>
      <c r="B12" s="114" t="s">
        <v>6013</v>
      </c>
      <c r="C12" s="115">
        <f>COUNTIF($A$51:$A$76,"UI_PH8_FR02_*")</f>
        <v>8</v>
      </c>
      <c r="D12" s="115">
        <f>COUNTIFS($A$51:$A$76,"UI_PH8_FR02_*",$G$51:$G$76,"Pending")</f>
        <v>0</v>
      </c>
      <c r="E12" s="115">
        <f>COUNTIFS($A$51:$A$76,"UI_PH8_FR02_*",$G$51:$G$76,"Pass")</f>
        <v>8</v>
      </c>
      <c r="F12" s="115">
        <f>COUNTIFS($A$51:$A$76,"UI_PH8_FR02_*",$G$51:$G$76,"Fail")</f>
        <v>0</v>
      </c>
      <c r="G12" s="115">
        <f>SUMIFS($H$51:$H$76,$A$51:$A$76,"UI_PH8_FR02_*")</f>
        <v>0</v>
      </c>
      <c r="H12" s="116">
        <f>IFERROR(E12/C12,0)</f>
        <v>1</v>
      </c>
      <c r="I12" s="115">
        <f>COUNTIFS($A$51:$A$76,"UI_PH8_FR02_*",$C$51:$C$76,"UI/UX")</f>
        <v>0</v>
      </c>
      <c r="J12" s="115">
        <f>COUNTIFS($A$51:$A$76,"UI_PH8_FR02_*",$C$51:$C$76,"Function")</f>
        <v>5</v>
      </c>
      <c r="K12" s="115">
        <f>COUNTIFS($A$51:$A$76,"UI_PH8_FR02_*",$C$51:$C$76,"Negative")</f>
        <v>3</v>
      </c>
      <c r="L12" s="115">
        <f>SUMIFS($H$51:$H$76,$A$51:$A$76,"UI_PH8_FR02_*",$C$51:$C$76,"UI/UX")</f>
        <v>0</v>
      </c>
      <c r="M12" s="115">
        <f>SUMIFS($H$51:$H$76,$A$51:$A$76,"UI_PH8_FR02_*",$C$51:$C$76,"Function")</f>
        <v>0</v>
      </c>
      <c r="N12" s="115">
        <f>SUMIFS($H$51:$H$76,$A$51:$A$76,"UI_PH8_FR02_*",$C$51:$C$76,"Negative")</f>
        <v>0</v>
      </c>
    </row>
    <row r="13" customHeight="1" spans="1:14">
      <c r="A13" s="114" t="s">
        <v>1118</v>
      </c>
      <c r="B13" s="114" t="s">
        <v>6015</v>
      </c>
      <c r="C13" s="115">
        <f>COUNTIF($A$51:$A$76,"UI_PH8_FR03_*")</f>
        <v>5</v>
      </c>
      <c r="D13" s="115">
        <f>COUNTIFS($A$51:$A$76,"UI_PH8_FR03_*",$G$51:$G$76,"Pending")</f>
        <v>0</v>
      </c>
      <c r="E13" s="115">
        <f>COUNTIFS($A$51:$A$76,"UI_PH8_FR03_*",$G$51:$G$76,"Pass")</f>
        <v>3</v>
      </c>
      <c r="F13" s="115">
        <f>COUNTIFS($A$51:$A$76,"UI_PH8_FR03_*",$G$51:$G$76,"Fail")</f>
        <v>2</v>
      </c>
      <c r="G13" s="115">
        <f>SUMIFS($H$51:$H$76,$A$51:$A$76,"UI_PH8_FR03_*")</f>
        <v>2</v>
      </c>
      <c r="H13" s="116">
        <f>IFERROR(E13/C13,0)</f>
        <v>0.6</v>
      </c>
      <c r="I13" s="115">
        <f>COUNTIFS($A$51:$A$76,"UI_PH8_FR03_*",$C$51:$C$76,"UI/UX")</f>
        <v>2</v>
      </c>
      <c r="J13" s="115">
        <f>COUNTIFS($A$51:$A$76,"UI_PH8_FR03_*",$C$51:$C$76,"Function")</f>
        <v>3</v>
      </c>
      <c r="K13" s="115">
        <f>COUNTIFS($A$51:$A$76,"UI_PH8_FR03_*",$C$51:$C$76,"Negative")</f>
        <v>0</v>
      </c>
      <c r="L13" s="115">
        <f>SUMIFS($H$51:$H$76,$A$51:$A$76,"UI_PH8_FR03_*",$C$51:$C$76,"UI/UX")</f>
        <v>0</v>
      </c>
      <c r="M13" s="115">
        <f>SUMIFS($H$51:$H$76,$A$51:$A$76,"UI_PH8_FR03_*",$C$51:$C$76,"Function")</f>
        <v>2</v>
      </c>
      <c r="N13" s="115">
        <f>SUMIFS($H$51:$H$76,$A$51:$A$76,"UI_PH8_FR03_*",$C$51:$C$76,"Negative")</f>
        <v>0</v>
      </c>
    </row>
    <row r="14" ht="15.75" spans="1:14">
      <c r="A14" s="117" t="s">
        <v>1127</v>
      </c>
      <c r="B14" s="117" t="s">
        <v>7</v>
      </c>
      <c r="C14" s="118">
        <f>SUM(C11:C13)</f>
        <v>23</v>
      </c>
      <c r="D14" s="118">
        <f>SUM(D11:D13)</f>
        <v>0</v>
      </c>
      <c r="E14" s="118">
        <f>SUM(E11:E13)</f>
        <v>20</v>
      </c>
      <c r="F14" s="118">
        <f>SUM(F11:F13)</f>
        <v>3</v>
      </c>
      <c r="G14" s="118">
        <f>SUM(G11:G13)</f>
        <v>3</v>
      </c>
      <c r="H14" s="119">
        <f>IFERROR(E14/C14,0)</f>
        <v>0.869565217391304</v>
      </c>
      <c r="I14" s="118">
        <f t="shared" ref="I14:N14" si="0">SUM(I11:I13)</f>
        <v>6</v>
      </c>
      <c r="J14" s="118">
        <f t="shared" si="0"/>
        <v>13</v>
      </c>
      <c r="K14" s="118">
        <f t="shared" si="0"/>
        <v>4</v>
      </c>
      <c r="L14" s="118">
        <f t="shared" si="0"/>
        <v>0</v>
      </c>
      <c r="M14" s="118">
        <f t="shared" si="0"/>
        <v>3</v>
      </c>
      <c r="N14" s="118">
        <f t="shared" si="0"/>
        <v>0</v>
      </c>
    </row>
    <row r="17" ht="15.75" spans="1:5">
      <c r="A17" s="120" t="s">
        <v>1139</v>
      </c>
      <c r="B17" s="110" t="s">
        <v>1112</v>
      </c>
    </row>
    <row r="18" ht="15.75" spans="1:5">
      <c r="A18" s="120" t="s">
        <v>1140</v>
      </c>
      <c r="B18" s="110" t="s">
        <v>6011</v>
      </c>
    </row>
    <row r="19" ht="15.75" spans="1:5">
      <c r="A19" s="120" t="s">
        <v>1141</v>
      </c>
      <c r="B19" s="110" t="s">
        <v>7</v>
      </c>
    </row>
    <row r="20" ht="15.75" spans="1:5">
      <c r="A20" s="121" t="s">
        <v>1129</v>
      </c>
      <c r="B20" s="122">
        <f>E11</f>
        <v>9</v>
      </c>
      <c r="D20" s="121" t="s">
        <v>1133</v>
      </c>
      <c r="E20" s="122">
        <f>I11</f>
        <v>4</v>
      </c>
    </row>
    <row r="21" ht="15.75" spans="1:5">
      <c r="A21" s="121" t="s">
        <v>1130</v>
      </c>
      <c r="B21" s="122">
        <f>F11</f>
        <v>1</v>
      </c>
      <c r="D21" s="121" t="s">
        <v>1134</v>
      </c>
      <c r="E21" s="122">
        <f>J11</f>
        <v>5</v>
      </c>
    </row>
    <row r="22" ht="15.75" spans="1:5">
      <c r="A22" s="121" t="s">
        <v>1128</v>
      </c>
      <c r="B22" s="122">
        <f>D11</f>
        <v>0</v>
      </c>
      <c r="D22" s="121" t="s">
        <v>1135</v>
      </c>
      <c r="E22" s="122">
        <f>K11</f>
        <v>1</v>
      </c>
    </row>
    <row r="23" ht="15.75" spans="1:5">
      <c r="A23" s="121" t="s">
        <v>1131</v>
      </c>
      <c r="B23" s="122">
        <f>G11</f>
        <v>1</v>
      </c>
      <c r="D23" s="121" t="s">
        <v>1127</v>
      </c>
      <c r="E23" s="122">
        <f>C11</f>
        <v>10</v>
      </c>
    </row>
    <row r="24" ht="15.75" spans="1:5">
      <c r="A24" s="120" t="s">
        <v>1139</v>
      </c>
      <c r="B24" s="110" t="s">
        <v>1115</v>
      </c>
    </row>
    <row r="25" ht="15.75" spans="1:5">
      <c r="A25" s="120" t="s">
        <v>1140</v>
      </c>
      <c r="B25" s="110" t="s">
        <v>6013</v>
      </c>
    </row>
    <row r="26" ht="15.75" spans="1:5">
      <c r="A26" s="120" t="s">
        <v>1141</v>
      </c>
      <c r="B26" s="110" t="s">
        <v>7</v>
      </c>
    </row>
    <row r="27" ht="15.75" spans="1:5">
      <c r="A27" s="121" t="s">
        <v>1129</v>
      </c>
      <c r="B27" s="122">
        <f>E12</f>
        <v>8</v>
      </c>
      <c r="D27" s="121" t="s">
        <v>1133</v>
      </c>
      <c r="E27" s="122">
        <f>I12</f>
        <v>0</v>
      </c>
    </row>
    <row r="28" ht="15.75" spans="1:5">
      <c r="A28" s="121" t="s">
        <v>1130</v>
      </c>
      <c r="B28" s="122">
        <f>F12</f>
        <v>0</v>
      </c>
      <c r="D28" s="121" t="s">
        <v>1134</v>
      </c>
      <c r="E28" s="122">
        <f>J12</f>
        <v>5</v>
      </c>
    </row>
    <row r="29" ht="15.75" spans="1:5">
      <c r="A29" s="121" t="s">
        <v>1128</v>
      </c>
      <c r="B29" s="122">
        <f>D12</f>
        <v>0</v>
      </c>
      <c r="D29" s="121" t="s">
        <v>1135</v>
      </c>
      <c r="E29" s="122">
        <f>K12</f>
        <v>3</v>
      </c>
    </row>
    <row r="30" ht="15.75" spans="1:5">
      <c r="A30" s="121" t="s">
        <v>1131</v>
      </c>
      <c r="B30" s="122">
        <f>G12</f>
        <v>0</v>
      </c>
      <c r="D30" s="121" t="s">
        <v>1127</v>
      </c>
      <c r="E30" s="122">
        <f>C12</f>
        <v>8</v>
      </c>
    </row>
    <row r="31" ht="15.75" spans="1:5">
      <c r="A31" s="120" t="s">
        <v>1139</v>
      </c>
      <c r="B31" s="110" t="s">
        <v>1118</v>
      </c>
    </row>
    <row r="32" ht="15.75" spans="1:5">
      <c r="A32" s="120" t="s">
        <v>1140</v>
      </c>
      <c r="B32" s="110" t="s">
        <v>6015</v>
      </c>
    </row>
    <row r="33" ht="15.75" spans="1:9">
      <c r="A33" s="120" t="s">
        <v>1141</v>
      </c>
      <c r="B33" s="110" t="s">
        <v>7</v>
      </c>
    </row>
    <row r="34" ht="15.75" spans="1:9">
      <c r="A34" s="121" t="s">
        <v>1129</v>
      </c>
      <c r="B34" s="122">
        <f>E13</f>
        <v>3</v>
      </c>
      <c r="D34" s="121" t="s">
        <v>1133</v>
      </c>
      <c r="E34" s="122">
        <f>I13</f>
        <v>2</v>
      </c>
    </row>
    <row r="35" ht="15.75" spans="1:9">
      <c r="A35" s="121" t="s">
        <v>1130</v>
      </c>
      <c r="B35" s="122">
        <f>F13</f>
        <v>2</v>
      </c>
      <c r="D35" s="121" t="s">
        <v>1134</v>
      </c>
      <c r="E35" s="122">
        <f>J13</f>
        <v>3</v>
      </c>
    </row>
    <row r="36" ht="15.75" spans="1:9">
      <c r="A36" s="121" t="s">
        <v>1128</v>
      </c>
      <c r="B36" s="122">
        <f>D13</f>
        <v>0</v>
      </c>
      <c r="D36" s="121" t="s">
        <v>1135</v>
      </c>
      <c r="E36" s="122">
        <f>K13</f>
        <v>0</v>
      </c>
    </row>
    <row r="37" ht="15.75" spans="1:9">
      <c r="A37" s="121" t="s">
        <v>1131</v>
      </c>
      <c r="B37" s="122">
        <f>G13</f>
        <v>2</v>
      </c>
      <c r="D37" s="121" t="s">
        <v>1127</v>
      </c>
      <c r="E37" s="122">
        <f>C13</f>
        <v>5</v>
      </c>
    </row>
    <row r="38" ht="15.75" spans="1:9">
      <c r="A38" s="123" t="s">
        <v>1142</v>
      </c>
      <c r="B38" s="16"/>
      <c r="C38" s="16"/>
      <c r="D38" s="16"/>
      <c r="E38" s="16"/>
      <c r="F38" s="16"/>
      <c r="G38" s="16"/>
      <c r="H38" s="16"/>
      <c r="I38" s="17"/>
    </row>
    <row r="39" ht="15.75" spans="1:9">
      <c r="A39" s="124" t="s">
        <v>1143</v>
      </c>
      <c r="B39" s="16"/>
      <c r="C39" s="16"/>
      <c r="D39" s="16"/>
      <c r="E39" s="16"/>
      <c r="F39" s="16"/>
      <c r="G39" s="16"/>
      <c r="H39" s="16"/>
      <c r="I39" s="17"/>
    </row>
    <row r="40" ht="75" customHeight="1" spans="1:9">
      <c r="A40" s="310" t="s">
        <v>6017</v>
      </c>
      <c r="B40" s="16"/>
      <c r="C40" s="16"/>
      <c r="D40" s="16"/>
      <c r="E40" s="16"/>
      <c r="F40" s="16"/>
      <c r="G40" s="16"/>
      <c r="H40" s="16"/>
      <c r="I40" s="17"/>
    </row>
    <row r="41" ht="15.75" spans="1:9">
      <c r="A41" s="124" t="s">
        <v>1145</v>
      </c>
      <c r="B41" s="16"/>
      <c r="C41" s="16"/>
      <c r="D41" s="16"/>
      <c r="E41" s="16"/>
      <c r="F41" s="16"/>
      <c r="G41" s="16"/>
      <c r="H41" s="16"/>
      <c r="I41" s="17"/>
    </row>
    <row r="42" ht="120" customHeight="1" spans="1:9">
      <c r="A42" s="310" t="s">
        <v>6018</v>
      </c>
      <c r="B42" s="16"/>
      <c r="C42" s="16"/>
      <c r="D42" s="16"/>
      <c r="E42" s="16"/>
      <c r="F42" s="16"/>
      <c r="G42" s="16"/>
      <c r="H42" s="16"/>
      <c r="I42" s="17"/>
    </row>
    <row r="43" ht="15.75" spans="1:9">
      <c r="A43" s="124" t="s">
        <v>1147</v>
      </c>
      <c r="B43" s="16"/>
      <c r="C43" s="16"/>
      <c r="D43" s="16"/>
      <c r="E43" s="16"/>
      <c r="F43" s="16"/>
      <c r="G43" s="16"/>
      <c r="H43" s="16"/>
      <c r="I43" s="17"/>
    </row>
    <row r="44" ht="60" customHeight="1" spans="1:9">
      <c r="A44" s="310" t="s">
        <v>6019</v>
      </c>
      <c r="B44" s="16"/>
      <c r="C44" s="16"/>
      <c r="D44" s="16"/>
      <c r="E44" s="16"/>
      <c r="F44" s="16"/>
      <c r="G44" s="16"/>
      <c r="H44" s="16"/>
      <c r="I44" s="17"/>
    </row>
    <row r="45" ht="15.75" spans="1:9">
      <c r="A45" s="124" t="s">
        <v>1149</v>
      </c>
      <c r="B45" s="16"/>
      <c r="C45" s="16"/>
      <c r="D45" s="16"/>
      <c r="E45" s="16"/>
      <c r="F45" s="16"/>
      <c r="G45" s="16"/>
      <c r="H45" s="16"/>
      <c r="I45" s="17"/>
    </row>
    <row r="46" ht="60" customHeight="1" spans="1:9">
      <c r="A46" s="310" t="s">
        <v>6020</v>
      </c>
      <c r="B46" s="16"/>
      <c r="C46" s="16"/>
      <c r="D46" s="16"/>
      <c r="E46" s="16"/>
      <c r="F46" s="16"/>
      <c r="G46" s="16"/>
      <c r="H46" s="16"/>
      <c r="I46" s="17"/>
    </row>
    <row r="50" ht="15.75" spans="1:9">
      <c r="A50" s="126" t="s">
        <v>1109</v>
      </c>
      <c r="B50" s="126" t="s">
        <v>1151</v>
      </c>
      <c r="C50" s="126" t="s">
        <v>1152</v>
      </c>
      <c r="D50" s="126" t="s">
        <v>1153</v>
      </c>
      <c r="E50" s="126" t="s">
        <v>1154</v>
      </c>
      <c r="F50" s="126" t="s">
        <v>1155</v>
      </c>
      <c r="G50" s="126" t="s">
        <v>1156</v>
      </c>
      <c r="H50" s="126" t="s">
        <v>1131</v>
      </c>
      <c r="I50" s="126" t="s">
        <v>1157</v>
      </c>
    </row>
    <row r="51" ht="15.75" spans="1:9">
      <c r="A51" s="127" t="s">
        <v>6021</v>
      </c>
      <c r="B51" s="16"/>
      <c r="C51" s="16"/>
      <c r="D51" s="16"/>
      <c r="E51" s="16"/>
      <c r="F51" s="16"/>
      <c r="G51" s="16"/>
      <c r="H51" s="16"/>
      <c r="I51" s="17"/>
    </row>
    <row r="52" ht="75" customHeight="1" spans="1:9">
      <c r="A52" s="111" t="s">
        <v>6022</v>
      </c>
      <c r="B52" s="111" t="s">
        <v>6023</v>
      </c>
      <c r="C52" s="122" t="s">
        <v>1133</v>
      </c>
      <c r="D52" s="111" t="s">
        <v>6024</v>
      </c>
      <c r="E52" s="111" t="s">
        <v>6025</v>
      </c>
      <c r="F52" s="111" t="s">
        <v>6026</v>
      </c>
      <c r="G52" s="122" t="s">
        <v>1129</v>
      </c>
      <c r="H52" s="122"/>
      <c r="I52" s="111" t="s">
        <v>6027</v>
      </c>
    </row>
    <row r="53" ht="45" customHeight="1" spans="1:9">
      <c r="A53" s="111" t="s">
        <v>6028</v>
      </c>
      <c r="B53" s="111" t="s">
        <v>6029</v>
      </c>
      <c r="C53" s="122" t="s">
        <v>1134</v>
      </c>
      <c r="D53" s="111" t="s">
        <v>6030</v>
      </c>
      <c r="E53" s="111" t="s">
        <v>6031</v>
      </c>
      <c r="F53" s="111" t="s">
        <v>6032</v>
      </c>
      <c r="G53" s="122" t="s">
        <v>1129</v>
      </c>
      <c r="H53" s="122"/>
      <c r="I53" s="111" t="s">
        <v>6033</v>
      </c>
    </row>
    <row r="54" ht="60" customHeight="1" spans="1:9">
      <c r="A54" s="111" t="s">
        <v>6034</v>
      </c>
      <c r="B54" s="111" t="s">
        <v>6035</v>
      </c>
      <c r="C54" s="122" t="s">
        <v>1134</v>
      </c>
      <c r="D54" s="111" t="s">
        <v>6036</v>
      </c>
      <c r="E54" s="111" t="s">
        <v>6037</v>
      </c>
      <c r="F54" s="111" t="s">
        <v>6038</v>
      </c>
      <c r="G54" s="122" t="s">
        <v>1129</v>
      </c>
      <c r="H54" s="122"/>
      <c r="I54" s="111" t="s">
        <v>6039</v>
      </c>
    </row>
    <row r="55" ht="120" customHeight="1" spans="1:9">
      <c r="A55" s="111" t="s">
        <v>6040</v>
      </c>
      <c r="B55" s="111" t="s">
        <v>6041</v>
      </c>
      <c r="C55" s="122" t="s">
        <v>1134</v>
      </c>
      <c r="D55" s="111" t="s">
        <v>6042</v>
      </c>
      <c r="E55" s="111" t="s">
        <v>6043</v>
      </c>
      <c r="F55" s="111" t="s">
        <v>6044</v>
      </c>
      <c r="G55" s="122" t="s">
        <v>1129</v>
      </c>
      <c r="H55" s="122"/>
      <c r="I55" s="111" t="s">
        <v>6045</v>
      </c>
    </row>
    <row r="56" ht="30" customHeight="1" spans="1:9">
      <c r="A56" s="111" t="s">
        <v>6046</v>
      </c>
      <c r="B56" s="111" t="s">
        <v>6047</v>
      </c>
      <c r="C56" s="122" t="s">
        <v>1133</v>
      </c>
      <c r="D56" s="111" t="s">
        <v>6048</v>
      </c>
      <c r="E56" s="111" t="s">
        <v>6049</v>
      </c>
      <c r="F56" s="111" t="s">
        <v>6050</v>
      </c>
      <c r="G56" s="122" t="s">
        <v>1129</v>
      </c>
      <c r="H56" s="122"/>
      <c r="I56" s="111" t="s">
        <v>7</v>
      </c>
    </row>
    <row r="57" ht="255" customHeight="1" spans="1:9">
      <c r="A57" s="111" t="s">
        <v>6051</v>
      </c>
      <c r="B57" s="111" t="s">
        <v>6052</v>
      </c>
      <c r="C57" s="122" t="s">
        <v>1134</v>
      </c>
      <c r="D57" s="111" t="s">
        <v>6053</v>
      </c>
      <c r="E57" s="111" t="s">
        <v>6054</v>
      </c>
      <c r="F57" s="111" t="s">
        <v>6055</v>
      </c>
      <c r="G57" s="122" t="s">
        <v>1130</v>
      </c>
      <c r="H57" s="122">
        <v>1</v>
      </c>
      <c r="I57" s="111" t="s">
        <v>6056</v>
      </c>
    </row>
    <row r="58" ht="45" customHeight="1" spans="1:9">
      <c r="A58" s="111" t="s">
        <v>6057</v>
      </c>
      <c r="B58" s="111" t="s">
        <v>6058</v>
      </c>
      <c r="C58" s="122" t="s">
        <v>1134</v>
      </c>
      <c r="D58" s="111" t="s">
        <v>6059</v>
      </c>
      <c r="E58" s="111" t="s">
        <v>6060</v>
      </c>
      <c r="F58" s="111" t="s">
        <v>6061</v>
      </c>
      <c r="G58" s="122" t="s">
        <v>1129</v>
      </c>
      <c r="H58" s="122"/>
      <c r="I58" s="111" t="s">
        <v>6062</v>
      </c>
    </row>
    <row r="59" ht="30" customHeight="1" spans="1:9">
      <c r="A59" s="111" t="s">
        <v>6063</v>
      </c>
      <c r="B59" s="111" t="s">
        <v>6064</v>
      </c>
      <c r="C59" s="122" t="s">
        <v>1133</v>
      </c>
      <c r="D59" s="111" t="s">
        <v>6042</v>
      </c>
      <c r="E59" s="111" t="s">
        <v>6065</v>
      </c>
      <c r="F59" s="111" t="s">
        <v>6066</v>
      </c>
      <c r="G59" s="122" t="s">
        <v>1129</v>
      </c>
      <c r="H59" s="122"/>
      <c r="I59" s="111" t="s">
        <v>6067</v>
      </c>
    </row>
    <row r="60" ht="45" customHeight="1" spans="1:9">
      <c r="A60" s="111" t="s">
        <v>6068</v>
      </c>
      <c r="B60" s="111" t="s">
        <v>6069</v>
      </c>
      <c r="C60" s="122" t="s">
        <v>1133</v>
      </c>
      <c r="D60" s="111" t="s">
        <v>1243</v>
      </c>
      <c r="E60" s="111" t="s">
        <v>6070</v>
      </c>
      <c r="F60" s="111" t="s">
        <v>6071</v>
      </c>
      <c r="G60" s="122" t="s">
        <v>1129</v>
      </c>
      <c r="H60" s="122"/>
      <c r="I60" s="111" t="s">
        <v>6072</v>
      </c>
    </row>
    <row r="61" ht="45" customHeight="1" spans="1:9">
      <c r="A61" s="111" t="s">
        <v>6073</v>
      </c>
      <c r="B61" s="111" t="s">
        <v>6074</v>
      </c>
      <c r="C61" s="122" t="s">
        <v>1135</v>
      </c>
      <c r="D61" s="111" t="s">
        <v>6075</v>
      </c>
      <c r="E61" s="111" t="s">
        <v>6076</v>
      </c>
      <c r="F61" s="111" t="s">
        <v>6077</v>
      </c>
      <c r="G61" s="122" t="s">
        <v>1129</v>
      </c>
      <c r="H61" s="122"/>
      <c r="I61" s="111" t="s">
        <v>6078</v>
      </c>
    </row>
    <row r="62" ht="15.75" spans="1:9">
      <c r="A62" s="109" t="s">
        <v>6079</v>
      </c>
      <c r="B62" s="16"/>
      <c r="C62" s="16"/>
      <c r="D62" s="16"/>
      <c r="E62" s="16"/>
      <c r="F62" s="16"/>
      <c r="G62" s="16"/>
      <c r="H62" s="16"/>
      <c r="I62" s="17"/>
    </row>
    <row r="63" ht="75" customHeight="1" spans="1:9">
      <c r="A63" s="111" t="s">
        <v>6080</v>
      </c>
      <c r="B63" s="111" t="s">
        <v>6081</v>
      </c>
      <c r="C63" s="122" t="s">
        <v>1134</v>
      </c>
      <c r="D63" s="111" t="s">
        <v>6082</v>
      </c>
      <c r="E63" s="111" t="s">
        <v>6083</v>
      </c>
      <c r="F63" s="111" t="s">
        <v>6084</v>
      </c>
      <c r="G63" s="122" t="s">
        <v>1129</v>
      </c>
      <c r="H63" s="122"/>
      <c r="I63" s="111" t="s">
        <v>6085</v>
      </c>
    </row>
    <row r="64" ht="60" customHeight="1" spans="1:9">
      <c r="A64" s="111" t="s">
        <v>6086</v>
      </c>
      <c r="B64" s="111" t="s">
        <v>6087</v>
      </c>
      <c r="C64" s="122" t="s">
        <v>1134</v>
      </c>
      <c r="D64" s="111" t="s">
        <v>6088</v>
      </c>
      <c r="E64" s="111" t="s">
        <v>6089</v>
      </c>
      <c r="F64" s="111" t="s">
        <v>6090</v>
      </c>
      <c r="G64" s="122" t="s">
        <v>1129</v>
      </c>
      <c r="H64" s="122"/>
      <c r="I64" s="111" t="s">
        <v>6091</v>
      </c>
    </row>
    <row r="65" ht="105" customHeight="1" spans="1:9">
      <c r="A65" s="111" t="s">
        <v>6092</v>
      </c>
      <c r="B65" s="111" t="s">
        <v>6093</v>
      </c>
      <c r="C65" s="122" t="s">
        <v>1134</v>
      </c>
      <c r="D65" s="111" t="s">
        <v>6094</v>
      </c>
      <c r="E65" s="111" t="s">
        <v>6095</v>
      </c>
      <c r="F65" s="111" t="s">
        <v>6096</v>
      </c>
      <c r="G65" s="122" t="s">
        <v>1129</v>
      </c>
      <c r="H65" s="122"/>
      <c r="I65" s="111" t="s">
        <v>6097</v>
      </c>
    </row>
    <row r="66" ht="60" customHeight="1" spans="1:9">
      <c r="A66" s="111" t="s">
        <v>6098</v>
      </c>
      <c r="B66" s="111" t="s">
        <v>6099</v>
      </c>
      <c r="C66" s="122" t="s">
        <v>1134</v>
      </c>
      <c r="D66" s="111" t="s">
        <v>6100</v>
      </c>
      <c r="E66" s="111" t="s">
        <v>6101</v>
      </c>
      <c r="F66" s="111" t="s">
        <v>6102</v>
      </c>
      <c r="G66" s="122" t="s">
        <v>1129</v>
      </c>
      <c r="H66" s="122"/>
      <c r="I66" s="111" t="s">
        <v>6103</v>
      </c>
    </row>
    <row r="67" ht="30" customHeight="1" spans="1:9">
      <c r="A67" s="111" t="s">
        <v>6104</v>
      </c>
      <c r="B67" s="111" t="s">
        <v>6105</v>
      </c>
      <c r="C67" s="122" t="s">
        <v>1134</v>
      </c>
      <c r="D67" s="111" t="s">
        <v>6042</v>
      </c>
      <c r="E67" s="111" t="s">
        <v>6106</v>
      </c>
      <c r="F67" s="111" t="s">
        <v>6107</v>
      </c>
      <c r="G67" s="122" t="s">
        <v>1129</v>
      </c>
      <c r="H67" s="122"/>
      <c r="I67" s="111" t="s">
        <v>6108</v>
      </c>
    </row>
    <row r="68" ht="45" customHeight="1" spans="1:9">
      <c r="A68" s="111" t="s">
        <v>6109</v>
      </c>
      <c r="B68" s="111" t="s">
        <v>6110</v>
      </c>
      <c r="C68" s="122" t="s">
        <v>1135</v>
      </c>
      <c r="D68" s="111" t="s">
        <v>6111</v>
      </c>
      <c r="E68" s="111" t="s">
        <v>6112</v>
      </c>
      <c r="F68" s="111" t="s">
        <v>6113</v>
      </c>
      <c r="G68" s="122" t="s">
        <v>1129</v>
      </c>
      <c r="H68" s="122"/>
      <c r="I68" s="111" t="s">
        <v>6114</v>
      </c>
    </row>
    <row r="69" ht="90" customHeight="1" spans="1:9">
      <c r="A69" s="111" t="s">
        <v>6115</v>
      </c>
      <c r="B69" s="111" t="s">
        <v>6116</v>
      </c>
      <c r="C69" s="122" t="s">
        <v>1135</v>
      </c>
      <c r="D69" s="111" t="s">
        <v>6117</v>
      </c>
      <c r="E69" s="111" t="s">
        <v>6118</v>
      </c>
      <c r="F69" s="111" t="s">
        <v>6119</v>
      </c>
      <c r="G69" s="122" t="s">
        <v>1129</v>
      </c>
      <c r="H69" s="122"/>
      <c r="I69" s="111" t="s">
        <v>6120</v>
      </c>
    </row>
    <row r="70" ht="90" customHeight="1" spans="1:9">
      <c r="A70" s="111" t="s">
        <v>6121</v>
      </c>
      <c r="B70" s="111" t="s">
        <v>6122</v>
      </c>
      <c r="C70" s="122" t="s">
        <v>1135</v>
      </c>
      <c r="D70" s="111" t="s">
        <v>6123</v>
      </c>
      <c r="E70" s="111" t="s">
        <v>6124</v>
      </c>
      <c r="F70" s="111" t="s">
        <v>6125</v>
      </c>
      <c r="G70" s="122" t="s">
        <v>1129</v>
      </c>
      <c r="H70" s="122"/>
      <c r="I70" s="111" t="s">
        <v>6126</v>
      </c>
    </row>
    <row r="71" ht="15.75" spans="1:9">
      <c r="A71" s="127" t="s">
        <v>6127</v>
      </c>
      <c r="B71" s="16"/>
      <c r="C71" s="16"/>
      <c r="D71" s="16"/>
      <c r="E71" s="16"/>
      <c r="F71" s="16"/>
      <c r="G71" s="16"/>
      <c r="H71" s="16"/>
      <c r="I71" s="17"/>
    </row>
    <row r="72" ht="45" customHeight="1" spans="1:9">
      <c r="A72" s="111" t="s">
        <v>6128</v>
      </c>
      <c r="B72" s="111" t="s">
        <v>6129</v>
      </c>
      <c r="C72" s="122" t="s">
        <v>1133</v>
      </c>
      <c r="D72" s="111" t="s">
        <v>6100</v>
      </c>
      <c r="E72" s="111" t="s">
        <v>6130</v>
      </c>
      <c r="F72" s="111" t="s">
        <v>6131</v>
      </c>
      <c r="G72" s="122" t="s">
        <v>1129</v>
      </c>
      <c r="H72" s="122"/>
      <c r="I72" s="111" t="s">
        <v>6132</v>
      </c>
    </row>
    <row r="73" ht="45" customHeight="1" spans="1:9">
      <c r="A73" s="111" t="s">
        <v>6133</v>
      </c>
      <c r="B73" s="111" t="s">
        <v>6134</v>
      </c>
      <c r="C73" s="122" t="s">
        <v>1134</v>
      </c>
      <c r="D73" s="111" t="s">
        <v>6100</v>
      </c>
      <c r="E73" s="111" t="s">
        <v>6135</v>
      </c>
      <c r="F73" s="111" t="s">
        <v>6136</v>
      </c>
      <c r="G73" s="122" t="s">
        <v>1129</v>
      </c>
      <c r="H73" s="122"/>
      <c r="I73" s="111" t="s">
        <v>6137</v>
      </c>
    </row>
    <row r="74" ht="285" customHeight="1" spans="1:9">
      <c r="A74" s="111" t="s">
        <v>6138</v>
      </c>
      <c r="B74" s="111" t="s">
        <v>6139</v>
      </c>
      <c r="C74" s="122" t="s">
        <v>1134</v>
      </c>
      <c r="D74" s="111" t="s">
        <v>6140</v>
      </c>
      <c r="E74" s="111" t="s">
        <v>6141</v>
      </c>
      <c r="F74" s="111" t="s">
        <v>6142</v>
      </c>
      <c r="G74" s="122" t="s">
        <v>1130</v>
      </c>
      <c r="H74" s="122">
        <v>1</v>
      </c>
      <c r="I74" s="111" t="s">
        <v>6143</v>
      </c>
    </row>
    <row r="75" ht="135" customHeight="1" spans="1:9">
      <c r="A75" s="111" t="s">
        <v>6144</v>
      </c>
      <c r="B75" s="111" t="s">
        <v>6145</v>
      </c>
      <c r="C75" s="122" t="s">
        <v>1134</v>
      </c>
      <c r="D75" s="111" t="s">
        <v>6146</v>
      </c>
      <c r="E75" s="111" t="s">
        <v>6147</v>
      </c>
      <c r="F75" s="111" t="s">
        <v>6148</v>
      </c>
      <c r="G75" s="122" t="s">
        <v>1130</v>
      </c>
      <c r="H75" s="122">
        <v>1</v>
      </c>
      <c r="I75" s="111" t="s">
        <v>6149</v>
      </c>
    </row>
    <row r="76" ht="30" customHeight="1" spans="1:9">
      <c r="A76" s="111" t="s">
        <v>6150</v>
      </c>
      <c r="B76" s="111" t="s">
        <v>6151</v>
      </c>
      <c r="C76" s="122" t="s">
        <v>1133</v>
      </c>
      <c r="D76" s="111" t="s">
        <v>6152</v>
      </c>
      <c r="E76" s="111" t="s">
        <v>6153</v>
      </c>
      <c r="F76" s="111" t="s">
        <v>6154</v>
      </c>
      <c r="G76" s="122" t="s">
        <v>1129</v>
      </c>
      <c r="H76" s="122"/>
      <c r="I76" s="111" t="s">
        <v>6155</v>
      </c>
    </row>
  </sheetData>
  <mergeCells count="15">
    <mergeCell ref="A1:C1"/>
    <mergeCell ref="A3:C3"/>
    <mergeCell ref="A9:N9"/>
    <mergeCell ref="A38:I38"/>
    <mergeCell ref="A39:I39"/>
    <mergeCell ref="A40:I40"/>
    <mergeCell ref="A41:I41"/>
    <mergeCell ref="A42:I42"/>
    <mergeCell ref="A43:I43"/>
    <mergeCell ref="A44:I44"/>
    <mergeCell ref="A45:I45"/>
    <mergeCell ref="A46:I46"/>
    <mergeCell ref="A51:I51"/>
    <mergeCell ref="A62:I62"/>
    <mergeCell ref="A71:I71"/>
  </mergeCells>
  <conditionalFormatting sqref="G51:G76">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0"/>
  <sheetViews>
    <sheetView workbookViewId="0">
      <selection activeCell="A1" sqref="A1:E1"/>
    </sheetView>
  </sheetViews>
  <sheetFormatPr defaultColWidth="9" defaultRowHeight="15"/>
  <cols>
    <col min="1" max="1" width="18" customWidth="1"/>
    <col min="2" max="2" width="24" customWidth="1"/>
    <col min="3" max="3" width="34" customWidth="1"/>
    <col min="4" max="4" width="18" customWidth="1"/>
    <col min="5" max="5" width="10" customWidth="1"/>
    <col min="6" max="6" width="34" customWidth="1"/>
    <col min="7" max="7" width="26" customWidth="1"/>
    <col min="8" max="8" width="30" customWidth="1"/>
    <col min="9" max="9" width="36" customWidth="1"/>
    <col min="10" max="10" width="10" customWidth="1"/>
    <col min="11" max="11" width="30" customWidth="1"/>
    <col min="12" max="12" width="9.14285714285714" customWidth="1"/>
  </cols>
  <sheetData>
    <row r="1" ht="20.25" spans="1:5">
      <c r="A1" s="74" t="s">
        <v>1295</v>
      </c>
    </row>
    <row r="2" spans="1:5">
      <c r="A2" s="75" t="s">
        <v>6156</v>
      </c>
      <c r="B2" s="16"/>
      <c r="C2" s="16"/>
      <c r="D2" s="16"/>
      <c r="E2" s="17"/>
    </row>
    <row r="3" ht="30" customHeight="1" spans="1:5">
      <c r="A3" s="76" t="s">
        <v>1297</v>
      </c>
      <c r="B3" s="17"/>
      <c r="C3" s="77" t="s">
        <v>6157</v>
      </c>
      <c r="D3" s="16"/>
      <c r="E3" s="17"/>
    </row>
    <row r="4" ht="30" customHeight="1" spans="1:5">
      <c r="A4" s="76" t="s">
        <v>1299</v>
      </c>
      <c r="B4" s="17"/>
      <c r="C4" s="77" t="s">
        <v>6158</v>
      </c>
      <c r="D4" s="16"/>
      <c r="E4" s="17"/>
    </row>
    <row r="5" ht="30" customHeight="1" spans="1:5">
      <c r="A5" s="76" t="s">
        <v>1301</v>
      </c>
      <c r="B5" s="17"/>
      <c r="C5" s="77" t="s">
        <v>6159</v>
      </c>
      <c r="D5" s="16"/>
      <c r="E5" s="17"/>
    </row>
    <row r="6" customHeight="1" spans="1:5">
      <c r="A6" s="76" t="s">
        <v>1303</v>
      </c>
      <c r="B6" s="17"/>
      <c r="C6" s="78" t="s">
        <v>6160</v>
      </c>
      <c r="D6" s="16"/>
      <c r="E6" s="17"/>
    </row>
    <row r="7" customHeight="1" spans="1:5">
      <c r="A7" s="76" t="s">
        <v>1305</v>
      </c>
      <c r="B7" s="17"/>
      <c r="C7" s="77" t="s">
        <v>6161</v>
      </c>
      <c r="D7" s="16"/>
      <c r="E7" s="17"/>
    </row>
    <row r="8" ht="120" customHeight="1" spans="1:5">
      <c r="A8" s="76" t="s">
        <v>1307</v>
      </c>
      <c r="B8" s="17"/>
      <c r="C8" s="77" t="s">
        <v>6162</v>
      </c>
      <c r="D8" s="16"/>
      <c r="E8" s="17"/>
    </row>
    <row r="10" ht="16.5" spans="1:5">
      <c r="A10" s="79" t="s">
        <v>1309</v>
      </c>
    </row>
    <row r="11" spans="1:5">
      <c r="A11" s="80" t="s">
        <v>1310</v>
      </c>
    </row>
    <row r="12" spans="1:5">
      <c r="A12" s="81" t="s">
        <v>211</v>
      </c>
      <c r="B12" s="81" t="s">
        <v>1311</v>
      </c>
      <c r="C12" s="81" t="s">
        <v>1312</v>
      </c>
      <c r="D12" s="82"/>
      <c r="E12" s="81" t="s">
        <v>430</v>
      </c>
    </row>
    <row r="13" ht="75" customHeight="1" spans="1:5">
      <c r="A13" s="83">
        <v>1</v>
      </c>
      <c r="B13" s="84" t="s">
        <v>6163</v>
      </c>
      <c r="C13" s="85" t="s">
        <v>6164</v>
      </c>
      <c r="D13" s="17"/>
      <c r="E13" s="85" t="s">
        <v>6165</v>
      </c>
    </row>
    <row r="14" ht="45" customHeight="1" spans="1:5">
      <c r="A14" s="83">
        <v>2</v>
      </c>
      <c r="B14" s="84" t="s">
        <v>6166</v>
      </c>
      <c r="C14" s="85" t="s">
        <v>6167</v>
      </c>
      <c r="D14" s="17"/>
      <c r="E14" s="85" t="s">
        <v>6168</v>
      </c>
    </row>
    <row r="15" ht="30" customHeight="1" spans="1:5">
      <c r="A15" s="83">
        <v>3</v>
      </c>
      <c r="B15" s="84" t="s">
        <v>6169</v>
      </c>
      <c r="C15" s="84" t="s">
        <v>6170</v>
      </c>
      <c r="D15" s="17"/>
      <c r="E15" s="85" t="s">
        <v>6171</v>
      </c>
    </row>
    <row r="16" ht="45" customHeight="1" spans="1:5">
      <c r="A16" s="83">
        <v>4</v>
      </c>
      <c r="B16" s="84" t="s">
        <v>6172</v>
      </c>
      <c r="C16" s="85" t="s">
        <v>6173</v>
      </c>
      <c r="D16" s="17"/>
      <c r="E16" s="85" t="s">
        <v>6174</v>
      </c>
    </row>
    <row r="17" ht="45" customHeight="1" spans="1:5">
      <c r="A17" s="83">
        <v>5</v>
      </c>
      <c r="B17" s="85" t="s">
        <v>6175</v>
      </c>
      <c r="C17" s="85" t="s">
        <v>6176</v>
      </c>
      <c r="D17" s="17"/>
      <c r="E17" s="85" t="s">
        <v>6177</v>
      </c>
    </row>
    <row r="18" ht="45" customHeight="1" spans="1:5">
      <c r="A18" s="83">
        <v>6</v>
      </c>
      <c r="B18" s="85" t="s">
        <v>6178</v>
      </c>
      <c r="C18" s="85" t="s">
        <v>6179</v>
      </c>
      <c r="D18" s="17"/>
      <c r="E18" s="85" t="s">
        <v>6180</v>
      </c>
    </row>
    <row r="20" spans="1:5">
      <c r="A20" s="86" t="s">
        <v>1328</v>
      </c>
      <c r="B20" s="16"/>
      <c r="C20" s="16"/>
      <c r="D20" s="16"/>
      <c r="E20" s="17"/>
    </row>
    <row r="21" ht="45" customHeight="1" spans="1:5">
      <c r="A21" s="87">
        <v>1</v>
      </c>
      <c r="B21" s="88" t="s">
        <v>6181</v>
      </c>
      <c r="C21" s="89" t="s">
        <v>6182</v>
      </c>
      <c r="D21" s="16"/>
      <c r="E21" s="17"/>
    </row>
    <row r="22" ht="45" customHeight="1" spans="1:5">
      <c r="A22" s="87">
        <v>2</v>
      </c>
      <c r="B22" s="88" t="s">
        <v>6183</v>
      </c>
      <c r="C22" s="89" t="s">
        <v>6184</v>
      </c>
      <c r="D22" s="16"/>
      <c r="E22" s="17"/>
    </row>
    <row r="23" ht="45" customHeight="1" spans="1:5">
      <c r="A23" s="87">
        <v>3</v>
      </c>
      <c r="B23" s="88" t="s">
        <v>6185</v>
      </c>
      <c r="C23" s="89" t="s">
        <v>6186</v>
      </c>
      <c r="D23" s="16"/>
      <c r="E23" s="17"/>
    </row>
    <row r="25" spans="1:5">
      <c r="A25" s="90" t="s">
        <v>1335</v>
      </c>
      <c r="B25" s="16"/>
      <c r="C25" s="16"/>
      <c r="D25" s="16"/>
      <c r="E25" s="17"/>
    </row>
    <row r="26" spans="1:5">
      <c r="A26" s="81" t="s">
        <v>211</v>
      </c>
      <c r="B26" s="81" t="s">
        <v>1311</v>
      </c>
      <c r="C26" s="81" t="s">
        <v>1336</v>
      </c>
      <c r="D26" s="91"/>
      <c r="E26" s="82"/>
    </row>
    <row r="27" ht="45" customHeight="1" spans="1:5">
      <c r="A27" s="87">
        <v>1</v>
      </c>
      <c r="B27" s="88" t="s">
        <v>6187</v>
      </c>
      <c r="C27" s="89" t="s">
        <v>6188</v>
      </c>
      <c r="D27" s="16"/>
      <c r="E27" s="17"/>
    </row>
    <row r="28" ht="45" customHeight="1" spans="1:5">
      <c r="A28" s="87">
        <v>2</v>
      </c>
      <c r="B28" s="88" t="s">
        <v>6189</v>
      </c>
      <c r="C28" s="89" t="s">
        <v>6190</v>
      </c>
      <c r="D28" s="16"/>
      <c r="E28" s="17"/>
    </row>
    <row r="29" ht="45" customHeight="1" spans="1:5">
      <c r="A29" s="87">
        <v>3</v>
      </c>
      <c r="B29" s="88" t="s">
        <v>6191</v>
      </c>
      <c r="C29" s="89" t="s">
        <v>6192</v>
      </c>
      <c r="D29" s="16"/>
      <c r="E29" s="17"/>
    </row>
    <row r="30" customHeight="1" spans="1:5">
      <c r="A30" s="87">
        <v>4</v>
      </c>
      <c r="B30" s="88" t="s">
        <v>6193</v>
      </c>
      <c r="C30" s="89" t="s">
        <v>6194</v>
      </c>
      <c r="D30" s="16"/>
      <c r="E30" s="17"/>
    </row>
    <row r="32" spans="1:5">
      <c r="A32" s="86" t="s">
        <v>1349</v>
      </c>
      <c r="B32" s="16"/>
      <c r="C32" s="16"/>
      <c r="D32" s="16"/>
      <c r="E32" s="17"/>
    </row>
    <row r="33" ht="25.5" spans="1:11">
      <c r="A33" s="81" t="s">
        <v>1350</v>
      </c>
      <c r="B33" s="81" t="s">
        <v>1351</v>
      </c>
      <c r="C33" s="81" t="s">
        <v>1352</v>
      </c>
      <c r="D33" s="81" t="s">
        <v>1353</v>
      </c>
      <c r="E33" s="81" t="s">
        <v>1354</v>
      </c>
    </row>
    <row r="34" ht="25.5" spans="1:11">
      <c r="A34" s="85" t="s">
        <v>6163</v>
      </c>
      <c r="B34" s="85" t="s">
        <v>6195</v>
      </c>
      <c r="C34" s="92">
        <v>0.891</v>
      </c>
      <c r="D34" s="92">
        <v>0.955</v>
      </c>
      <c r="E34" s="93" t="s">
        <v>6196</v>
      </c>
    </row>
    <row r="35" ht="25.5" spans="1:11">
      <c r="A35" s="85" t="s">
        <v>6197</v>
      </c>
      <c r="B35" s="85" t="s">
        <v>6195</v>
      </c>
      <c r="C35" s="92">
        <v>1</v>
      </c>
      <c r="D35" s="92">
        <v>1</v>
      </c>
      <c r="E35" s="93" t="s">
        <v>6198</v>
      </c>
    </row>
    <row r="36" ht="25.5" spans="1:11">
      <c r="A36" s="85" t="s">
        <v>6169</v>
      </c>
      <c r="B36" s="85" t="s">
        <v>6195</v>
      </c>
      <c r="C36" s="92">
        <v>0.952</v>
      </c>
      <c r="D36" s="92">
        <v>0.9</v>
      </c>
      <c r="E36" s="93" t="s">
        <v>6199</v>
      </c>
    </row>
    <row r="37" ht="25.5" spans="1:11">
      <c r="A37" s="85" t="s">
        <v>6172</v>
      </c>
      <c r="B37" s="85" t="s">
        <v>6195</v>
      </c>
      <c r="C37" s="92">
        <v>0.939</v>
      </c>
      <c r="D37" s="92">
        <v>0.9</v>
      </c>
      <c r="E37" s="93" t="s">
        <v>6200</v>
      </c>
    </row>
    <row r="38" ht="25.5" spans="1:11">
      <c r="A38" s="85" t="s">
        <v>2273</v>
      </c>
      <c r="B38" s="85" t="s">
        <v>6195</v>
      </c>
      <c r="C38" s="92">
        <v>0.647</v>
      </c>
      <c r="D38" s="92">
        <v>0.25</v>
      </c>
      <c r="E38" s="93" t="s">
        <v>6201</v>
      </c>
    </row>
    <row r="39" ht="25.5" spans="1:11">
      <c r="A39" s="85" t="s">
        <v>6202</v>
      </c>
      <c r="B39" s="85" t="s">
        <v>6195</v>
      </c>
      <c r="C39" s="92">
        <v>1</v>
      </c>
      <c r="D39" s="92">
        <v>0</v>
      </c>
      <c r="E39" s="93" t="s">
        <v>1357</v>
      </c>
    </row>
    <row r="40" ht="25.5" spans="1:11">
      <c r="A40" s="85" t="s">
        <v>6203</v>
      </c>
      <c r="B40" s="85" t="s">
        <v>6204</v>
      </c>
      <c r="C40" s="92">
        <v>1</v>
      </c>
      <c r="D40" s="92">
        <v>1</v>
      </c>
      <c r="E40" s="93" t="s">
        <v>6198</v>
      </c>
    </row>
    <row r="41" ht="25.5" spans="1:11">
      <c r="A41" s="85" t="s">
        <v>6205</v>
      </c>
      <c r="B41" s="85" t="s">
        <v>6204</v>
      </c>
      <c r="C41" s="92">
        <v>0.8</v>
      </c>
      <c r="D41" s="92">
        <v>0.667</v>
      </c>
      <c r="E41" s="93" t="s">
        <v>6206</v>
      </c>
    </row>
    <row r="42" ht="30" spans="1:11">
      <c r="A42" s="80" t="s">
        <v>1365</v>
      </c>
      <c r="B42" s="80" t="s">
        <v>7</v>
      </c>
      <c r="C42" s="94">
        <v>0.891</v>
      </c>
      <c r="D42" s="94">
        <v>0.878</v>
      </c>
      <c r="E42" s="80" t="s">
        <v>7</v>
      </c>
    </row>
    <row r="43" ht="60" customHeight="1" spans="1:11">
      <c r="A43" s="95" t="s">
        <v>6207</v>
      </c>
      <c r="B43" s="16"/>
      <c r="C43" s="16"/>
      <c r="D43" s="16"/>
      <c r="E43" s="17"/>
    </row>
    <row r="45" ht="45" customHeight="1" spans="1:11">
      <c r="A45" s="95" t="s">
        <v>6208</v>
      </c>
      <c r="B45" s="16"/>
      <c r="C45" s="16"/>
      <c r="D45" s="16"/>
      <c r="E45" s="17"/>
    </row>
    <row r="48" spans="1:11">
      <c r="A48" s="96" t="s">
        <v>1367</v>
      </c>
      <c r="B48" s="91"/>
      <c r="C48" s="91"/>
      <c r="D48" s="91"/>
      <c r="E48" s="91"/>
      <c r="F48" s="91"/>
      <c r="G48" s="91"/>
      <c r="H48" s="91"/>
      <c r="I48" s="91"/>
      <c r="J48" s="91"/>
      <c r="K48" s="82"/>
    </row>
    <row r="49" ht="33" spans="1:11">
      <c r="A49" s="97" t="s">
        <v>1368</v>
      </c>
      <c r="B49" s="97" t="s">
        <v>1369</v>
      </c>
      <c r="C49" s="97" t="s">
        <v>1370</v>
      </c>
      <c r="D49" s="97" t="s">
        <v>1371</v>
      </c>
      <c r="E49" s="97" t="s">
        <v>1372</v>
      </c>
      <c r="F49" s="97" t="s">
        <v>1373</v>
      </c>
      <c r="G49" s="97" t="s">
        <v>1374</v>
      </c>
      <c r="H49" s="97" t="s">
        <v>1375</v>
      </c>
      <c r="I49" s="97" t="s">
        <v>1376</v>
      </c>
      <c r="J49" s="97" t="s">
        <v>1377</v>
      </c>
      <c r="K49" s="97" t="s">
        <v>1378</v>
      </c>
    </row>
    <row r="50" spans="1:11">
      <c r="A50" s="98" t="s">
        <v>6209</v>
      </c>
      <c r="B50" s="99"/>
      <c r="C50" s="99"/>
      <c r="D50" s="99"/>
      <c r="E50" s="99"/>
      <c r="F50" s="99"/>
      <c r="G50" s="99"/>
      <c r="H50" s="99"/>
      <c r="I50" s="99"/>
      <c r="J50" s="99"/>
      <c r="K50" s="100"/>
    </row>
    <row r="51" ht="45" customHeight="1" spans="1:11">
      <c r="A51" s="101" t="s">
        <v>6210</v>
      </c>
      <c r="B51" s="101" t="s">
        <v>6209</v>
      </c>
      <c r="C51" s="101" t="s">
        <v>6211</v>
      </c>
      <c r="D51" s="101" t="s">
        <v>6212</v>
      </c>
      <c r="E51" s="102" t="s">
        <v>7</v>
      </c>
      <c r="F51" s="101" t="s">
        <v>6213</v>
      </c>
      <c r="G51" s="101" t="s">
        <v>6214</v>
      </c>
      <c r="H51" s="101" t="s">
        <v>6215</v>
      </c>
      <c r="I51" s="101" t="s">
        <v>6216</v>
      </c>
      <c r="J51" s="102" t="s">
        <v>1385</v>
      </c>
      <c r="K51" s="101" t="s">
        <v>2446</v>
      </c>
    </row>
    <row r="52" ht="30" customHeight="1" spans="1:11">
      <c r="A52" s="101" t="s">
        <v>6217</v>
      </c>
      <c r="B52" s="101" t="s">
        <v>6209</v>
      </c>
      <c r="C52" s="101" t="s">
        <v>6211</v>
      </c>
      <c r="D52" s="101" t="s">
        <v>6212</v>
      </c>
      <c r="E52" s="102" t="s">
        <v>7</v>
      </c>
      <c r="F52" s="101" t="s">
        <v>6218</v>
      </c>
      <c r="G52" s="101" t="s">
        <v>6219</v>
      </c>
      <c r="H52" s="101" t="s">
        <v>6220</v>
      </c>
      <c r="I52" s="101" t="s">
        <v>6221</v>
      </c>
      <c r="J52" s="102" t="s">
        <v>1385</v>
      </c>
      <c r="K52" s="101" t="s">
        <v>2446</v>
      </c>
    </row>
    <row r="53" ht="30" customHeight="1" spans="1:11">
      <c r="A53" s="101" t="s">
        <v>6222</v>
      </c>
      <c r="B53" s="101" t="s">
        <v>6209</v>
      </c>
      <c r="C53" s="101" t="s">
        <v>6211</v>
      </c>
      <c r="D53" s="101" t="s">
        <v>6223</v>
      </c>
      <c r="E53" s="102" t="s">
        <v>7</v>
      </c>
      <c r="F53" s="101" t="s">
        <v>6224</v>
      </c>
      <c r="G53" s="101" t="s">
        <v>6225</v>
      </c>
      <c r="H53" s="101" t="s">
        <v>6226</v>
      </c>
      <c r="I53" s="101" t="s">
        <v>6227</v>
      </c>
      <c r="J53" s="102" t="s">
        <v>1385</v>
      </c>
      <c r="K53" s="101" t="s">
        <v>2446</v>
      </c>
    </row>
    <row r="54" ht="30" customHeight="1" spans="1:11">
      <c r="A54" s="101" t="s">
        <v>6228</v>
      </c>
      <c r="B54" s="101" t="s">
        <v>6209</v>
      </c>
      <c r="C54" s="101" t="s">
        <v>6211</v>
      </c>
      <c r="D54" s="101" t="s">
        <v>6212</v>
      </c>
      <c r="E54" s="102" t="s">
        <v>7</v>
      </c>
      <c r="F54" s="101" t="s">
        <v>6229</v>
      </c>
      <c r="G54" s="101" t="s">
        <v>6230</v>
      </c>
      <c r="H54" s="101" t="s">
        <v>6231</v>
      </c>
      <c r="I54" s="101" t="s">
        <v>6232</v>
      </c>
      <c r="J54" s="102" t="s">
        <v>1385</v>
      </c>
      <c r="K54" s="101" t="s">
        <v>2446</v>
      </c>
    </row>
    <row r="55" ht="30" customHeight="1" spans="1:11">
      <c r="A55" s="101" t="s">
        <v>6233</v>
      </c>
      <c r="B55" s="101" t="s">
        <v>6209</v>
      </c>
      <c r="C55" s="101" t="s">
        <v>6211</v>
      </c>
      <c r="D55" s="101" t="s">
        <v>6212</v>
      </c>
      <c r="E55" s="102" t="s">
        <v>7</v>
      </c>
      <c r="F55" s="101" t="s">
        <v>6234</v>
      </c>
      <c r="G55" s="101" t="s">
        <v>6235</v>
      </c>
      <c r="H55" s="101" t="s">
        <v>6236</v>
      </c>
      <c r="I55" s="101" t="s">
        <v>6237</v>
      </c>
      <c r="J55" s="102" t="s">
        <v>1385</v>
      </c>
      <c r="K55" s="101" t="s">
        <v>2446</v>
      </c>
    </row>
    <row r="56" ht="30" customHeight="1" spans="1:11">
      <c r="A56" s="101" t="s">
        <v>6238</v>
      </c>
      <c r="B56" s="101" t="s">
        <v>6209</v>
      </c>
      <c r="C56" s="101" t="s">
        <v>6211</v>
      </c>
      <c r="D56" s="101" t="s">
        <v>6212</v>
      </c>
      <c r="E56" s="102" t="s">
        <v>7</v>
      </c>
      <c r="F56" s="101" t="s">
        <v>6239</v>
      </c>
      <c r="G56" s="101" t="s">
        <v>6240</v>
      </c>
      <c r="H56" s="101" t="s">
        <v>6241</v>
      </c>
      <c r="I56" s="101" t="s">
        <v>6242</v>
      </c>
      <c r="J56" s="102" t="s">
        <v>1385</v>
      </c>
      <c r="K56" s="101" t="s">
        <v>2446</v>
      </c>
    </row>
    <row r="57" ht="45" customHeight="1" spans="1:11">
      <c r="A57" s="101" t="s">
        <v>6243</v>
      </c>
      <c r="B57" s="101" t="s">
        <v>6209</v>
      </c>
      <c r="C57" s="101" t="s">
        <v>6211</v>
      </c>
      <c r="D57" s="101" t="s">
        <v>6212</v>
      </c>
      <c r="E57" s="102" t="s">
        <v>7</v>
      </c>
      <c r="F57" s="101" t="s">
        <v>6244</v>
      </c>
      <c r="G57" s="101" t="s">
        <v>6245</v>
      </c>
      <c r="H57" s="101" t="s">
        <v>6246</v>
      </c>
      <c r="I57" s="101" t="s">
        <v>6247</v>
      </c>
      <c r="J57" s="102" t="s">
        <v>1385</v>
      </c>
      <c r="K57" s="101" t="s">
        <v>2446</v>
      </c>
    </row>
    <row r="58" ht="30" customHeight="1" spans="1:11">
      <c r="A58" s="101" t="s">
        <v>6248</v>
      </c>
      <c r="B58" s="101" t="s">
        <v>6209</v>
      </c>
      <c r="C58" s="101" t="s">
        <v>6211</v>
      </c>
      <c r="D58" s="101" t="s">
        <v>6212</v>
      </c>
      <c r="E58" s="102" t="s">
        <v>7</v>
      </c>
      <c r="F58" s="101" t="s">
        <v>6249</v>
      </c>
      <c r="G58" s="101" t="s">
        <v>6250</v>
      </c>
      <c r="H58" s="101" t="s">
        <v>6251</v>
      </c>
      <c r="I58" s="101" t="s">
        <v>6252</v>
      </c>
      <c r="J58" s="102" t="s">
        <v>1385</v>
      </c>
      <c r="K58" s="101" t="s">
        <v>2446</v>
      </c>
    </row>
    <row r="59" spans="1:11">
      <c r="A59" s="98" t="s">
        <v>6253</v>
      </c>
      <c r="B59" s="99"/>
      <c r="C59" s="99"/>
      <c r="D59" s="99"/>
      <c r="E59" s="99"/>
      <c r="F59" s="99"/>
      <c r="G59" s="99"/>
      <c r="H59" s="99"/>
      <c r="I59" s="99"/>
      <c r="J59" s="99"/>
      <c r="K59" s="100"/>
    </row>
    <row r="60" ht="45" customHeight="1" spans="1:11">
      <c r="A60" s="101" t="s">
        <v>6254</v>
      </c>
      <c r="B60" s="101" t="s">
        <v>6253</v>
      </c>
      <c r="C60" s="101" t="s">
        <v>6211</v>
      </c>
      <c r="D60" s="101" t="s">
        <v>6255</v>
      </c>
      <c r="E60" s="102" t="s">
        <v>7</v>
      </c>
      <c r="F60" s="101" t="s">
        <v>6256</v>
      </c>
      <c r="G60" s="101" t="s">
        <v>6257</v>
      </c>
      <c r="H60" s="101" t="s">
        <v>6258</v>
      </c>
      <c r="I60" s="101" t="s">
        <v>6259</v>
      </c>
      <c r="J60" s="102" t="s">
        <v>1385</v>
      </c>
      <c r="K60" s="101" t="s">
        <v>2469</v>
      </c>
    </row>
    <row r="61" ht="45" customHeight="1" spans="1:11">
      <c r="A61" s="101" t="s">
        <v>6260</v>
      </c>
      <c r="B61" s="101" t="s">
        <v>6253</v>
      </c>
      <c r="C61" s="101" t="s">
        <v>6211</v>
      </c>
      <c r="D61" s="101" t="s">
        <v>6261</v>
      </c>
      <c r="E61" s="102" t="s">
        <v>7</v>
      </c>
      <c r="F61" s="101" t="s">
        <v>6262</v>
      </c>
      <c r="G61" s="101" t="s">
        <v>6263</v>
      </c>
      <c r="H61" s="101" t="s">
        <v>6264</v>
      </c>
      <c r="I61" s="101" t="s">
        <v>6265</v>
      </c>
      <c r="J61" s="102" t="s">
        <v>1385</v>
      </c>
      <c r="K61" s="101" t="s">
        <v>2446</v>
      </c>
    </row>
    <row r="62" spans="1:11">
      <c r="A62" s="98" t="s">
        <v>6266</v>
      </c>
      <c r="B62" s="99"/>
      <c r="C62" s="99"/>
      <c r="D62" s="99"/>
      <c r="E62" s="99"/>
      <c r="F62" s="99"/>
      <c r="G62" s="99"/>
      <c r="H62" s="99"/>
      <c r="I62" s="99"/>
      <c r="J62" s="99"/>
      <c r="K62" s="100"/>
    </row>
    <row r="63" ht="30" customHeight="1" spans="1:11">
      <c r="A63" s="101" t="s">
        <v>6267</v>
      </c>
      <c r="B63" s="101" t="s">
        <v>6266</v>
      </c>
      <c r="C63" s="101" t="s">
        <v>6211</v>
      </c>
      <c r="D63" s="101" t="s">
        <v>6268</v>
      </c>
      <c r="E63" s="102" t="s">
        <v>7</v>
      </c>
      <c r="F63" s="101" t="s">
        <v>6269</v>
      </c>
      <c r="G63" s="101" t="s">
        <v>6270</v>
      </c>
      <c r="H63" s="101" t="s">
        <v>6271</v>
      </c>
      <c r="I63" s="101" t="s">
        <v>6272</v>
      </c>
      <c r="J63" s="102" t="s">
        <v>1385</v>
      </c>
      <c r="K63" s="101" t="s">
        <v>2446</v>
      </c>
    </row>
    <row r="64" spans="1:11">
      <c r="A64" s="98" t="s">
        <v>2483</v>
      </c>
      <c r="B64" s="99"/>
      <c r="C64" s="99"/>
      <c r="D64" s="99"/>
      <c r="E64" s="99"/>
      <c r="F64" s="99"/>
      <c r="G64" s="99"/>
      <c r="H64" s="99"/>
      <c r="I64" s="99"/>
      <c r="J64" s="99"/>
      <c r="K64" s="100"/>
    </row>
    <row r="65" ht="60" customHeight="1" spans="1:11">
      <c r="A65" s="101" t="s">
        <v>6273</v>
      </c>
      <c r="B65" s="101" t="s">
        <v>2483</v>
      </c>
      <c r="C65" s="101" t="s">
        <v>6211</v>
      </c>
      <c r="D65" s="101" t="s">
        <v>6274</v>
      </c>
      <c r="E65" s="102" t="s">
        <v>7</v>
      </c>
      <c r="F65" s="101" t="s">
        <v>6275</v>
      </c>
      <c r="G65" s="101" t="s">
        <v>6276</v>
      </c>
      <c r="H65" s="101" t="s">
        <v>6277</v>
      </c>
      <c r="I65" s="101" t="s">
        <v>6278</v>
      </c>
      <c r="J65" s="102" t="s">
        <v>1385</v>
      </c>
      <c r="K65" s="101" t="s">
        <v>2446</v>
      </c>
    </row>
    <row r="66" ht="45" customHeight="1" spans="1:11">
      <c r="A66" s="101" t="s">
        <v>6279</v>
      </c>
      <c r="B66" s="101" t="s">
        <v>2483</v>
      </c>
      <c r="C66" s="101" t="s">
        <v>6211</v>
      </c>
      <c r="D66" s="101" t="s">
        <v>6280</v>
      </c>
      <c r="E66" s="102" t="s">
        <v>7</v>
      </c>
      <c r="F66" s="101" t="s">
        <v>6281</v>
      </c>
      <c r="G66" s="101" t="s">
        <v>6282</v>
      </c>
      <c r="H66" s="101" t="s">
        <v>6283</v>
      </c>
      <c r="I66" s="101" t="s">
        <v>6284</v>
      </c>
      <c r="J66" s="102" t="s">
        <v>1385</v>
      </c>
      <c r="K66" s="101" t="s">
        <v>2446</v>
      </c>
    </row>
    <row r="67" spans="1:11">
      <c r="A67" s="98" t="s">
        <v>6266</v>
      </c>
      <c r="B67" s="99"/>
      <c r="C67" s="99"/>
      <c r="D67" s="99"/>
      <c r="E67" s="99"/>
      <c r="F67" s="99"/>
      <c r="G67" s="99"/>
      <c r="H67" s="99"/>
      <c r="I67" s="99"/>
      <c r="J67" s="99"/>
      <c r="K67" s="100"/>
    </row>
    <row r="68" ht="30" customHeight="1" spans="1:11">
      <c r="A68" s="101" t="s">
        <v>6285</v>
      </c>
      <c r="B68" s="101" t="s">
        <v>6266</v>
      </c>
      <c r="C68" s="101" t="s">
        <v>6211</v>
      </c>
      <c r="D68" s="101" t="s">
        <v>6268</v>
      </c>
      <c r="E68" s="102" t="s">
        <v>7</v>
      </c>
      <c r="F68" s="101" t="s">
        <v>6286</v>
      </c>
      <c r="G68" s="101" t="s">
        <v>6287</v>
      </c>
      <c r="H68" s="101" t="s">
        <v>6288</v>
      </c>
      <c r="I68" s="101" t="s">
        <v>6289</v>
      </c>
      <c r="J68" s="102" t="s">
        <v>1385</v>
      </c>
      <c r="K68" s="101" t="s">
        <v>2446</v>
      </c>
    </row>
    <row r="69" ht="30" customHeight="1" spans="1:11">
      <c r="A69" s="101" t="s">
        <v>6290</v>
      </c>
      <c r="B69" s="101" t="s">
        <v>6266</v>
      </c>
      <c r="C69" s="101" t="s">
        <v>6211</v>
      </c>
      <c r="D69" s="101" t="s">
        <v>6268</v>
      </c>
      <c r="E69" s="102" t="s">
        <v>7</v>
      </c>
      <c r="F69" s="101" t="s">
        <v>6291</v>
      </c>
      <c r="G69" s="101" t="s">
        <v>6292</v>
      </c>
      <c r="H69" s="101" t="s">
        <v>6293</v>
      </c>
      <c r="I69" s="101" t="s">
        <v>6294</v>
      </c>
      <c r="J69" s="102" t="s">
        <v>1385</v>
      </c>
      <c r="K69" s="101" t="s">
        <v>2446</v>
      </c>
    </row>
    <row r="70" ht="30" customHeight="1" spans="1:11">
      <c r="A70" s="101" t="s">
        <v>6295</v>
      </c>
      <c r="B70" s="101" t="s">
        <v>6266</v>
      </c>
      <c r="C70" s="101" t="s">
        <v>6211</v>
      </c>
      <c r="D70" s="101" t="s">
        <v>6296</v>
      </c>
      <c r="E70" s="102" t="s">
        <v>7</v>
      </c>
      <c r="F70" s="101" t="s">
        <v>6297</v>
      </c>
      <c r="G70" s="101" t="s">
        <v>6298</v>
      </c>
      <c r="H70" s="101" t="s">
        <v>6299</v>
      </c>
      <c r="I70" s="101" t="s">
        <v>6300</v>
      </c>
      <c r="J70" s="102" t="s">
        <v>1385</v>
      </c>
      <c r="K70" s="101" t="s">
        <v>2446</v>
      </c>
    </row>
    <row r="71" spans="1:11">
      <c r="A71" s="98" t="s">
        <v>6301</v>
      </c>
      <c r="B71" s="99"/>
      <c r="C71" s="99"/>
      <c r="D71" s="99"/>
      <c r="E71" s="99"/>
      <c r="F71" s="99"/>
      <c r="G71" s="99"/>
      <c r="H71" s="99"/>
      <c r="I71" s="99"/>
      <c r="J71" s="99"/>
      <c r="K71" s="100"/>
    </row>
    <row r="72" ht="30" customHeight="1" spans="1:11">
      <c r="A72" s="101" t="s">
        <v>6302</v>
      </c>
      <c r="B72" s="101" t="s">
        <v>6301</v>
      </c>
      <c r="C72" s="101" t="s">
        <v>6211</v>
      </c>
      <c r="D72" s="101" t="s">
        <v>6170</v>
      </c>
      <c r="E72" s="102" t="s">
        <v>7</v>
      </c>
      <c r="F72" s="101" t="s">
        <v>6303</v>
      </c>
      <c r="G72" s="101" t="s">
        <v>6304</v>
      </c>
      <c r="H72" s="101" t="s">
        <v>6305</v>
      </c>
      <c r="I72" s="101" t="s">
        <v>6306</v>
      </c>
      <c r="J72" s="102" t="s">
        <v>1385</v>
      </c>
      <c r="K72" s="101" t="s">
        <v>2446</v>
      </c>
    </row>
    <row r="73" spans="1:11">
      <c r="A73" s="98" t="s">
        <v>6209</v>
      </c>
      <c r="B73" s="99"/>
      <c r="C73" s="99"/>
      <c r="D73" s="99"/>
      <c r="E73" s="99"/>
      <c r="F73" s="99"/>
      <c r="G73" s="99"/>
      <c r="H73" s="99"/>
      <c r="I73" s="99"/>
      <c r="J73" s="99"/>
      <c r="K73" s="100"/>
    </row>
    <row r="74" ht="30" customHeight="1" spans="1:11">
      <c r="A74" s="101" t="s">
        <v>6307</v>
      </c>
      <c r="B74" s="101" t="s">
        <v>6209</v>
      </c>
      <c r="C74" s="101" t="s">
        <v>6211</v>
      </c>
      <c r="D74" s="101" t="s">
        <v>6308</v>
      </c>
      <c r="E74" s="102" t="s">
        <v>7</v>
      </c>
      <c r="F74" s="101" t="s">
        <v>6309</v>
      </c>
      <c r="G74" s="101" t="s">
        <v>6310</v>
      </c>
      <c r="H74" s="101" t="s">
        <v>6311</v>
      </c>
      <c r="I74" s="101" t="s">
        <v>6312</v>
      </c>
      <c r="J74" s="102" t="s">
        <v>1385</v>
      </c>
      <c r="K74" s="101" t="s">
        <v>2446</v>
      </c>
    </row>
    <row r="75" ht="30" customHeight="1" spans="1:11">
      <c r="A75" s="101" t="s">
        <v>6313</v>
      </c>
      <c r="B75" s="101" t="s">
        <v>6209</v>
      </c>
      <c r="C75" s="101" t="s">
        <v>6314</v>
      </c>
      <c r="D75" s="101" t="s">
        <v>6308</v>
      </c>
      <c r="E75" s="102" t="s">
        <v>7</v>
      </c>
      <c r="F75" s="101" t="s">
        <v>2554</v>
      </c>
      <c r="G75" s="101" t="s">
        <v>6315</v>
      </c>
      <c r="H75" s="101" t="s">
        <v>6316</v>
      </c>
      <c r="I75" s="101" t="s">
        <v>6317</v>
      </c>
      <c r="J75" s="102" t="s">
        <v>1508</v>
      </c>
      <c r="K75" s="101" t="s">
        <v>2446</v>
      </c>
    </row>
    <row r="76" ht="30" customHeight="1" spans="1:11">
      <c r="A76" s="101" t="s">
        <v>6318</v>
      </c>
      <c r="B76" s="101" t="s">
        <v>6209</v>
      </c>
      <c r="C76" s="101" t="s">
        <v>6211</v>
      </c>
      <c r="D76" s="101" t="s">
        <v>6319</v>
      </c>
      <c r="E76" s="102" t="s">
        <v>7</v>
      </c>
      <c r="F76" s="101" t="s">
        <v>6320</v>
      </c>
      <c r="G76" s="101" t="s">
        <v>6321</v>
      </c>
      <c r="H76" s="101" t="s">
        <v>6322</v>
      </c>
      <c r="I76" s="101" t="s">
        <v>6323</v>
      </c>
      <c r="J76" s="102" t="s">
        <v>1385</v>
      </c>
      <c r="K76" s="101" t="s">
        <v>2446</v>
      </c>
    </row>
    <row r="77" ht="30" customHeight="1" spans="1:11">
      <c r="A77" s="101" t="s">
        <v>6324</v>
      </c>
      <c r="B77" s="101" t="s">
        <v>6209</v>
      </c>
      <c r="C77" s="101" t="s">
        <v>6211</v>
      </c>
      <c r="D77" s="101" t="s">
        <v>6319</v>
      </c>
      <c r="E77" s="102" t="s">
        <v>7</v>
      </c>
      <c r="F77" s="101" t="s">
        <v>6325</v>
      </c>
      <c r="G77" s="101" t="s">
        <v>6326</v>
      </c>
      <c r="H77" s="101" t="s">
        <v>6327</v>
      </c>
      <c r="I77" s="101" t="s">
        <v>6328</v>
      </c>
      <c r="J77" s="102" t="s">
        <v>1385</v>
      </c>
      <c r="K77" s="101" t="s">
        <v>2446</v>
      </c>
    </row>
    <row r="78" ht="45" customHeight="1" spans="1:11">
      <c r="A78" s="101" t="s">
        <v>6329</v>
      </c>
      <c r="B78" s="101" t="s">
        <v>6209</v>
      </c>
      <c r="C78" s="101" t="s">
        <v>6211</v>
      </c>
      <c r="D78" s="101" t="s">
        <v>6319</v>
      </c>
      <c r="E78" s="102" t="s">
        <v>7</v>
      </c>
      <c r="F78" s="101" t="s">
        <v>6330</v>
      </c>
      <c r="G78" s="101" t="s">
        <v>6331</v>
      </c>
      <c r="H78" s="101" t="s">
        <v>6332</v>
      </c>
      <c r="I78" s="101" t="s">
        <v>2507</v>
      </c>
      <c r="J78" s="102" t="s">
        <v>1385</v>
      </c>
      <c r="K78" s="101" t="s">
        <v>2446</v>
      </c>
    </row>
    <row r="79" ht="30" customHeight="1" spans="1:11">
      <c r="A79" s="101" t="s">
        <v>6333</v>
      </c>
      <c r="B79" s="101" t="s">
        <v>6209</v>
      </c>
      <c r="C79" s="101" t="s">
        <v>6211</v>
      </c>
      <c r="D79" s="101" t="s">
        <v>6334</v>
      </c>
      <c r="E79" s="102" t="s">
        <v>7</v>
      </c>
      <c r="F79" s="101" t="s">
        <v>6335</v>
      </c>
      <c r="G79" s="101" t="s">
        <v>6336</v>
      </c>
      <c r="H79" s="101" t="s">
        <v>6337</v>
      </c>
      <c r="I79" s="101" t="s">
        <v>6338</v>
      </c>
      <c r="J79" s="102" t="s">
        <v>1385</v>
      </c>
      <c r="K79" s="101" t="s">
        <v>2446</v>
      </c>
    </row>
    <row r="80" ht="30" customHeight="1" spans="1:11">
      <c r="A80" s="101" t="s">
        <v>6339</v>
      </c>
      <c r="B80" s="101" t="s">
        <v>6209</v>
      </c>
      <c r="C80" s="101" t="s">
        <v>6211</v>
      </c>
      <c r="D80" s="101" t="s">
        <v>6340</v>
      </c>
      <c r="E80" s="102" t="s">
        <v>7</v>
      </c>
      <c r="F80" s="101" t="s">
        <v>6341</v>
      </c>
      <c r="G80" s="101" t="s">
        <v>428</v>
      </c>
      <c r="H80" s="101" t="s">
        <v>6342</v>
      </c>
      <c r="I80" s="101" t="s">
        <v>2557</v>
      </c>
      <c r="J80" s="102" t="s">
        <v>1385</v>
      </c>
      <c r="K80" s="101" t="s">
        <v>2446</v>
      </c>
    </row>
    <row r="81" ht="30" customHeight="1" spans="1:11">
      <c r="A81" s="101" t="s">
        <v>6343</v>
      </c>
      <c r="B81" s="101" t="s">
        <v>6209</v>
      </c>
      <c r="C81" s="101" t="s">
        <v>6211</v>
      </c>
      <c r="D81" s="101" t="s">
        <v>6340</v>
      </c>
      <c r="E81" s="102" t="s">
        <v>7</v>
      </c>
      <c r="F81" s="101" t="s">
        <v>6344</v>
      </c>
      <c r="G81" s="101" t="s">
        <v>6345</v>
      </c>
      <c r="H81" s="101" t="s">
        <v>6346</v>
      </c>
      <c r="I81" s="101" t="s">
        <v>6347</v>
      </c>
      <c r="J81" s="102" t="s">
        <v>1385</v>
      </c>
      <c r="K81" s="101" t="s">
        <v>2446</v>
      </c>
    </row>
    <row r="82" ht="30" customHeight="1" spans="1:11">
      <c r="A82" s="101" t="s">
        <v>6348</v>
      </c>
      <c r="B82" s="101" t="s">
        <v>6209</v>
      </c>
      <c r="C82" s="101" t="s">
        <v>6211</v>
      </c>
      <c r="D82" s="101" t="s">
        <v>6349</v>
      </c>
      <c r="E82" s="102" t="s">
        <v>7</v>
      </c>
      <c r="F82" s="101" t="s">
        <v>6350</v>
      </c>
      <c r="G82" s="101" t="s">
        <v>6351</v>
      </c>
      <c r="H82" s="101" t="s">
        <v>6352</v>
      </c>
      <c r="I82" s="101" t="s">
        <v>6353</v>
      </c>
      <c r="J82" s="102" t="s">
        <v>1385</v>
      </c>
      <c r="K82" s="101" t="s">
        <v>2446</v>
      </c>
    </row>
    <row r="83" spans="1:11">
      <c r="A83" s="98" t="s">
        <v>6354</v>
      </c>
      <c r="B83" s="99"/>
      <c r="C83" s="99"/>
      <c r="D83" s="99"/>
      <c r="E83" s="99"/>
      <c r="F83" s="99"/>
      <c r="G83" s="99"/>
      <c r="H83" s="99"/>
      <c r="I83" s="99"/>
      <c r="J83" s="99"/>
      <c r="K83" s="100"/>
    </row>
    <row r="84" ht="45" customHeight="1" spans="1:11">
      <c r="A84" s="101" t="s">
        <v>6355</v>
      </c>
      <c r="B84" s="101" t="s">
        <v>6354</v>
      </c>
      <c r="C84" s="101" t="s">
        <v>6356</v>
      </c>
      <c r="D84" s="101" t="s">
        <v>6357</v>
      </c>
      <c r="E84" s="102" t="s">
        <v>7</v>
      </c>
      <c r="F84" s="101" t="s">
        <v>6358</v>
      </c>
      <c r="G84" s="101" t="s">
        <v>428</v>
      </c>
      <c r="H84" s="101" t="s">
        <v>6359</v>
      </c>
      <c r="I84" s="101" t="s">
        <v>6360</v>
      </c>
      <c r="J84" s="102" t="s">
        <v>1385</v>
      </c>
      <c r="K84" s="101" t="s">
        <v>1386</v>
      </c>
    </row>
    <row r="85" ht="75" customHeight="1" spans="1:11">
      <c r="A85" s="101" t="s">
        <v>6361</v>
      </c>
      <c r="B85" s="101" t="s">
        <v>6354</v>
      </c>
      <c r="C85" s="101" t="s">
        <v>6356</v>
      </c>
      <c r="D85" s="101" t="s">
        <v>6362</v>
      </c>
      <c r="E85" s="102" t="s">
        <v>7</v>
      </c>
      <c r="F85" s="101" t="s">
        <v>6363</v>
      </c>
      <c r="G85" s="101" t="s">
        <v>428</v>
      </c>
      <c r="H85" s="101" t="s">
        <v>6364</v>
      </c>
      <c r="I85" s="101" t="s">
        <v>6365</v>
      </c>
      <c r="J85" s="102" t="s">
        <v>1385</v>
      </c>
      <c r="K85" s="101" t="s">
        <v>6366</v>
      </c>
    </row>
    <row r="86" ht="75" customHeight="1" spans="1:11">
      <c r="A86" s="101" t="s">
        <v>6367</v>
      </c>
      <c r="B86" s="101" t="s">
        <v>6354</v>
      </c>
      <c r="C86" s="101" t="s">
        <v>6356</v>
      </c>
      <c r="D86" s="101" t="s">
        <v>6368</v>
      </c>
      <c r="E86" s="102" t="s">
        <v>7</v>
      </c>
      <c r="F86" s="101" t="s">
        <v>6369</v>
      </c>
      <c r="G86" s="101" t="s">
        <v>428</v>
      </c>
      <c r="H86" s="101" t="s">
        <v>6370</v>
      </c>
      <c r="I86" s="101" t="s">
        <v>6371</v>
      </c>
      <c r="J86" s="102" t="s">
        <v>1385</v>
      </c>
      <c r="K86" s="101" t="s">
        <v>6372</v>
      </c>
    </row>
    <row r="87" ht="45" customHeight="1" spans="1:11">
      <c r="A87" s="101" t="s">
        <v>6373</v>
      </c>
      <c r="B87" s="101" t="s">
        <v>6354</v>
      </c>
      <c r="C87" s="101" t="s">
        <v>6356</v>
      </c>
      <c r="D87" s="101" t="s">
        <v>6357</v>
      </c>
      <c r="E87" s="102" t="s">
        <v>7</v>
      </c>
      <c r="F87" s="101" t="s">
        <v>6374</v>
      </c>
      <c r="G87" s="101" t="s">
        <v>428</v>
      </c>
      <c r="H87" s="101" t="s">
        <v>6375</v>
      </c>
      <c r="I87" s="101" t="s">
        <v>6376</v>
      </c>
      <c r="J87" s="102" t="s">
        <v>1385</v>
      </c>
      <c r="K87" s="101" t="s">
        <v>1386</v>
      </c>
    </row>
    <row r="88" ht="45" customHeight="1" spans="1:11">
      <c r="A88" s="101" t="s">
        <v>6377</v>
      </c>
      <c r="B88" s="101" t="s">
        <v>6354</v>
      </c>
      <c r="C88" s="101" t="s">
        <v>6356</v>
      </c>
      <c r="D88" s="101" t="s">
        <v>6378</v>
      </c>
      <c r="E88" s="102" t="s">
        <v>7</v>
      </c>
      <c r="F88" s="101" t="s">
        <v>6379</v>
      </c>
      <c r="G88" s="101" t="s">
        <v>428</v>
      </c>
      <c r="H88" s="101" t="s">
        <v>6380</v>
      </c>
      <c r="I88" s="101" t="s">
        <v>6381</v>
      </c>
      <c r="J88" s="102" t="s">
        <v>1385</v>
      </c>
      <c r="K88" s="101" t="s">
        <v>1386</v>
      </c>
    </row>
    <row r="89" spans="1:11">
      <c r="A89" s="98" t="s">
        <v>6382</v>
      </c>
      <c r="B89" s="99"/>
      <c r="C89" s="99"/>
      <c r="D89" s="99"/>
      <c r="E89" s="99"/>
      <c r="F89" s="99"/>
      <c r="G89" s="99"/>
      <c r="H89" s="99"/>
      <c r="I89" s="99"/>
      <c r="J89" s="99"/>
      <c r="K89" s="100"/>
    </row>
    <row r="90" ht="45" customHeight="1" spans="1:11">
      <c r="A90" s="101" t="s">
        <v>6383</v>
      </c>
      <c r="B90" s="101" t="s">
        <v>6382</v>
      </c>
      <c r="C90" s="101" t="s">
        <v>6356</v>
      </c>
      <c r="D90" s="101" t="s">
        <v>6384</v>
      </c>
      <c r="E90" s="102" t="s">
        <v>7</v>
      </c>
      <c r="F90" s="101" t="s">
        <v>6385</v>
      </c>
      <c r="G90" s="101" t="s">
        <v>6386</v>
      </c>
      <c r="H90" s="101" t="s">
        <v>6387</v>
      </c>
      <c r="I90" s="101" t="s">
        <v>6388</v>
      </c>
      <c r="J90" s="102" t="s">
        <v>1385</v>
      </c>
      <c r="K90" s="101" t="s">
        <v>6389</v>
      </c>
    </row>
    <row r="91" ht="45" customHeight="1" spans="1:11">
      <c r="A91" s="101" t="s">
        <v>6390</v>
      </c>
      <c r="B91" s="101" t="s">
        <v>6382</v>
      </c>
      <c r="C91" s="101" t="s">
        <v>6356</v>
      </c>
      <c r="D91" s="101" t="s">
        <v>6384</v>
      </c>
      <c r="E91" s="102" t="s">
        <v>7</v>
      </c>
      <c r="F91" s="101" t="s">
        <v>6391</v>
      </c>
      <c r="G91" s="101" t="s">
        <v>6386</v>
      </c>
      <c r="H91" s="101" t="s">
        <v>6392</v>
      </c>
      <c r="I91" s="101" t="s">
        <v>6393</v>
      </c>
      <c r="J91" s="102" t="s">
        <v>1385</v>
      </c>
      <c r="K91" s="101" t="s">
        <v>6389</v>
      </c>
    </row>
    <row r="92" ht="45" customHeight="1" spans="1:11">
      <c r="A92" s="101" t="s">
        <v>6394</v>
      </c>
      <c r="B92" s="101" t="s">
        <v>6382</v>
      </c>
      <c r="C92" s="101" t="s">
        <v>6356</v>
      </c>
      <c r="D92" s="101" t="s">
        <v>6384</v>
      </c>
      <c r="E92" s="102" t="s">
        <v>7</v>
      </c>
      <c r="F92" s="101" t="s">
        <v>6395</v>
      </c>
      <c r="G92" s="101" t="s">
        <v>6386</v>
      </c>
      <c r="H92" s="101" t="s">
        <v>6396</v>
      </c>
      <c r="I92" s="101" t="s">
        <v>6397</v>
      </c>
      <c r="J92" s="102" t="s">
        <v>1385</v>
      </c>
      <c r="K92" s="101" t="s">
        <v>6389</v>
      </c>
    </row>
    <row r="93" ht="45" customHeight="1" spans="1:11">
      <c r="A93" s="101" t="s">
        <v>6398</v>
      </c>
      <c r="B93" s="101" t="s">
        <v>6382</v>
      </c>
      <c r="C93" s="101" t="s">
        <v>6356</v>
      </c>
      <c r="D93" s="101" t="s">
        <v>6384</v>
      </c>
      <c r="E93" s="102" t="s">
        <v>7</v>
      </c>
      <c r="F93" s="101" t="s">
        <v>6399</v>
      </c>
      <c r="G93" s="101" t="s">
        <v>6400</v>
      </c>
      <c r="H93" s="101" t="s">
        <v>6401</v>
      </c>
      <c r="I93" s="101" t="s">
        <v>6402</v>
      </c>
      <c r="J93" s="102" t="s">
        <v>1385</v>
      </c>
      <c r="K93" s="101" t="s">
        <v>6389</v>
      </c>
    </row>
    <row r="94" spans="1:11">
      <c r="A94" s="98" t="s">
        <v>6403</v>
      </c>
      <c r="B94" s="99"/>
      <c r="C94" s="99"/>
      <c r="D94" s="99"/>
      <c r="E94" s="99"/>
      <c r="F94" s="99"/>
      <c r="G94" s="99"/>
      <c r="H94" s="99"/>
      <c r="I94" s="99"/>
      <c r="J94" s="99"/>
      <c r="K94" s="100"/>
    </row>
    <row r="95" ht="60" customHeight="1" spans="1:11">
      <c r="A95" s="101" t="s">
        <v>6404</v>
      </c>
      <c r="B95" s="101" t="s">
        <v>6403</v>
      </c>
      <c r="C95" s="101" t="s">
        <v>6356</v>
      </c>
      <c r="D95" s="101" t="s">
        <v>6405</v>
      </c>
      <c r="E95" s="102" t="s">
        <v>7</v>
      </c>
      <c r="F95" s="101" t="s">
        <v>6406</v>
      </c>
      <c r="G95" s="101" t="s">
        <v>6407</v>
      </c>
      <c r="H95" s="101" t="s">
        <v>6408</v>
      </c>
      <c r="I95" s="101" t="s">
        <v>6409</v>
      </c>
      <c r="J95" s="102" t="s">
        <v>1385</v>
      </c>
      <c r="K95" s="101" t="s">
        <v>6389</v>
      </c>
    </row>
    <row r="96" ht="45" customHeight="1" spans="1:11">
      <c r="A96" s="101" t="s">
        <v>6410</v>
      </c>
      <c r="B96" s="101" t="s">
        <v>6403</v>
      </c>
      <c r="C96" s="101" t="s">
        <v>6356</v>
      </c>
      <c r="D96" s="101" t="s">
        <v>6405</v>
      </c>
      <c r="E96" s="102" t="s">
        <v>7</v>
      </c>
      <c r="F96" s="101" t="s">
        <v>6411</v>
      </c>
      <c r="G96" s="101" t="s">
        <v>6412</v>
      </c>
      <c r="H96" s="101" t="s">
        <v>6413</v>
      </c>
      <c r="I96" s="101" t="s">
        <v>6414</v>
      </c>
      <c r="J96" s="102" t="s">
        <v>1385</v>
      </c>
      <c r="K96" s="101" t="s">
        <v>6389</v>
      </c>
    </row>
    <row r="97" spans="1:11">
      <c r="A97" s="98" t="s">
        <v>6354</v>
      </c>
      <c r="B97" s="99"/>
      <c r="C97" s="99"/>
      <c r="D97" s="99"/>
      <c r="E97" s="99"/>
      <c r="F97" s="99"/>
      <c r="G97" s="99"/>
      <c r="H97" s="99"/>
      <c r="I97" s="99"/>
      <c r="J97" s="99"/>
      <c r="K97" s="100"/>
    </row>
    <row r="98" ht="45" customHeight="1" spans="1:11">
      <c r="A98" s="101" t="s">
        <v>6415</v>
      </c>
      <c r="B98" s="101" t="s">
        <v>6354</v>
      </c>
      <c r="C98" s="101" t="s">
        <v>6416</v>
      </c>
      <c r="D98" s="101" t="s">
        <v>6378</v>
      </c>
      <c r="E98" s="102" t="s">
        <v>7</v>
      </c>
      <c r="F98" s="101" t="s">
        <v>6417</v>
      </c>
      <c r="G98" s="101" t="s">
        <v>428</v>
      </c>
      <c r="H98" s="101" t="s">
        <v>6418</v>
      </c>
      <c r="I98" s="101" t="s">
        <v>6419</v>
      </c>
      <c r="J98" s="102" t="s">
        <v>1508</v>
      </c>
      <c r="K98" s="101" t="s">
        <v>1386</v>
      </c>
    </row>
    <row r="99" ht="45" customHeight="1" spans="1:11">
      <c r="A99" s="101" t="s">
        <v>6420</v>
      </c>
      <c r="B99" s="101" t="s">
        <v>6354</v>
      </c>
      <c r="C99" s="101" t="s">
        <v>6416</v>
      </c>
      <c r="D99" s="101" t="s">
        <v>6368</v>
      </c>
      <c r="E99" s="102" t="s">
        <v>7</v>
      </c>
      <c r="F99" s="101" t="s">
        <v>6421</v>
      </c>
      <c r="G99" s="101" t="s">
        <v>428</v>
      </c>
      <c r="H99" s="101" t="s">
        <v>6422</v>
      </c>
      <c r="I99" s="101" t="s">
        <v>6423</v>
      </c>
      <c r="J99" s="102" t="s">
        <v>1508</v>
      </c>
      <c r="K99" s="101" t="s">
        <v>1386</v>
      </c>
    </row>
    <row r="101" spans="1:11">
      <c r="A101" s="80" t="s">
        <v>1526</v>
      </c>
      <c r="B101" s="103">
        <f>COUNTIF(J50:J99,"PASS")+COUNTIF(J50:J99,"FAIL")</f>
        <v>39</v>
      </c>
    </row>
    <row r="102" spans="1:11">
      <c r="A102" s="80" t="s">
        <v>1385</v>
      </c>
      <c r="B102" s="103">
        <f>COUNTIF(J50:J99,"PASS")</f>
        <v>36</v>
      </c>
    </row>
    <row r="103" spans="1:11">
      <c r="A103" s="80" t="s">
        <v>1508</v>
      </c>
      <c r="B103" s="103">
        <f>COUNTIF(J50:J99,"FAIL")</f>
        <v>3</v>
      </c>
    </row>
    <row r="104" spans="1:11">
      <c r="A104" s="80" t="s">
        <v>1527</v>
      </c>
      <c r="B104" s="104">
        <f>IFERROR(B102/B101,0)</f>
        <v>0.923076923076923</v>
      </c>
    </row>
    <row r="106" spans="1:11">
      <c r="A106" s="105" t="s">
        <v>1528</v>
      </c>
      <c r="B106" s="16"/>
      <c r="C106" s="16"/>
      <c r="D106" s="16"/>
      <c r="E106" s="16"/>
      <c r="F106" s="16"/>
      <c r="G106" s="16"/>
      <c r="H106" s="16"/>
      <c r="I106" s="16"/>
      <c r="J106" s="16"/>
      <c r="K106" s="17"/>
    </row>
    <row r="107" ht="16.5" spans="1:11">
      <c r="A107" s="106" t="s">
        <v>1368</v>
      </c>
      <c r="B107" s="106" t="s">
        <v>1529</v>
      </c>
      <c r="C107" s="16"/>
      <c r="D107" s="16"/>
      <c r="E107" s="16"/>
      <c r="F107" s="16"/>
      <c r="G107" s="16"/>
      <c r="H107" s="17"/>
      <c r="I107" s="106" t="s">
        <v>1530</v>
      </c>
      <c r="J107" s="16"/>
      <c r="K107" s="17"/>
    </row>
    <row r="108" ht="30" customHeight="1" spans="1:11">
      <c r="A108" s="101" t="s">
        <v>6313</v>
      </c>
      <c r="B108" s="101" t="s">
        <v>6424</v>
      </c>
      <c r="C108" s="99"/>
      <c r="D108" s="99"/>
      <c r="E108" s="99"/>
      <c r="F108" s="99"/>
      <c r="G108" s="99"/>
      <c r="H108" s="100"/>
      <c r="I108" s="101" t="s">
        <v>6425</v>
      </c>
      <c r="J108" s="99"/>
      <c r="K108" s="100"/>
    </row>
    <row r="109" ht="30" customHeight="1" spans="1:11">
      <c r="A109" s="101" t="s">
        <v>6415</v>
      </c>
      <c r="B109" s="101" t="s">
        <v>6426</v>
      </c>
      <c r="C109" s="99"/>
      <c r="D109" s="99"/>
      <c r="E109" s="99"/>
      <c r="F109" s="99"/>
      <c r="G109" s="99"/>
      <c r="H109" s="100"/>
      <c r="I109" s="101" t="s">
        <v>6427</v>
      </c>
      <c r="J109" s="99"/>
      <c r="K109" s="100"/>
    </row>
    <row r="110" customHeight="1" spans="1:11">
      <c r="A110" s="101" t="s">
        <v>6420</v>
      </c>
      <c r="B110" s="101" t="s">
        <v>6428</v>
      </c>
      <c r="C110" s="99"/>
      <c r="D110" s="99"/>
      <c r="E110" s="99"/>
      <c r="F110" s="99"/>
      <c r="G110" s="99"/>
      <c r="H110" s="100"/>
      <c r="I110" s="101" t="s">
        <v>6429</v>
      </c>
      <c r="J110" s="99"/>
      <c r="K110" s="100"/>
    </row>
  </sheetData>
  <mergeCells count="57">
    <mergeCell ref="A1:E1"/>
    <mergeCell ref="A2:E2"/>
    <mergeCell ref="A3:B3"/>
    <mergeCell ref="C3:E3"/>
    <mergeCell ref="A4:B4"/>
    <mergeCell ref="C4:E4"/>
    <mergeCell ref="A5:B5"/>
    <mergeCell ref="C5:E5"/>
    <mergeCell ref="A6:B6"/>
    <mergeCell ref="C6:E6"/>
    <mergeCell ref="A7:B7"/>
    <mergeCell ref="C7:E7"/>
    <mergeCell ref="A8:B8"/>
    <mergeCell ref="C8:E8"/>
    <mergeCell ref="A10:E10"/>
    <mergeCell ref="A11:E11"/>
    <mergeCell ref="C12:D12"/>
    <mergeCell ref="C13:D13"/>
    <mergeCell ref="C14:D14"/>
    <mergeCell ref="C15:D15"/>
    <mergeCell ref="C16:D16"/>
    <mergeCell ref="C17:D17"/>
    <mergeCell ref="C18:D18"/>
    <mergeCell ref="A20:E20"/>
    <mergeCell ref="C21:E21"/>
    <mergeCell ref="C22:E22"/>
    <mergeCell ref="C23:E23"/>
    <mergeCell ref="A25:E25"/>
    <mergeCell ref="C26:E26"/>
    <mergeCell ref="C27:E27"/>
    <mergeCell ref="C28:E28"/>
    <mergeCell ref="C29:E29"/>
    <mergeCell ref="C30:E30"/>
    <mergeCell ref="A32:E32"/>
    <mergeCell ref="A43:E43"/>
    <mergeCell ref="A45:E45"/>
    <mergeCell ref="A48:K48"/>
    <mergeCell ref="A50:K50"/>
    <mergeCell ref="A59:K59"/>
    <mergeCell ref="A62:K62"/>
    <mergeCell ref="A64:K64"/>
    <mergeCell ref="A67:K67"/>
    <mergeCell ref="A71:K71"/>
    <mergeCell ref="A73:K73"/>
    <mergeCell ref="A83:K83"/>
    <mergeCell ref="A89:K89"/>
    <mergeCell ref="A94:K94"/>
    <mergeCell ref="A97:K97"/>
    <mergeCell ref="A106:K106"/>
    <mergeCell ref="B107:H107"/>
    <mergeCell ref="I107:K107"/>
    <mergeCell ref="B108:H108"/>
    <mergeCell ref="I108:K108"/>
    <mergeCell ref="B109:H109"/>
    <mergeCell ref="I109:K109"/>
    <mergeCell ref="B110:H110"/>
    <mergeCell ref="I110:K110"/>
  </mergeCells>
  <conditionalFormatting sqref="J50:J99">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workbookViewId="0">
      <pane xSplit="1" ySplit="12" topLeftCell="B13" activePane="bottomRight" state="frozen"/>
      <selection/>
      <selection pane="topRight"/>
      <selection pane="bottomLeft"/>
      <selection pane="bottomRight" activeCell="A1" sqref="A1:J1"/>
    </sheetView>
  </sheetViews>
  <sheetFormatPr defaultColWidth="9" defaultRowHeight="15"/>
  <cols>
    <col min="1" max="1" width="15" customWidth="1"/>
    <col min="2" max="2" width="34" customWidth="1"/>
    <col min="3" max="3" width="9" customWidth="1"/>
    <col min="4" max="4" width="34" customWidth="1"/>
    <col min="5" max="5" width="24" customWidth="1"/>
    <col min="6" max="6" width="34" customWidth="1"/>
    <col min="7" max="7" width="30" customWidth="1"/>
    <col min="8" max="8" width="38" customWidth="1"/>
    <col min="9" max="9" width="11" customWidth="1"/>
    <col min="10" max="10" width="34" customWidth="1"/>
  </cols>
  <sheetData>
    <row r="1" ht="20.25" spans="1:10">
      <c r="A1" s="61" t="s">
        <v>1539</v>
      </c>
    </row>
    <row r="3" spans="1:10">
      <c r="A3" s="62" t="s">
        <v>1008</v>
      </c>
      <c r="B3" s="63" t="s">
        <v>227</v>
      </c>
      <c r="D3" s="62" t="s">
        <v>1540</v>
      </c>
      <c r="E3" s="63" t="s">
        <v>7</v>
      </c>
    </row>
    <row r="4" ht="30" spans="1:10">
      <c r="A4" s="62" t="s">
        <v>1541</v>
      </c>
      <c r="B4" s="64" t="s">
        <v>1542</v>
      </c>
      <c r="D4" s="62" t="s">
        <v>1543</v>
      </c>
      <c r="E4" s="63" t="s">
        <v>233</v>
      </c>
    </row>
    <row r="5" ht="30" spans="1:10">
      <c r="A5" s="62" t="s">
        <v>1544</v>
      </c>
      <c r="B5" s="63" t="s">
        <v>1545</v>
      </c>
      <c r="D5" s="62" t="s">
        <v>1546</v>
      </c>
      <c r="E5" s="64" t="s">
        <v>52</v>
      </c>
    </row>
    <row r="6" ht="45" spans="1:10">
      <c r="A6" s="62" t="s">
        <v>1547</v>
      </c>
      <c r="B6" s="63" t="s">
        <v>1548</v>
      </c>
      <c r="D6" s="62" t="s">
        <v>1549</v>
      </c>
      <c r="E6" s="64" t="s">
        <v>1550</v>
      </c>
    </row>
    <row r="8" ht="15.75" spans="1:10">
      <c r="A8" s="65" t="s">
        <v>1551</v>
      </c>
      <c r="B8" s="66"/>
      <c r="C8" s="66"/>
      <c r="D8" s="66"/>
      <c r="E8" s="66"/>
    </row>
    <row r="9" ht="28.5" spans="1:10">
      <c r="A9" s="67" t="s">
        <v>1552</v>
      </c>
      <c r="B9" s="67" t="s">
        <v>1553</v>
      </c>
      <c r="C9" s="67" t="s">
        <v>1554</v>
      </c>
      <c r="D9" s="67" t="s">
        <v>1555</v>
      </c>
      <c r="E9" s="67" t="s">
        <v>1556</v>
      </c>
    </row>
    <row r="10" spans="1:10">
      <c r="A10" s="68">
        <f>COUNTIF(I13:I26,"Pass")+COUNTIF(I13:I26,"Fail")</f>
        <v>11</v>
      </c>
      <c r="B10" s="68">
        <f>COUNTIF(I13:I26,"Pass")</f>
        <v>11</v>
      </c>
      <c r="C10" s="68">
        <f>COUNTIF(I13:I26,"Fail")</f>
        <v>0</v>
      </c>
      <c r="D10" s="69">
        <f>IFERROR(B10/A10,0)</f>
        <v>1</v>
      </c>
      <c r="E10" s="69">
        <f>IFERROR(C10/A10,0)</f>
        <v>0</v>
      </c>
    </row>
    <row r="12" ht="28.5" spans="1:10">
      <c r="A12" s="70" t="s">
        <v>1368</v>
      </c>
      <c r="B12" s="70" t="s">
        <v>1557</v>
      </c>
      <c r="C12" s="70" t="s">
        <v>1558</v>
      </c>
      <c r="D12" s="70" t="s">
        <v>1559</v>
      </c>
      <c r="E12" s="70" t="s">
        <v>1560</v>
      </c>
      <c r="F12" s="70" t="s">
        <v>1561</v>
      </c>
      <c r="G12" s="70" t="s">
        <v>1562</v>
      </c>
      <c r="H12" s="70" t="s">
        <v>1563</v>
      </c>
      <c r="I12" s="70" t="s">
        <v>1564</v>
      </c>
      <c r="J12" s="70" t="s">
        <v>1565</v>
      </c>
    </row>
    <row r="13" ht="15.75" spans="1:10">
      <c r="A13" s="71" t="s">
        <v>6430</v>
      </c>
      <c r="B13" s="48"/>
      <c r="C13" s="48"/>
      <c r="D13" s="48"/>
      <c r="E13" s="48"/>
      <c r="F13" s="48"/>
      <c r="G13" s="48"/>
      <c r="H13" s="48"/>
      <c r="I13" s="48"/>
      <c r="J13" s="32"/>
    </row>
    <row r="14" ht="105" customHeight="1" spans="1:10">
      <c r="A14" s="72" t="s">
        <v>6431</v>
      </c>
      <c r="B14" s="72" t="s">
        <v>6432</v>
      </c>
      <c r="C14" s="73" t="s">
        <v>1569</v>
      </c>
      <c r="D14" s="72" t="s">
        <v>6433</v>
      </c>
      <c r="E14" s="72" t="s">
        <v>1595</v>
      </c>
      <c r="F14" s="72" t="s">
        <v>6434</v>
      </c>
      <c r="G14" s="72" t="s">
        <v>6435</v>
      </c>
      <c r="H14" s="72" t="s">
        <v>6436</v>
      </c>
      <c r="I14" s="73" t="s">
        <v>1129</v>
      </c>
      <c r="J14" s="72" t="s">
        <v>7</v>
      </c>
    </row>
    <row r="15" ht="135" customHeight="1" spans="1:10">
      <c r="A15" s="72" t="s">
        <v>6437</v>
      </c>
      <c r="B15" s="72" t="s">
        <v>6432</v>
      </c>
      <c r="C15" s="73" t="s">
        <v>1569</v>
      </c>
      <c r="D15" s="72" t="s">
        <v>6438</v>
      </c>
      <c r="E15" s="72" t="s">
        <v>1571</v>
      </c>
      <c r="F15" s="72" t="s">
        <v>6439</v>
      </c>
      <c r="G15" s="72" t="s">
        <v>2557</v>
      </c>
      <c r="H15" s="72" t="s">
        <v>6440</v>
      </c>
      <c r="I15" s="73" t="s">
        <v>1129</v>
      </c>
      <c r="J15" s="72" t="s">
        <v>7</v>
      </c>
    </row>
    <row r="16" ht="150" customHeight="1" spans="1:10">
      <c r="A16" s="72" t="s">
        <v>6441</v>
      </c>
      <c r="B16" s="72" t="s">
        <v>6432</v>
      </c>
      <c r="C16" s="73" t="s">
        <v>1569</v>
      </c>
      <c r="D16" s="72" t="s">
        <v>6442</v>
      </c>
      <c r="E16" s="72" t="s">
        <v>1571</v>
      </c>
      <c r="F16" s="72" t="s">
        <v>6443</v>
      </c>
      <c r="G16" s="72" t="s">
        <v>2557</v>
      </c>
      <c r="H16" s="72" t="s">
        <v>6444</v>
      </c>
      <c r="I16" s="73" t="s">
        <v>1129</v>
      </c>
      <c r="J16" s="72" t="s">
        <v>7</v>
      </c>
    </row>
    <row r="17" ht="300" customHeight="1" spans="1:10">
      <c r="A17" s="72" t="s">
        <v>6445</v>
      </c>
      <c r="B17" s="72" t="s">
        <v>6432</v>
      </c>
      <c r="C17" s="73" t="s">
        <v>1569</v>
      </c>
      <c r="D17" s="72" t="s">
        <v>6446</v>
      </c>
      <c r="E17" s="72" t="s">
        <v>1571</v>
      </c>
      <c r="F17" s="72" t="s">
        <v>6447</v>
      </c>
      <c r="G17" s="72" t="s">
        <v>2557</v>
      </c>
      <c r="H17" s="72" t="s">
        <v>6448</v>
      </c>
      <c r="I17" s="73" t="s">
        <v>1129</v>
      </c>
      <c r="J17" s="72" t="s">
        <v>7</v>
      </c>
    </row>
    <row r="18" ht="105" customHeight="1" spans="1:10">
      <c r="A18" s="72" t="s">
        <v>6449</v>
      </c>
      <c r="B18" s="72" t="s">
        <v>6432</v>
      </c>
      <c r="C18" s="73" t="s">
        <v>1569</v>
      </c>
      <c r="D18" s="72" t="s">
        <v>6450</v>
      </c>
      <c r="E18" s="72" t="s">
        <v>1571</v>
      </c>
      <c r="F18" s="72" t="s">
        <v>6451</v>
      </c>
      <c r="G18" s="72" t="s">
        <v>2557</v>
      </c>
      <c r="H18" s="72" t="s">
        <v>6452</v>
      </c>
      <c r="I18" s="73" t="s">
        <v>1129</v>
      </c>
      <c r="J18" s="72" t="s">
        <v>7</v>
      </c>
    </row>
    <row r="19" ht="15.75" spans="1:10">
      <c r="A19" s="71" t="s">
        <v>6453</v>
      </c>
      <c r="B19" s="48"/>
      <c r="C19" s="48"/>
      <c r="D19" s="48"/>
      <c r="E19" s="48"/>
      <c r="F19" s="48"/>
      <c r="G19" s="48"/>
      <c r="H19" s="48"/>
      <c r="I19" s="48"/>
      <c r="J19" s="32"/>
    </row>
    <row r="20" ht="105" customHeight="1" spans="1:10">
      <c r="A20" s="72" t="s">
        <v>6454</v>
      </c>
      <c r="B20" s="72" t="s">
        <v>6455</v>
      </c>
      <c r="C20" s="73" t="s">
        <v>1585</v>
      </c>
      <c r="D20" s="72" t="s">
        <v>6456</v>
      </c>
      <c r="E20" s="72" t="s">
        <v>1595</v>
      </c>
      <c r="F20" s="72" t="s">
        <v>1588</v>
      </c>
      <c r="G20" s="72" t="s">
        <v>6457</v>
      </c>
      <c r="H20" s="72" t="s">
        <v>6458</v>
      </c>
      <c r="I20" s="73" t="s">
        <v>1129</v>
      </c>
      <c r="J20" s="72" t="s">
        <v>7</v>
      </c>
    </row>
    <row r="21" ht="105" customHeight="1" spans="1:10">
      <c r="A21" s="72" t="s">
        <v>6459</v>
      </c>
      <c r="B21" s="72" t="s">
        <v>6460</v>
      </c>
      <c r="C21" s="73" t="s">
        <v>1585</v>
      </c>
      <c r="D21" s="72" t="s">
        <v>6461</v>
      </c>
      <c r="E21" s="72" t="s">
        <v>6462</v>
      </c>
      <c r="F21" s="72" t="s">
        <v>1588</v>
      </c>
      <c r="G21" s="72" t="s">
        <v>6463</v>
      </c>
      <c r="H21" s="72" t="s">
        <v>6464</v>
      </c>
      <c r="I21" s="73" t="s">
        <v>1129</v>
      </c>
      <c r="J21" s="72" t="s">
        <v>7</v>
      </c>
    </row>
    <row r="22" ht="105" customHeight="1" spans="1:10">
      <c r="A22" s="72" t="s">
        <v>6465</v>
      </c>
      <c r="B22" s="72" t="s">
        <v>6466</v>
      </c>
      <c r="C22" s="73" t="s">
        <v>1585</v>
      </c>
      <c r="D22" s="72" t="s">
        <v>6467</v>
      </c>
      <c r="E22" s="72" t="s">
        <v>1571</v>
      </c>
      <c r="F22" s="72" t="s">
        <v>1588</v>
      </c>
      <c r="G22" s="72" t="s">
        <v>2557</v>
      </c>
      <c r="H22" s="72" t="s">
        <v>6468</v>
      </c>
      <c r="I22" s="73" t="s">
        <v>1129</v>
      </c>
      <c r="J22" s="72" t="s">
        <v>7</v>
      </c>
    </row>
    <row r="23" ht="60" customHeight="1" spans="1:10">
      <c r="A23" s="72" t="s">
        <v>6469</v>
      </c>
      <c r="B23" s="72" t="s">
        <v>6470</v>
      </c>
      <c r="C23" s="73" t="s">
        <v>1585</v>
      </c>
      <c r="D23" s="72" t="s">
        <v>6471</v>
      </c>
      <c r="E23" s="72" t="s">
        <v>1595</v>
      </c>
      <c r="F23" s="72" t="s">
        <v>1588</v>
      </c>
      <c r="G23" s="72" t="s">
        <v>2557</v>
      </c>
      <c r="H23" s="72" t="s">
        <v>6472</v>
      </c>
      <c r="I23" s="73" t="s">
        <v>1129</v>
      </c>
      <c r="J23" s="72" t="s">
        <v>7</v>
      </c>
    </row>
    <row r="24" ht="105" customHeight="1" spans="1:10">
      <c r="A24" s="72" t="s">
        <v>6473</v>
      </c>
      <c r="B24" s="72" t="s">
        <v>6474</v>
      </c>
      <c r="C24" s="73" t="s">
        <v>1585</v>
      </c>
      <c r="D24" s="72" t="s">
        <v>6475</v>
      </c>
      <c r="E24" s="72" t="s">
        <v>1595</v>
      </c>
      <c r="F24" s="72" t="s">
        <v>1588</v>
      </c>
      <c r="G24" s="72" t="s">
        <v>6476</v>
      </c>
      <c r="H24" s="72" t="s">
        <v>6477</v>
      </c>
      <c r="I24" s="73" t="s">
        <v>1129</v>
      </c>
      <c r="J24" s="72" t="s">
        <v>7</v>
      </c>
    </row>
    <row r="25" ht="15.75" spans="1:10">
      <c r="A25" s="71" t="s">
        <v>6430</v>
      </c>
      <c r="B25" s="48"/>
      <c r="C25" s="48"/>
      <c r="D25" s="48"/>
      <c r="E25" s="48"/>
      <c r="F25" s="48"/>
      <c r="G25" s="48"/>
      <c r="H25" s="48"/>
      <c r="I25" s="48"/>
      <c r="J25" s="32"/>
    </row>
    <row r="26" ht="105" customHeight="1" spans="1:10">
      <c r="A26" s="72" t="s">
        <v>6478</v>
      </c>
      <c r="B26" s="72" t="s">
        <v>2620</v>
      </c>
      <c r="C26" s="73" t="s">
        <v>1585</v>
      </c>
      <c r="D26" s="72" t="s">
        <v>6479</v>
      </c>
      <c r="E26" s="72" t="s">
        <v>6480</v>
      </c>
      <c r="F26" s="72" t="s">
        <v>1588</v>
      </c>
      <c r="G26" s="72" t="s">
        <v>6481</v>
      </c>
      <c r="H26" s="72" t="s">
        <v>6482</v>
      </c>
      <c r="I26" s="73" t="s">
        <v>1129</v>
      </c>
      <c r="J26" s="72" t="s">
        <v>7</v>
      </c>
    </row>
  </sheetData>
  <mergeCells count="5">
    <mergeCell ref="A1:J1"/>
    <mergeCell ref="A8:E8"/>
    <mergeCell ref="A13:J13"/>
    <mergeCell ref="A19:J19"/>
    <mergeCell ref="A25:J25"/>
  </mergeCells>
  <conditionalFormatting sqref="I13:I26">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0"/>
  <sheetViews>
    <sheetView workbookViewId="0">
      <selection activeCell="A1" sqref="A1:K1"/>
    </sheetView>
  </sheetViews>
  <sheetFormatPr defaultColWidth="9" defaultRowHeight="15"/>
  <cols>
    <col min="1" max="1" width="7" customWidth="1"/>
    <col min="2" max="2" width="12" customWidth="1"/>
    <col min="3" max="3" width="30" customWidth="1"/>
    <col min="4" max="4" width="20" customWidth="1"/>
    <col min="5" max="5" width="36" customWidth="1"/>
    <col min="6" max="9" width="18" customWidth="1"/>
    <col min="10" max="10" width="10" customWidth="1"/>
    <col min="11" max="11" width="26" customWidth="1"/>
  </cols>
  <sheetData>
    <row r="1" ht="20.25" spans="1:11">
      <c r="A1" s="20" t="s">
        <v>1749</v>
      </c>
    </row>
    <row r="3" ht="28.5" spans="1:11">
      <c r="A3" s="49" t="s">
        <v>1008</v>
      </c>
      <c r="B3" s="49" t="s">
        <v>227</v>
      </c>
      <c r="D3" s="49" t="s">
        <v>1540</v>
      </c>
      <c r="E3" s="49" t="s">
        <v>7</v>
      </c>
    </row>
    <row r="4" ht="42.75" spans="1:11">
      <c r="A4" s="49" t="s">
        <v>1750</v>
      </c>
      <c r="B4" s="50" t="s">
        <v>6483</v>
      </c>
      <c r="D4" s="49" t="s">
        <v>1752</v>
      </c>
      <c r="E4" s="49" t="s">
        <v>1753</v>
      </c>
    </row>
    <row r="5" ht="42.75" spans="1:11">
      <c r="A5" s="49" t="s">
        <v>1754</v>
      </c>
      <c r="B5" s="49" t="s">
        <v>1755</v>
      </c>
      <c r="D5" s="49" t="s">
        <v>1543</v>
      </c>
      <c r="E5" s="49" t="s">
        <v>233</v>
      </c>
    </row>
    <row r="7" ht="15.75" spans="1:11">
      <c r="A7" s="51" t="s">
        <v>1756</v>
      </c>
    </row>
    <row r="8" spans="1:11">
      <c r="A8" s="52" t="s">
        <v>1757</v>
      </c>
      <c r="B8" s="32"/>
      <c r="C8" s="52" t="s">
        <v>1758</v>
      </c>
      <c r="D8" s="52" t="s">
        <v>1553</v>
      </c>
      <c r="E8" s="52" t="s">
        <v>1554</v>
      </c>
      <c r="F8" s="52" t="s">
        <v>1759</v>
      </c>
      <c r="G8" s="52" t="s">
        <v>1760</v>
      </c>
      <c r="H8" s="48"/>
      <c r="I8" s="48"/>
      <c r="J8" s="48"/>
      <c r="K8" s="32"/>
    </row>
    <row r="9" ht="32" customHeight="1" spans="1:11">
      <c r="A9" s="53" t="s">
        <v>1761</v>
      </c>
      <c r="B9" s="54"/>
      <c r="C9" s="55">
        <f>COUNTIF($B$15:$B$90,"Unit Test")-COUNTIFS($B$15:$B$90,"Unit Test",$J$15:$J$90,"Pending")</f>
        <v>39</v>
      </c>
      <c r="D9" s="55">
        <f>COUNTIFS($B$15:$B$90,"Unit Test",$J$15:$J$90,"Pass")</f>
        <v>36</v>
      </c>
      <c r="E9" s="55">
        <f>COUNTIFS($B$15:$B$90,"Unit Test",$J$15:$J$90,"Fail")</f>
        <v>3</v>
      </c>
      <c r="F9" s="56">
        <f>IFERROR(D9/C9,0)</f>
        <v>0.923076923076923</v>
      </c>
      <c r="G9" s="57" t="s">
        <v>6162</v>
      </c>
      <c r="H9" s="48"/>
      <c r="I9" s="48"/>
      <c r="J9" s="48"/>
      <c r="K9" s="32"/>
    </row>
    <row r="10" ht="32" customHeight="1" spans="1:11">
      <c r="A10" s="53" t="s">
        <v>1762</v>
      </c>
      <c r="B10" s="54"/>
      <c r="C10" s="55">
        <f>COUNTIF($B$15:$B$90,"API Test")-COUNTIFS($B$15:$B$90,"API Test",$J$15:$J$90,"Pending")</f>
        <v>11</v>
      </c>
      <c r="D10" s="55">
        <f>COUNTIFS($B$15:$B$90,"API Test",$J$15:$J$90,"Pass")</f>
        <v>11</v>
      </c>
      <c r="E10" s="55">
        <f>COUNTIFS($B$15:$B$90,"API Test",$J$15:$J$90,"Fail")</f>
        <v>0</v>
      </c>
      <c r="F10" s="56">
        <f>IFERROR(D10/C10,0)</f>
        <v>1</v>
      </c>
      <c r="G10" s="57" t="s">
        <v>1763</v>
      </c>
      <c r="H10" s="48"/>
      <c r="I10" s="48"/>
      <c r="J10" s="48"/>
      <c r="K10" s="32"/>
    </row>
    <row r="11" ht="32" customHeight="1" spans="1:11">
      <c r="A11" s="53" t="s">
        <v>1764</v>
      </c>
      <c r="B11" s="54"/>
      <c r="C11" s="55">
        <f>COUNTIF($B$15:$B$90,"UI Test")-COUNTIFS($B$15:$B$90,"UI Test",$J$15:$J$90,"Pending")</f>
        <v>23</v>
      </c>
      <c r="D11" s="55">
        <f>COUNTIFS($B$15:$B$90,"UI Test",$J$15:$J$90,"Pass")</f>
        <v>20</v>
      </c>
      <c r="E11" s="55">
        <f>COUNTIFS($B$15:$B$90,"UI Test",$J$15:$J$90,"Fail")</f>
        <v>3</v>
      </c>
      <c r="F11" s="56">
        <f>IFERROR(D11/C11,0)</f>
        <v>0.869565217391304</v>
      </c>
      <c r="G11" s="57" t="s">
        <v>6484</v>
      </c>
      <c r="H11" s="48"/>
      <c r="I11" s="48"/>
      <c r="J11" s="48"/>
      <c r="K11" s="32"/>
    </row>
    <row r="13" ht="28.5" spans="1:11">
      <c r="A13" s="25" t="s">
        <v>211</v>
      </c>
      <c r="B13" s="25" t="s">
        <v>1757</v>
      </c>
      <c r="C13" s="25" t="s">
        <v>1766</v>
      </c>
      <c r="D13" s="25" t="s">
        <v>1767</v>
      </c>
      <c r="E13" s="25" t="s">
        <v>1559</v>
      </c>
      <c r="F13" s="25" t="s">
        <v>1768</v>
      </c>
      <c r="G13" s="48"/>
      <c r="H13" s="48"/>
      <c r="I13" s="32"/>
      <c r="J13" s="25" t="s">
        <v>1564</v>
      </c>
      <c r="K13" s="25" t="s">
        <v>1565</v>
      </c>
    </row>
    <row r="15" ht="15.75" spans="1:11">
      <c r="A15" s="58" t="s">
        <v>1769</v>
      </c>
      <c r="B15" s="48"/>
      <c r="C15" s="48"/>
      <c r="D15" s="48"/>
      <c r="E15" s="48"/>
      <c r="F15" s="48"/>
      <c r="G15" s="48"/>
      <c r="H15" s="48"/>
      <c r="I15" s="48"/>
      <c r="J15" s="48"/>
      <c r="K15" s="48"/>
    </row>
    <row r="16" ht="75" customHeight="1" spans="1:11">
      <c r="A16" s="55">
        <v>1</v>
      </c>
      <c r="B16" s="55" t="s">
        <v>1770</v>
      </c>
      <c r="C16" s="59" t="s">
        <v>6485</v>
      </c>
      <c r="D16" s="59" t="s">
        <v>6210</v>
      </c>
      <c r="E16" s="59" t="s">
        <v>6213</v>
      </c>
      <c r="F16" s="60" t="s">
        <v>6486</v>
      </c>
      <c r="G16" s="48"/>
      <c r="H16" s="48"/>
      <c r="I16" s="32"/>
      <c r="J16" s="55" t="s">
        <v>1129</v>
      </c>
      <c r="K16" s="59" t="s">
        <v>7</v>
      </c>
    </row>
    <row r="17" ht="75" customHeight="1" spans="1:11">
      <c r="A17" s="55">
        <v>2</v>
      </c>
      <c r="B17" s="55" t="s">
        <v>1770</v>
      </c>
      <c r="C17" s="59" t="s">
        <v>6485</v>
      </c>
      <c r="D17" s="59" t="s">
        <v>6217</v>
      </c>
      <c r="E17" s="59" t="s">
        <v>6218</v>
      </c>
      <c r="F17" s="60" t="s">
        <v>6487</v>
      </c>
      <c r="G17" s="48"/>
      <c r="H17" s="48"/>
      <c r="I17" s="32"/>
      <c r="J17" s="55" t="s">
        <v>1129</v>
      </c>
      <c r="K17" s="59" t="s">
        <v>7</v>
      </c>
    </row>
    <row r="18" ht="75" customHeight="1" spans="1:11">
      <c r="A18" s="55">
        <v>3</v>
      </c>
      <c r="B18" s="55" t="s">
        <v>1770</v>
      </c>
      <c r="C18" s="59" t="s">
        <v>6485</v>
      </c>
      <c r="D18" s="59" t="s">
        <v>6222</v>
      </c>
      <c r="E18" s="59" t="s">
        <v>6224</v>
      </c>
      <c r="F18" s="60" t="s">
        <v>6488</v>
      </c>
      <c r="G18" s="48"/>
      <c r="H18" s="48"/>
      <c r="I18" s="32"/>
      <c r="J18" s="55" t="s">
        <v>1129</v>
      </c>
      <c r="K18" s="59" t="s">
        <v>7</v>
      </c>
    </row>
    <row r="19" ht="75" customHeight="1" spans="1:11">
      <c r="A19" s="55">
        <v>4</v>
      </c>
      <c r="B19" s="55" t="s">
        <v>1770</v>
      </c>
      <c r="C19" s="59" t="s">
        <v>6485</v>
      </c>
      <c r="D19" s="59" t="s">
        <v>6228</v>
      </c>
      <c r="E19" s="59" t="s">
        <v>6229</v>
      </c>
      <c r="F19" s="60" t="s">
        <v>6489</v>
      </c>
      <c r="G19" s="48"/>
      <c r="H19" s="48"/>
      <c r="I19" s="32"/>
      <c r="J19" s="55" t="s">
        <v>1129</v>
      </c>
      <c r="K19" s="59" t="s">
        <v>7</v>
      </c>
    </row>
    <row r="20" ht="75" customHeight="1" spans="1:11">
      <c r="A20" s="55">
        <v>5</v>
      </c>
      <c r="B20" s="55" t="s">
        <v>1770</v>
      </c>
      <c r="C20" s="59" t="s">
        <v>6485</v>
      </c>
      <c r="D20" s="59" t="s">
        <v>6233</v>
      </c>
      <c r="E20" s="59" t="s">
        <v>6234</v>
      </c>
      <c r="F20" s="60" t="s">
        <v>6490</v>
      </c>
      <c r="G20" s="48"/>
      <c r="H20" s="48"/>
      <c r="I20" s="32"/>
      <c r="J20" s="55" t="s">
        <v>1129</v>
      </c>
      <c r="K20" s="59" t="s">
        <v>7</v>
      </c>
    </row>
    <row r="21" ht="90" customHeight="1" spans="1:11">
      <c r="A21" s="55">
        <v>6</v>
      </c>
      <c r="B21" s="55" t="s">
        <v>1770</v>
      </c>
      <c r="C21" s="59" t="s">
        <v>6485</v>
      </c>
      <c r="D21" s="59" t="s">
        <v>6238</v>
      </c>
      <c r="E21" s="59" t="s">
        <v>6239</v>
      </c>
      <c r="F21" s="60" t="s">
        <v>6491</v>
      </c>
      <c r="G21" s="48"/>
      <c r="H21" s="48"/>
      <c r="I21" s="32"/>
      <c r="J21" s="55" t="s">
        <v>1129</v>
      </c>
      <c r="K21" s="59" t="s">
        <v>7</v>
      </c>
    </row>
    <row r="22" ht="90" customHeight="1" spans="1:11">
      <c r="A22" s="55">
        <v>7</v>
      </c>
      <c r="B22" s="55" t="s">
        <v>1770</v>
      </c>
      <c r="C22" s="59" t="s">
        <v>6485</v>
      </c>
      <c r="D22" s="59" t="s">
        <v>6243</v>
      </c>
      <c r="E22" s="59" t="s">
        <v>6244</v>
      </c>
      <c r="F22" s="60" t="s">
        <v>6492</v>
      </c>
      <c r="G22" s="48"/>
      <c r="H22" s="48"/>
      <c r="I22" s="32"/>
      <c r="J22" s="55" t="s">
        <v>1129</v>
      </c>
      <c r="K22" s="59" t="s">
        <v>7</v>
      </c>
    </row>
    <row r="23" ht="90" customHeight="1" spans="1:11">
      <c r="A23" s="55">
        <v>8</v>
      </c>
      <c r="B23" s="55" t="s">
        <v>1770</v>
      </c>
      <c r="C23" s="59" t="s">
        <v>6485</v>
      </c>
      <c r="D23" s="59" t="s">
        <v>6248</v>
      </c>
      <c r="E23" s="59" t="s">
        <v>6249</v>
      </c>
      <c r="F23" s="60" t="s">
        <v>6493</v>
      </c>
      <c r="G23" s="48"/>
      <c r="H23" s="48"/>
      <c r="I23" s="32"/>
      <c r="J23" s="55" t="s">
        <v>1129</v>
      </c>
      <c r="K23" s="59" t="s">
        <v>7</v>
      </c>
    </row>
    <row r="24" ht="75" customHeight="1" spans="1:11">
      <c r="A24" s="55">
        <v>9</v>
      </c>
      <c r="B24" s="55" t="s">
        <v>1770</v>
      </c>
      <c r="C24" s="59" t="s">
        <v>6485</v>
      </c>
      <c r="D24" s="59" t="s">
        <v>6254</v>
      </c>
      <c r="E24" s="59" t="s">
        <v>6256</v>
      </c>
      <c r="F24" s="60" t="s">
        <v>6494</v>
      </c>
      <c r="G24" s="48"/>
      <c r="H24" s="48"/>
      <c r="I24" s="32"/>
      <c r="J24" s="55" t="s">
        <v>1129</v>
      </c>
      <c r="K24" s="59" t="s">
        <v>7</v>
      </c>
    </row>
    <row r="25" ht="75" customHeight="1" spans="1:11">
      <c r="A25" s="55">
        <v>10</v>
      </c>
      <c r="B25" s="55" t="s">
        <v>1770</v>
      </c>
      <c r="C25" s="59" t="s">
        <v>6485</v>
      </c>
      <c r="D25" s="59" t="s">
        <v>6260</v>
      </c>
      <c r="E25" s="59" t="s">
        <v>6262</v>
      </c>
      <c r="F25" s="60" t="s">
        <v>6495</v>
      </c>
      <c r="G25" s="48"/>
      <c r="H25" s="48"/>
      <c r="I25" s="32"/>
      <c r="J25" s="55" t="s">
        <v>1129</v>
      </c>
      <c r="K25" s="59" t="s">
        <v>7</v>
      </c>
    </row>
    <row r="26" ht="90" customHeight="1" spans="1:11">
      <c r="A26" s="55">
        <v>11</v>
      </c>
      <c r="B26" s="55" t="s">
        <v>1770</v>
      </c>
      <c r="C26" s="59" t="s">
        <v>6485</v>
      </c>
      <c r="D26" s="59" t="s">
        <v>6267</v>
      </c>
      <c r="E26" s="59" t="s">
        <v>6269</v>
      </c>
      <c r="F26" s="60" t="s">
        <v>6496</v>
      </c>
      <c r="G26" s="48"/>
      <c r="H26" s="48"/>
      <c r="I26" s="32"/>
      <c r="J26" s="55" t="s">
        <v>1129</v>
      </c>
      <c r="K26" s="59" t="s">
        <v>7</v>
      </c>
    </row>
    <row r="27" ht="90" customHeight="1" spans="1:11">
      <c r="A27" s="55">
        <v>12</v>
      </c>
      <c r="B27" s="55" t="s">
        <v>1770</v>
      </c>
      <c r="C27" s="59" t="s">
        <v>6485</v>
      </c>
      <c r="D27" s="59" t="s">
        <v>6273</v>
      </c>
      <c r="E27" s="59" t="s">
        <v>6275</v>
      </c>
      <c r="F27" s="60" t="s">
        <v>6497</v>
      </c>
      <c r="G27" s="48"/>
      <c r="H27" s="48"/>
      <c r="I27" s="32"/>
      <c r="J27" s="55" t="s">
        <v>1129</v>
      </c>
      <c r="K27" s="59" t="s">
        <v>7</v>
      </c>
    </row>
    <row r="28" ht="75" customHeight="1" spans="1:11">
      <c r="A28" s="55">
        <v>13</v>
      </c>
      <c r="B28" s="55" t="s">
        <v>1770</v>
      </c>
      <c r="C28" s="59" t="s">
        <v>6485</v>
      </c>
      <c r="D28" s="59" t="s">
        <v>6279</v>
      </c>
      <c r="E28" s="59" t="s">
        <v>6281</v>
      </c>
      <c r="F28" s="60" t="s">
        <v>6498</v>
      </c>
      <c r="G28" s="48"/>
      <c r="H28" s="48"/>
      <c r="I28" s="32"/>
      <c r="J28" s="55" t="s">
        <v>1129</v>
      </c>
      <c r="K28" s="59" t="s">
        <v>7</v>
      </c>
    </row>
    <row r="29" ht="75" customHeight="1" spans="1:11">
      <c r="A29" s="55">
        <v>14</v>
      </c>
      <c r="B29" s="55" t="s">
        <v>1770</v>
      </c>
      <c r="C29" s="59" t="s">
        <v>6485</v>
      </c>
      <c r="D29" s="59" t="s">
        <v>6285</v>
      </c>
      <c r="E29" s="59" t="s">
        <v>6286</v>
      </c>
      <c r="F29" s="60" t="s">
        <v>6499</v>
      </c>
      <c r="G29" s="48"/>
      <c r="H29" s="48"/>
      <c r="I29" s="32"/>
      <c r="J29" s="55" t="s">
        <v>1129</v>
      </c>
      <c r="K29" s="59" t="s">
        <v>7</v>
      </c>
    </row>
    <row r="30" ht="90" customHeight="1" spans="1:11">
      <c r="A30" s="55">
        <v>15</v>
      </c>
      <c r="B30" s="55" t="s">
        <v>1770</v>
      </c>
      <c r="C30" s="59" t="s">
        <v>6485</v>
      </c>
      <c r="D30" s="59" t="s">
        <v>6290</v>
      </c>
      <c r="E30" s="59" t="s">
        <v>6291</v>
      </c>
      <c r="F30" s="60" t="s">
        <v>6500</v>
      </c>
      <c r="G30" s="48"/>
      <c r="H30" s="48"/>
      <c r="I30" s="32"/>
      <c r="J30" s="55" t="s">
        <v>1129</v>
      </c>
      <c r="K30" s="59" t="s">
        <v>7</v>
      </c>
    </row>
    <row r="31" ht="90" customHeight="1" spans="1:11">
      <c r="A31" s="55">
        <v>16</v>
      </c>
      <c r="B31" s="55" t="s">
        <v>1770</v>
      </c>
      <c r="C31" s="59" t="s">
        <v>6485</v>
      </c>
      <c r="D31" s="59" t="s">
        <v>6295</v>
      </c>
      <c r="E31" s="59" t="s">
        <v>6297</v>
      </c>
      <c r="F31" s="60" t="s">
        <v>6501</v>
      </c>
      <c r="G31" s="48"/>
      <c r="H31" s="48"/>
      <c r="I31" s="32"/>
      <c r="J31" s="55" t="s">
        <v>1129</v>
      </c>
      <c r="K31" s="59" t="s">
        <v>7</v>
      </c>
    </row>
    <row r="32" ht="75" customHeight="1" spans="1:11">
      <c r="A32" s="55">
        <v>17</v>
      </c>
      <c r="B32" s="55" t="s">
        <v>1770</v>
      </c>
      <c r="C32" s="59" t="s">
        <v>6485</v>
      </c>
      <c r="D32" s="59" t="s">
        <v>6302</v>
      </c>
      <c r="E32" s="59" t="s">
        <v>6303</v>
      </c>
      <c r="F32" s="60" t="s">
        <v>6502</v>
      </c>
      <c r="G32" s="48"/>
      <c r="H32" s="48"/>
      <c r="I32" s="32"/>
      <c r="J32" s="55" t="s">
        <v>1129</v>
      </c>
      <c r="K32" s="59" t="s">
        <v>7</v>
      </c>
    </row>
    <row r="33" ht="75" customHeight="1" spans="1:11">
      <c r="A33" s="55">
        <v>18</v>
      </c>
      <c r="B33" s="55" t="s">
        <v>1770</v>
      </c>
      <c r="C33" s="59" t="s">
        <v>6485</v>
      </c>
      <c r="D33" s="59" t="s">
        <v>6307</v>
      </c>
      <c r="E33" s="59" t="s">
        <v>6309</v>
      </c>
      <c r="F33" s="60" t="s">
        <v>6503</v>
      </c>
      <c r="G33" s="48"/>
      <c r="H33" s="48"/>
      <c r="I33" s="32"/>
      <c r="J33" s="55" t="s">
        <v>1129</v>
      </c>
      <c r="K33" s="59" t="s">
        <v>7</v>
      </c>
    </row>
    <row r="34" customHeight="1" spans="1:11">
      <c r="A34" s="55">
        <v>19</v>
      </c>
      <c r="B34" s="55" t="s">
        <v>1770</v>
      </c>
      <c r="C34" s="59" t="s">
        <v>6504</v>
      </c>
      <c r="D34" s="59" t="s">
        <v>6313</v>
      </c>
      <c r="E34" s="59" t="s">
        <v>2554</v>
      </c>
      <c r="F34" s="60" t="s">
        <v>6505</v>
      </c>
      <c r="G34" s="48"/>
      <c r="H34" s="48"/>
      <c r="I34" s="32"/>
      <c r="J34" s="55" t="s">
        <v>1130</v>
      </c>
      <c r="K34" s="59" t="s">
        <v>7</v>
      </c>
    </row>
    <row r="35" ht="90" customHeight="1" spans="1:11">
      <c r="A35" s="55">
        <v>20</v>
      </c>
      <c r="B35" s="55" t="s">
        <v>1770</v>
      </c>
      <c r="C35" s="59" t="s">
        <v>6485</v>
      </c>
      <c r="D35" s="59" t="s">
        <v>6318</v>
      </c>
      <c r="E35" s="59" t="s">
        <v>6320</v>
      </c>
      <c r="F35" s="60" t="s">
        <v>6506</v>
      </c>
      <c r="G35" s="48"/>
      <c r="H35" s="48"/>
      <c r="I35" s="32"/>
      <c r="J35" s="55" t="s">
        <v>1129</v>
      </c>
      <c r="K35" s="59" t="s">
        <v>7</v>
      </c>
    </row>
    <row r="36" ht="90" customHeight="1" spans="1:11">
      <c r="A36" s="55">
        <v>21</v>
      </c>
      <c r="B36" s="55" t="s">
        <v>1770</v>
      </c>
      <c r="C36" s="59" t="s">
        <v>6485</v>
      </c>
      <c r="D36" s="59" t="s">
        <v>6324</v>
      </c>
      <c r="E36" s="59" t="s">
        <v>6325</v>
      </c>
      <c r="F36" s="60" t="s">
        <v>6507</v>
      </c>
      <c r="G36" s="48"/>
      <c r="H36" s="48"/>
      <c r="I36" s="32"/>
      <c r="J36" s="55" t="s">
        <v>1129</v>
      </c>
      <c r="K36" s="59" t="s">
        <v>7</v>
      </c>
    </row>
    <row r="37" ht="90" customHeight="1" spans="1:11">
      <c r="A37" s="55">
        <v>22</v>
      </c>
      <c r="B37" s="55" t="s">
        <v>1770</v>
      </c>
      <c r="C37" s="59" t="s">
        <v>6485</v>
      </c>
      <c r="D37" s="59" t="s">
        <v>6329</v>
      </c>
      <c r="E37" s="59" t="s">
        <v>6330</v>
      </c>
      <c r="F37" s="60" t="s">
        <v>6508</v>
      </c>
      <c r="G37" s="48"/>
      <c r="H37" s="48"/>
      <c r="I37" s="32"/>
      <c r="J37" s="55" t="s">
        <v>1129</v>
      </c>
      <c r="K37" s="59" t="s">
        <v>7</v>
      </c>
    </row>
    <row r="38" ht="90" customHeight="1" spans="1:11">
      <c r="A38" s="55">
        <v>23</v>
      </c>
      <c r="B38" s="55" t="s">
        <v>1770</v>
      </c>
      <c r="C38" s="59" t="s">
        <v>6485</v>
      </c>
      <c r="D38" s="59" t="s">
        <v>6333</v>
      </c>
      <c r="E38" s="59" t="s">
        <v>6335</v>
      </c>
      <c r="F38" s="60" t="s">
        <v>6509</v>
      </c>
      <c r="G38" s="48"/>
      <c r="H38" s="48"/>
      <c r="I38" s="32"/>
      <c r="J38" s="55" t="s">
        <v>1129</v>
      </c>
      <c r="K38" s="59" t="s">
        <v>7</v>
      </c>
    </row>
    <row r="39" ht="90" customHeight="1" spans="1:11">
      <c r="A39" s="55">
        <v>24</v>
      </c>
      <c r="B39" s="55" t="s">
        <v>1770</v>
      </c>
      <c r="C39" s="59" t="s">
        <v>6485</v>
      </c>
      <c r="D39" s="59" t="s">
        <v>6339</v>
      </c>
      <c r="E39" s="59" t="s">
        <v>6341</v>
      </c>
      <c r="F39" s="60" t="s">
        <v>6510</v>
      </c>
      <c r="G39" s="48"/>
      <c r="H39" s="48"/>
      <c r="I39" s="32"/>
      <c r="J39" s="55" t="s">
        <v>1129</v>
      </c>
      <c r="K39" s="59" t="s">
        <v>7</v>
      </c>
    </row>
    <row r="40" ht="75" customHeight="1" spans="1:11">
      <c r="A40" s="55">
        <v>25</v>
      </c>
      <c r="B40" s="55" t="s">
        <v>1770</v>
      </c>
      <c r="C40" s="59" t="s">
        <v>6485</v>
      </c>
      <c r="D40" s="59" t="s">
        <v>6343</v>
      </c>
      <c r="E40" s="59" t="s">
        <v>6344</v>
      </c>
      <c r="F40" s="60" t="s">
        <v>6511</v>
      </c>
      <c r="G40" s="48"/>
      <c r="H40" s="48"/>
      <c r="I40" s="32"/>
      <c r="J40" s="55" t="s">
        <v>1129</v>
      </c>
      <c r="K40" s="59" t="s">
        <v>7</v>
      </c>
    </row>
    <row r="41" ht="45" customHeight="1" spans="1:11">
      <c r="A41" s="55">
        <v>26</v>
      </c>
      <c r="B41" s="55" t="s">
        <v>1770</v>
      </c>
      <c r="C41" s="59" t="s">
        <v>6485</v>
      </c>
      <c r="D41" s="59" t="s">
        <v>6348</v>
      </c>
      <c r="E41" s="59" t="s">
        <v>6350</v>
      </c>
      <c r="F41" s="60" t="s">
        <v>6512</v>
      </c>
      <c r="G41" s="48"/>
      <c r="H41" s="48"/>
      <c r="I41" s="32"/>
      <c r="J41" s="55" t="s">
        <v>1129</v>
      </c>
      <c r="K41" s="59" t="s">
        <v>7</v>
      </c>
    </row>
    <row r="42" ht="75" customHeight="1" spans="1:11">
      <c r="A42" s="55">
        <v>27</v>
      </c>
      <c r="B42" s="55" t="s">
        <v>1770</v>
      </c>
      <c r="C42" s="59" t="s">
        <v>6513</v>
      </c>
      <c r="D42" s="59" t="s">
        <v>6355</v>
      </c>
      <c r="E42" s="59" t="s">
        <v>6358</v>
      </c>
      <c r="F42" s="60" t="s">
        <v>6514</v>
      </c>
      <c r="G42" s="48"/>
      <c r="H42" s="48"/>
      <c r="I42" s="32"/>
      <c r="J42" s="55" t="s">
        <v>1129</v>
      </c>
      <c r="K42" s="59" t="s">
        <v>7</v>
      </c>
    </row>
    <row r="43" ht="75" customHeight="1" spans="1:11">
      <c r="A43" s="55">
        <v>28</v>
      </c>
      <c r="B43" s="55" t="s">
        <v>1770</v>
      </c>
      <c r="C43" s="59" t="s">
        <v>6513</v>
      </c>
      <c r="D43" s="59" t="s">
        <v>6361</v>
      </c>
      <c r="E43" s="59" t="s">
        <v>6363</v>
      </c>
      <c r="F43" s="60" t="s">
        <v>6515</v>
      </c>
      <c r="G43" s="48"/>
      <c r="H43" s="48"/>
      <c r="I43" s="32"/>
      <c r="J43" s="55" t="s">
        <v>1129</v>
      </c>
      <c r="K43" s="59" t="s">
        <v>7</v>
      </c>
    </row>
    <row r="44" ht="75" customHeight="1" spans="1:11">
      <c r="A44" s="55">
        <v>29</v>
      </c>
      <c r="B44" s="55" t="s">
        <v>1770</v>
      </c>
      <c r="C44" s="59" t="s">
        <v>6513</v>
      </c>
      <c r="D44" s="59" t="s">
        <v>6367</v>
      </c>
      <c r="E44" s="59" t="s">
        <v>6369</v>
      </c>
      <c r="F44" s="60" t="s">
        <v>6516</v>
      </c>
      <c r="G44" s="48"/>
      <c r="H44" s="48"/>
      <c r="I44" s="32"/>
      <c r="J44" s="55" t="s">
        <v>1129</v>
      </c>
      <c r="K44" s="59" t="s">
        <v>7</v>
      </c>
    </row>
    <row r="45" ht="75" customHeight="1" spans="1:11">
      <c r="A45" s="55">
        <v>30</v>
      </c>
      <c r="B45" s="55" t="s">
        <v>1770</v>
      </c>
      <c r="C45" s="59" t="s">
        <v>6513</v>
      </c>
      <c r="D45" s="59" t="s">
        <v>6373</v>
      </c>
      <c r="E45" s="59" t="s">
        <v>6374</v>
      </c>
      <c r="F45" s="60" t="s">
        <v>6517</v>
      </c>
      <c r="G45" s="48"/>
      <c r="H45" s="48"/>
      <c r="I45" s="32"/>
      <c r="J45" s="55" t="s">
        <v>1129</v>
      </c>
      <c r="K45" s="59" t="s">
        <v>7</v>
      </c>
    </row>
    <row r="46" ht="75" customHeight="1" spans="1:11">
      <c r="A46" s="55">
        <v>31</v>
      </c>
      <c r="B46" s="55" t="s">
        <v>1770</v>
      </c>
      <c r="C46" s="59" t="s">
        <v>6513</v>
      </c>
      <c r="D46" s="59" t="s">
        <v>6377</v>
      </c>
      <c r="E46" s="59" t="s">
        <v>6379</v>
      </c>
      <c r="F46" s="60" t="s">
        <v>6518</v>
      </c>
      <c r="G46" s="48"/>
      <c r="H46" s="48"/>
      <c r="I46" s="32"/>
      <c r="J46" s="55" t="s">
        <v>1129</v>
      </c>
      <c r="K46" s="59" t="s">
        <v>7</v>
      </c>
    </row>
    <row r="47" ht="75" customHeight="1" spans="1:11">
      <c r="A47" s="55">
        <v>32</v>
      </c>
      <c r="B47" s="55" t="s">
        <v>1770</v>
      </c>
      <c r="C47" s="59" t="s">
        <v>6513</v>
      </c>
      <c r="D47" s="59" t="s">
        <v>6383</v>
      </c>
      <c r="E47" s="59" t="s">
        <v>6385</v>
      </c>
      <c r="F47" s="60" t="s">
        <v>6519</v>
      </c>
      <c r="G47" s="48"/>
      <c r="H47" s="48"/>
      <c r="I47" s="32"/>
      <c r="J47" s="55" t="s">
        <v>1129</v>
      </c>
      <c r="K47" s="59" t="s">
        <v>7</v>
      </c>
    </row>
    <row r="48" ht="90" customHeight="1" spans="1:11">
      <c r="A48" s="55">
        <v>33</v>
      </c>
      <c r="B48" s="55" t="s">
        <v>1770</v>
      </c>
      <c r="C48" s="59" t="s">
        <v>6513</v>
      </c>
      <c r="D48" s="59" t="s">
        <v>6390</v>
      </c>
      <c r="E48" s="59" t="s">
        <v>6391</v>
      </c>
      <c r="F48" s="60" t="s">
        <v>6520</v>
      </c>
      <c r="G48" s="48"/>
      <c r="H48" s="48"/>
      <c r="I48" s="32"/>
      <c r="J48" s="55" t="s">
        <v>1129</v>
      </c>
      <c r="K48" s="59" t="s">
        <v>7</v>
      </c>
    </row>
    <row r="49" ht="75" customHeight="1" spans="1:11">
      <c r="A49" s="55">
        <v>34</v>
      </c>
      <c r="B49" s="55" t="s">
        <v>1770</v>
      </c>
      <c r="C49" s="59" t="s">
        <v>6513</v>
      </c>
      <c r="D49" s="59" t="s">
        <v>6394</v>
      </c>
      <c r="E49" s="59" t="s">
        <v>6395</v>
      </c>
      <c r="F49" s="60" t="s">
        <v>6521</v>
      </c>
      <c r="G49" s="48"/>
      <c r="H49" s="48"/>
      <c r="I49" s="32"/>
      <c r="J49" s="55" t="s">
        <v>1129</v>
      </c>
      <c r="K49" s="59" t="s">
        <v>7</v>
      </c>
    </row>
    <row r="50" ht="90" customHeight="1" spans="1:11">
      <c r="A50" s="55">
        <v>35</v>
      </c>
      <c r="B50" s="55" t="s">
        <v>1770</v>
      </c>
      <c r="C50" s="59" t="s">
        <v>6513</v>
      </c>
      <c r="D50" s="59" t="s">
        <v>6398</v>
      </c>
      <c r="E50" s="59" t="s">
        <v>6399</v>
      </c>
      <c r="F50" s="60" t="s">
        <v>6522</v>
      </c>
      <c r="G50" s="48"/>
      <c r="H50" s="48"/>
      <c r="I50" s="32"/>
      <c r="J50" s="55" t="s">
        <v>1129</v>
      </c>
      <c r="K50" s="59" t="s">
        <v>7</v>
      </c>
    </row>
    <row r="51" ht="105" customHeight="1" spans="1:11">
      <c r="A51" s="55">
        <v>36</v>
      </c>
      <c r="B51" s="55" t="s">
        <v>1770</v>
      </c>
      <c r="C51" s="59" t="s">
        <v>6513</v>
      </c>
      <c r="D51" s="59" t="s">
        <v>6404</v>
      </c>
      <c r="E51" s="59" t="s">
        <v>6406</v>
      </c>
      <c r="F51" s="60" t="s">
        <v>6523</v>
      </c>
      <c r="G51" s="48"/>
      <c r="H51" s="48"/>
      <c r="I51" s="32"/>
      <c r="J51" s="55" t="s">
        <v>1129</v>
      </c>
      <c r="K51" s="59" t="s">
        <v>7</v>
      </c>
    </row>
    <row r="52" ht="30" customHeight="1" spans="1:11">
      <c r="A52" s="55">
        <v>37</v>
      </c>
      <c r="B52" s="55" t="s">
        <v>1770</v>
      </c>
      <c r="C52" s="59" t="s">
        <v>6513</v>
      </c>
      <c r="D52" s="59" t="s">
        <v>6410</v>
      </c>
      <c r="E52" s="59" t="s">
        <v>6411</v>
      </c>
      <c r="F52" s="60" t="s">
        <v>6524</v>
      </c>
      <c r="G52" s="48"/>
      <c r="H52" s="48"/>
      <c r="I52" s="32"/>
      <c r="J52" s="55" t="s">
        <v>1129</v>
      </c>
      <c r="K52" s="59" t="s">
        <v>7</v>
      </c>
    </row>
    <row r="53" ht="30" customHeight="1" spans="1:11">
      <c r="A53" s="55">
        <v>38</v>
      </c>
      <c r="B53" s="55" t="s">
        <v>1770</v>
      </c>
      <c r="C53" s="59" t="s">
        <v>6525</v>
      </c>
      <c r="D53" s="59" t="s">
        <v>6415</v>
      </c>
      <c r="E53" s="59" t="s">
        <v>6417</v>
      </c>
      <c r="F53" s="60" t="s">
        <v>6526</v>
      </c>
      <c r="G53" s="48"/>
      <c r="H53" s="48"/>
      <c r="I53" s="32"/>
      <c r="J53" s="55" t="s">
        <v>1130</v>
      </c>
      <c r="K53" s="59" t="s">
        <v>7</v>
      </c>
    </row>
    <row r="54" customHeight="1" spans="1:11">
      <c r="A54" s="55">
        <v>39</v>
      </c>
      <c r="B54" s="55" t="s">
        <v>1770</v>
      </c>
      <c r="C54" s="59" t="s">
        <v>6525</v>
      </c>
      <c r="D54" s="59" t="s">
        <v>6420</v>
      </c>
      <c r="E54" s="59" t="s">
        <v>6421</v>
      </c>
      <c r="F54" s="60" t="s">
        <v>6527</v>
      </c>
      <c r="G54" s="48"/>
      <c r="H54" s="48"/>
      <c r="I54" s="32"/>
      <c r="J54" s="55" t="s">
        <v>1130</v>
      </c>
      <c r="K54" s="59" t="s">
        <v>7</v>
      </c>
    </row>
    <row r="55" ht="15.75" spans="1:11">
      <c r="A55" s="58" t="s">
        <v>1803</v>
      </c>
      <c r="B55" s="48"/>
      <c r="C55" s="48"/>
      <c r="D55" s="48"/>
      <c r="E55" s="48"/>
      <c r="F55" s="48"/>
      <c r="G55" s="48"/>
      <c r="H55" s="48"/>
      <c r="I55" s="48"/>
      <c r="J55" s="48"/>
      <c r="K55" s="48"/>
    </row>
    <row r="56" ht="45" customHeight="1" spans="1:11">
      <c r="A56" s="55">
        <v>40</v>
      </c>
      <c r="B56" s="55" t="s">
        <v>1804</v>
      </c>
      <c r="C56" s="59" t="s">
        <v>1548</v>
      </c>
      <c r="D56" s="59" t="s">
        <v>6431</v>
      </c>
      <c r="E56" s="59" t="s">
        <v>6433</v>
      </c>
      <c r="F56" s="60" t="s">
        <v>6528</v>
      </c>
      <c r="G56" s="48"/>
      <c r="H56" s="48"/>
      <c r="I56" s="32"/>
      <c r="J56" s="55" t="s">
        <v>1129</v>
      </c>
      <c r="K56" s="59" t="s">
        <v>7</v>
      </c>
    </row>
    <row r="57" ht="30" customHeight="1" spans="1:11">
      <c r="A57" s="55">
        <v>41</v>
      </c>
      <c r="B57" s="55" t="s">
        <v>1804</v>
      </c>
      <c r="C57" s="59" t="s">
        <v>1548</v>
      </c>
      <c r="D57" s="59" t="s">
        <v>6437</v>
      </c>
      <c r="E57" s="59" t="s">
        <v>6438</v>
      </c>
      <c r="F57" s="60" t="s">
        <v>1807</v>
      </c>
      <c r="G57" s="48"/>
      <c r="H57" s="48"/>
      <c r="I57" s="32"/>
      <c r="J57" s="55" t="s">
        <v>1129</v>
      </c>
      <c r="K57" s="59" t="s">
        <v>7</v>
      </c>
    </row>
    <row r="58" ht="30" customHeight="1" spans="1:11">
      <c r="A58" s="55">
        <v>42</v>
      </c>
      <c r="B58" s="55" t="s">
        <v>1804</v>
      </c>
      <c r="C58" s="59" t="s">
        <v>1548</v>
      </c>
      <c r="D58" s="59" t="s">
        <v>6441</v>
      </c>
      <c r="E58" s="59" t="s">
        <v>6442</v>
      </c>
      <c r="F58" s="60" t="s">
        <v>1807</v>
      </c>
      <c r="G58" s="48"/>
      <c r="H58" s="48"/>
      <c r="I58" s="32"/>
      <c r="J58" s="55" t="s">
        <v>1129</v>
      </c>
      <c r="K58" s="59" t="s">
        <v>7</v>
      </c>
    </row>
    <row r="59" ht="30" customHeight="1" spans="1:11">
      <c r="A59" s="55">
        <v>43</v>
      </c>
      <c r="B59" s="55" t="s">
        <v>1804</v>
      </c>
      <c r="C59" s="59" t="s">
        <v>1548</v>
      </c>
      <c r="D59" s="59" t="s">
        <v>6445</v>
      </c>
      <c r="E59" s="59" t="s">
        <v>6446</v>
      </c>
      <c r="F59" s="60" t="s">
        <v>1807</v>
      </c>
      <c r="G59" s="48"/>
      <c r="H59" s="48"/>
      <c r="I59" s="32"/>
      <c r="J59" s="55" t="s">
        <v>1129</v>
      </c>
      <c r="K59" s="59" t="s">
        <v>7</v>
      </c>
    </row>
    <row r="60" ht="30" customHeight="1" spans="1:11">
      <c r="A60" s="55">
        <v>44</v>
      </c>
      <c r="B60" s="55" t="s">
        <v>1804</v>
      </c>
      <c r="C60" s="59" t="s">
        <v>1548</v>
      </c>
      <c r="D60" s="59" t="s">
        <v>6449</v>
      </c>
      <c r="E60" s="59" t="s">
        <v>6450</v>
      </c>
      <c r="F60" s="60" t="s">
        <v>1807</v>
      </c>
      <c r="G60" s="48"/>
      <c r="H60" s="48"/>
      <c r="I60" s="32"/>
      <c r="J60" s="55" t="s">
        <v>1129</v>
      </c>
      <c r="K60" s="59" t="s">
        <v>7</v>
      </c>
    </row>
    <row r="61" ht="75" customHeight="1" spans="1:11">
      <c r="A61" s="55">
        <v>45</v>
      </c>
      <c r="B61" s="55" t="s">
        <v>1804</v>
      </c>
      <c r="C61" s="59" t="s">
        <v>1548</v>
      </c>
      <c r="D61" s="59" t="s">
        <v>6454</v>
      </c>
      <c r="E61" s="59" t="s">
        <v>6456</v>
      </c>
      <c r="F61" s="60" t="s">
        <v>6529</v>
      </c>
      <c r="G61" s="48"/>
      <c r="H61" s="48"/>
      <c r="I61" s="32"/>
      <c r="J61" s="55" t="s">
        <v>1129</v>
      </c>
      <c r="K61" s="59" t="s">
        <v>7</v>
      </c>
    </row>
    <row r="62" ht="45" customHeight="1" spans="1:11">
      <c r="A62" s="55">
        <v>46</v>
      </c>
      <c r="B62" s="55" t="s">
        <v>1804</v>
      </c>
      <c r="C62" s="59" t="s">
        <v>1548</v>
      </c>
      <c r="D62" s="59" t="s">
        <v>6459</v>
      </c>
      <c r="E62" s="59" t="s">
        <v>6461</v>
      </c>
      <c r="F62" s="60" t="s">
        <v>6530</v>
      </c>
      <c r="G62" s="48"/>
      <c r="H62" s="48"/>
      <c r="I62" s="32"/>
      <c r="J62" s="55" t="s">
        <v>1129</v>
      </c>
      <c r="K62" s="59" t="s">
        <v>7</v>
      </c>
    </row>
    <row r="63" ht="30" customHeight="1" spans="1:11">
      <c r="A63" s="55">
        <v>47</v>
      </c>
      <c r="B63" s="55" t="s">
        <v>1804</v>
      </c>
      <c r="C63" s="59" t="s">
        <v>1548</v>
      </c>
      <c r="D63" s="59" t="s">
        <v>6465</v>
      </c>
      <c r="E63" s="59" t="s">
        <v>6467</v>
      </c>
      <c r="F63" s="60" t="s">
        <v>1807</v>
      </c>
      <c r="G63" s="48"/>
      <c r="H63" s="48"/>
      <c r="I63" s="32"/>
      <c r="J63" s="55" t="s">
        <v>1129</v>
      </c>
      <c r="K63" s="59" t="s">
        <v>7</v>
      </c>
    </row>
    <row r="64" ht="30" customHeight="1" spans="1:11">
      <c r="A64" s="55">
        <v>48</v>
      </c>
      <c r="B64" s="55" t="s">
        <v>1804</v>
      </c>
      <c r="C64" s="59" t="s">
        <v>1548</v>
      </c>
      <c r="D64" s="59" t="s">
        <v>6469</v>
      </c>
      <c r="E64" s="59" t="s">
        <v>6471</v>
      </c>
      <c r="F64" s="60" t="s">
        <v>1807</v>
      </c>
      <c r="G64" s="48"/>
      <c r="H64" s="48"/>
      <c r="I64" s="32"/>
      <c r="J64" s="55" t="s">
        <v>1129</v>
      </c>
      <c r="K64" s="59" t="s">
        <v>7</v>
      </c>
    </row>
    <row r="65" ht="60" customHeight="1" spans="1:11">
      <c r="A65" s="55">
        <v>49</v>
      </c>
      <c r="B65" s="55" t="s">
        <v>1804</v>
      </c>
      <c r="C65" s="59" t="s">
        <v>1548</v>
      </c>
      <c r="D65" s="59" t="s">
        <v>6473</v>
      </c>
      <c r="E65" s="59" t="s">
        <v>6475</v>
      </c>
      <c r="F65" s="60" t="s">
        <v>6531</v>
      </c>
      <c r="G65" s="48"/>
      <c r="H65" s="48"/>
      <c r="I65" s="32"/>
      <c r="J65" s="55" t="s">
        <v>1129</v>
      </c>
      <c r="K65" s="59" t="s">
        <v>7</v>
      </c>
    </row>
    <row r="66" ht="30" customHeight="1" spans="1:11">
      <c r="A66" s="55">
        <v>50</v>
      </c>
      <c r="B66" s="55" t="s">
        <v>1804</v>
      </c>
      <c r="C66" s="59" t="s">
        <v>1548</v>
      </c>
      <c r="D66" s="59" t="s">
        <v>6478</v>
      </c>
      <c r="E66" s="59" t="s">
        <v>6479</v>
      </c>
      <c r="F66" s="60" t="s">
        <v>1807</v>
      </c>
      <c r="G66" s="48"/>
      <c r="H66" s="48"/>
      <c r="I66" s="32"/>
      <c r="J66" s="55" t="s">
        <v>1129</v>
      </c>
      <c r="K66" s="59" t="s">
        <v>7</v>
      </c>
    </row>
    <row r="67" ht="15.75" spans="1:11">
      <c r="A67" s="58" t="s">
        <v>1818</v>
      </c>
      <c r="B67" s="48"/>
      <c r="C67" s="48"/>
      <c r="D67" s="48"/>
      <c r="E67" s="48"/>
      <c r="F67" s="48"/>
      <c r="G67" s="48"/>
      <c r="H67" s="48"/>
      <c r="I67" s="48"/>
      <c r="J67" s="48"/>
      <c r="K67" s="48"/>
    </row>
    <row r="68" ht="30" customHeight="1" spans="1:11">
      <c r="A68" s="55">
        <v>51</v>
      </c>
      <c r="B68" s="55" t="s">
        <v>1819</v>
      </c>
      <c r="C68" s="59" t="s">
        <v>6532</v>
      </c>
      <c r="D68" s="59" t="s">
        <v>6022</v>
      </c>
      <c r="E68" s="59" t="s">
        <v>6023</v>
      </c>
      <c r="F68" s="60" t="s">
        <v>6025</v>
      </c>
      <c r="G68" s="48"/>
      <c r="H68" s="48"/>
      <c r="I68" s="32"/>
      <c r="J68" s="55" t="s">
        <v>1129</v>
      </c>
      <c r="K68" s="59" t="s">
        <v>7</v>
      </c>
    </row>
    <row r="69" ht="30" customHeight="1" spans="1:11">
      <c r="A69" s="55">
        <v>52</v>
      </c>
      <c r="B69" s="55" t="s">
        <v>1819</v>
      </c>
      <c r="C69" s="59" t="s">
        <v>6532</v>
      </c>
      <c r="D69" s="59" t="s">
        <v>6028</v>
      </c>
      <c r="E69" s="59" t="s">
        <v>6029</v>
      </c>
      <c r="F69" s="60" t="s">
        <v>6031</v>
      </c>
      <c r="G69" s="48"/>
      <c r="H69" s="48"/>
      <c r="I69" s="32"/>
      <c r="J69" s="55" t="s">
        <v>1129</v>
      </c>
      <c r="K69" s="59" t="s">
        <v>7</v>
      </c>
    </row>
    <row r="70" ht="30" customHeight="1" spans="1:11">
      <c r="A70" s="55">
        <v>53</v>
      </c>
      <c r="B70" s="55" t="s">
        <v>1819</v>
      </c>
      <c r="C70" s="59" t="s">
        <v>6532</v>
      </c>
      <c r="D70" s="59" t="s">
        <v>6034</v>
      </c>
      <c r="E70" s="59" t="s">
        <v>6035</v>
      </c>
      <c r="F70" s="60" t="s">
        <v>6037</v>
      </c>
      <c r="G70" s="48"/>
      <c r="H70" s="48"/>
      <c r="I70" s="32"/>
      <c r="J70" s="55" t="s">
        <v>1129</v>
      </c>
      <c r="K70" s="59" t="s">
        <v>7</v>
      </c>
    </row>
    <row r="71" ht="30" customHeight="1" spans="1:11">
      <c r="A71" s="55">
        <v>54</v>
      </c>
      <c r="B71" s="55" t="s">
        <v>1819</v>
      </c>
      <c r="C71" s="59" t="s">
        <v>6532</v>
      </c>
      <c r="D71" s="59" t="s">
        <v>6040</v>
      </c>
      <c r="E71" s="59" t="s">
        <v>6041</v>
      </c>
      <c r="F71" s="60" t="s">
        <v>6043</v>
      </c>
      <c r="G71" s="48"/>
      <c r="H71" s="48"/>
      <c r="I71" s="32"/>
      <c r="J71" s="55" t="s">
        <v>1129</v>
      </c>
      <c r="K71" s="59" t="s">
        <v>7</v>
      </c>
    </row>
    <row r="72" ht="30" customHeight="1" spans="1:11">
      <c r="A72" s="55">
        <v>55</v>
      </c>
      <c r="B72" s="55" t="s">
        <v>1819</v>
      </c>
      <c r="C72" s="59" t="s">
        <v>6532</v>
      </c>
      <c r="D72" s="59" t="s">
        <v>6046</v>
      </c>
      <c r="E72" s="59" t="s">
        <v>6047</v>
      </c>
      <c r="F72" s="60" t="s">
        <v>6049</v>
      </c>
      <c r="G72" s="48"/>
      <c r="H72" s="48"/>
      <c r="I72" s="32"/>
      <c r="J72" s="55" t="s">
        <v>1129</v>
      </c>
      <c r="K72" s="59" t="s">
        <v>7</v>
      </c>
    </row>
    <row r="73" ht="30" customHeight="1" spans="1:11">
      <c r="A73" s="55">
        <v>56</v>
      </c>
      <c r="B73" s="55" t="s">
        <v>1819</v>
      </c>
      <c r="C73" s="59" t="s">
        <v>6532</v>
      </c>
      <c r="D73" s="59" t="s">
        <v>6051</v>
      </c>
      <c r="E73" s="59" t="s">
        <v>6052</v>
      </c>
      <c r="F73" s="60" t="s">
        <v>6054</v>
      </c>
      <c r="G73" s="48"/>
      <c r="H73" s="48"/>
      <c r="I73" s="32"/>
      <c r="J73" s="55" t="s">
        <v>1130</v>
      </c>
      <c r="K73" s="59" t="s">
        <v>7</v>
      </c>
    </row>
    <row r="74" ht="30" customHeight="1" spans="1:11">
      <c r="A74" s="55">
        <v>57</v>
      </c>
      <c r="B74" s="55" t="s">
        <v>1819</v>
      </c>
      <c r="C74" s="59" t="s">
        <v>6532</v>
      </c>
      <c r="D74" s="59" t="s">
        <v>6057</v>
      </c>
      <c r="E74" s="59" t="s">
        <v>6058</v>
      </c>
      <c r="F74" s="60" t="s">
        <v>6060</v>
      </c>
      <c r="G74" s="48"/>
      <c r="H74" s="48"/>
      <c r="I74" s="32"/>
      <c r="J74" s="55" t="s">
        <v>1129</v>
      </c>
      <c r="K74" s="59" t="s">
        <v>7</v>
      </c>
    </row>
    <row r="75" customHeight="1" spans="1:11">
      <c r="A75" s="55">
        <v>58</v>
      </c>
      <c r="B75" s="55" t="s">
        <v>1819</v>
      </c>
      <c r="C75" s="59" t="s">
        <v>6532</v>
      </c>
      <c r="D75" s="59" t="s">
        <v>6063</v>
      </c>
      <c r="E75" s="59" t="s">
        <v>6064</v>
      </c>
      <c r="F75" s="60" t="s">
        <v>6065</v>
      </c>
      <c r="G75" s="48"/>
      <c r="H75" s="48"/>
      <c r="I75" s="32"/>
      <c r="J75" s="55" t="s">
        <v>1129</v>
      </c>
      <c r="K75" s="59" t="s">
        <v>7</v>
      </c>
    </row>
    <row r="76" ht="30" customHeight="1" spans="1:11">
      <c r="A76" s="55">
        <v>59</v>
      </c>
      <c r="B76" s="55" t="s">
        <v>1819</v>
      </c>
      <c r="C76" s="59" t="s">
        <v>6532</v>
      </c>
      <c r="D76" s="59" t="s">
        <v>6068</v>
      </c>
      <c r="E76" s="59" t="s">
        <v>6069</v>
      </c>
      <c r="F76" s="60" t="s">
        <v>6070</v>
      </c>
      <c r="G76" s="48"/>
      <c r="H76" s="48"/>
      <c r="I76" s="32"/>
      <c r="J76" s="55" t="s">
        <v>1129</v>
      </c>
      <c r="K76" s="59" t="s">
        <v>7</v>
      </c>
    </row>
    <row r="77" ht="30" customHeight="1" spans="1:11">
      <c r="A77" s="55">
        <v>60</v>
      </c>
      <c r="B77" s="55" t="s">
        <v>1819</v>
      </c>
      <c r="C77" s="59" t="s">
        <v>6532</v>
      </c>
      <c r="D77" s="59" t="s">
        <v>6073</v>
      </c>
      <c r="E77" s="59" t="s">
        <v>6074</v>
      </c>
      <c r="F77" s="60" t="s">
        <v>6076</v>
      </c>
      <c r="G77" s="48"/>
      <c r="H77" s="48"/>
      <c r="I77" s="32"/>
      <c r="J77" s="55" t="s">
        <v>1129</v>
      </c>
      <c r="K77" s="59" t="s">
        <v>7</v>
      </c>
    </row>
    <row r="78" ht="30" customHeight="1" spans="1:11">
      <c r="A78" s="55">
        <v>61</v>
      </c>
      <c r="B78" s="55" t="s">
        <v>1819</v>
      </c>
      <c r="C78" s="59" t="s">
        <v>6532</v>
      </c>
      <c r="D78" s="59" t="s">
        <v>6080</v>
      </c>
      <c r="E78" s="59" t="s">
        <v>6081</v>
      </c>
      <c r="F78" s="60" t="s">
        <v>6083</v>
      </c>
      <c r="G78" s="48"/>
      <c r="H78" s="48"/>
      <c r="I78" s="32"/>
      <c r="J78" s="55" t="s">
        <v>1129</v>
      </c>
      <c r="K78" s="59" t="s">
        <v>7</v>
      </c>
    </row>
    <row r="79" ht="45" customHeight="1" spans="1:11">
      <c r="A79" s="55">
        <v>62</v>
      </c>
      <c r="B79" s="55" t="s">
        <v>1819</v>
      </c>
      <c r="C79" s="59" t="s">
        <v>6532</v>
      </c>
      <c r="D79" s="59" t="s">
        <v>6086</v>
      </c>
      <c r="E79" s="59" t="s">
        <v>6087</v>
      </c>
      <c r="F79" s="60" t="s">
        <v>6089</v>
      </c>
      <c r="G79" s="48"/>
      <c r="H79" s="48"/>
      <c r="I79" s="32"/>
      <c r="J79" s="55" t="s">
        <v>1129</v>
      </c>
      <c r="K79" s="59" t="s">
        <v>7</v>
      </c>
    </row>
    <row r="80" ht="30" customHeight="1" spans="1:11">
      <c r="A80" s="55">
        <v>63</v>
      </c>
      <c r="B80" s="55" t="s">
        <v>1819</v>
      </c>
      <c r="C80" s="59" t="s">
        <v>6532</v>
      </c>
      <c r="D80" s="59" t="s">
        <v>6092</v>
      </c>
      <c r="E80" s="59" t="s">
        <v>6093</v>
      </c>
      <c r="F80" s="60" t="s">
        <v>6095</v>
      </c>
      <c r="G80" s="48"/>
      <c r="H80" s="48"/>
      <c r="I80" s="32"/>
      <c r="J80" s="55" t="s">
        <v>1129</v>
      </c>
      <c r="K80" s="59" t="s">
        <v>7</v>
      </c>
    </row>
    <row r="81" ht="30" customHeight="1" spans="1:11">
      <c r="A81" s="55">
        <v>64</v>
      </c>
      <c r="B81" s="55" t="s">
        <v>1819</v>
      </c>
      <c r="C81" s="59" t="s">
        <v>6532</v>
      </c>
      <c r="D81" s="59" t="s">
        <v>6098</v>
      </c>
      <c r="E81" s="59" t="s">
        <v>6099</v>
      </c>
      <c r="F81" s="60" t="s">
        <v>6101</v>
      </c>
      <c r="G81" s="48"/>
      <c r="H81" s="48"/>
      <c r="I81" s="32"/>
      <c r="J81" s="55" t="s">
        <v>1129</v>
      </c>
      <c r="K81" s="59" t="s">
        <v>7</v>
      </c>
    </row>
    <row r="82" ht="30" customHeight="1" spans="1:11">
      <c r="A82" s="55">
        <v>65</v>
      </c>
      <c r="B82" s="55" t="s">
        <v>1819</v>
      </c>
      <c r="C82" s="59" t="s">
        <v>6532</v>
      </c>
      <c r="D82" s="59" t="s">
        <v>6104</v>
      </c>
      <c r="E82" s="59" t="s">
        <v>6105</v>
      </c>
      <c r="F82" s="60" t="s">
        <v>6106</v>
      </c>
      <c r="G82" s="48"/>
      <c r="H82" s="48"/>
      <c r="I82" s="32"/>
      <c r="J82" s="55" t="s">
        <v>1129</v>
      </c>
      <c r="K82" s="59" t="s">
        <v>7</v>
      </c>
    </row>
    <row r="83" ht="30" customHeight="1" spans="1:11">
      <c r="A83" s="55">
        <v>66</v>
      </c>
      <c r="B83" s="55" t="s">
        <v>1819</v>
      </c>
      <c r="C83" s="59" t="s">
        <v>6532</v>
      </c>
      <c r="D83" s="59" t="s">
        <v>6109</v>
      </c>
      <c r="E83" s="59" t="s">
        <v>6110</v>
      </c>
      <c r="F83" s="60" t="s">
        <v>6112</v>
      </c>
      <c r="G83" s="48"/>
      <c r="H83" s="48"/>
      <c r="I83" s="32"/>
      <c r="J83" s="55" t="s">
        <v>1129</v>
      </c>
      <c r="K83" s="59" t="s">
        <v>7</v>
      </c>
    </row>
    <row r="84" ht="30" customHeight="1" spans="1:11">
      <c r="A84" s="55">
        <v>67</v>
      </c>
      <c r="B84" s="55" t="s">
        <v>1819</v>
      </c>
      <c r="C84" s="59" t="s">
        <v>6532</v>
      </c>
      <c r="D84" s="59" t="s">
        <v>6115</v>
      </c>
      <c r="E84" s="59" t="s">
        <v>6116</v>
      </c>
      <c r="F84" s="60" t="s">
        <v>6118</v>
      </c>
      <c r="G84" s="48"/>
      <c r="H84" s="48"/>
      <c r="I84" s="32"/>
      <c r="J84" s="55" t="s">
        <v>1129</v>
      </c>
      <c r="K84" s="59" t="s">
        <v>7</v>
      </c>
    </row>
    <row r="85" customHeight="1" spans="1:11">
      <c r="A85" s="55">
        <v>68</v>
      </c>
      <c r="B85" s="55" t="s">
        <v>1819</v>
      </c>
      <c r="C85" s="59" t="s">
        <v>6532</v>
      </c>
      <c r="D85" s="59" t="s">
        <v>6121</v>
      </c>
      <c r="E85" s="59" t="s">
        <v>6122</v>
      </c>
      <c r="F85" s="60" t="s">
        <v>6124</v>
      </c>
      <c r="G85" s="48"/>
      <c r="H85" s="48"/>
      <c r="I85" s="32"/>
      <c r="J85" s="55" t="s">
        <v>1129</v>
      </c>
      <c r="K85" s="59" t="s">
        <v>7</v>
      </c>
    </row>
    <row r="86" ht="30" customHeight="1" spans="1:11">
      <c r="A86" s="55">
        <v>69</v>
      </c>
      <c r="B86" s="55" t="s">
        <v>1819</v>
      </c>
      <c r="C86" s="59" t="s">
        <v>6532</v>
      </c>
      <c r="D86" s="59" t="s">
        <v>6128</v>
      </c>
      <c r="E86" s="59" t="s">
        <v>6129</v>
      </c>
      <c r="F86" s="60" t="s">
        <v>6130</v>
      </c>
      <c r="G86" s="48"/>
      <c r="H86" s="48"/>
      <c r="I86" s="32"/>
      <c r="J86" s="55" t="s">
        <v>1129</v>
      </c>
      <c r="K86" s="59" t="s">
        <v>7</v>
      </c>
    </row>
    <row r="87" ht="30" customHeight="1" spans="1:11">
      <c r="A87" s="55">
        <v>70</v>
      </c>
      <c r="B87" s="55" t="s">
        <v>1819</v>
      </c>
      <c r="C87" s="59" t="s">
        <v>6532</v>
      </c>
      <c r="D87" s="59" t="s">
        <v>6133</v>
      </c>
      <c r="E87" s="59" t="s">
        <v>6134</v>
      </c>
      <c r="F87" s="60" t="s">
        <v>6135</v>
      </c>
      <c r="G87" s="48"/>
      <c r="H87" s="48"/>
      <c r="I87" s="32"/>
      <c r="J87" s="55" t="s">
        <v>1129</v>
      </c>
      <c r="K87" s="59" t="s">
        <v>7</v>
      </c>
    </row>
    <row r="88" ht="30" customHeight="1" spans="1:11">
      <c r="A88" s="55">
        <v>71</v>
      </c>
      <c r="B88" s="55" t="s">
        <v>1819</v>
      </c>
      <c r="C88" s="59" t="s">
        <v>6532</v>
      </c>
      <c r="D88" s="59" t="s">
        <v>6138</v>
      </c>
      <c r="E88" s="59" t="s">
        <v>6139</v>
      </c>
      <c r="F88" s="60" t="s">
        <v>6141</v>
      </c>
      <c r="G88" s="48"/>
      <c r="H88" s="48"/>
      <c r="I88" s="32"/>
      <c r="J88" s="55" t="s">
        <v>1130</v>
      </c>
      <c r="K88" s="59" t="s">
        <v>7</v>
      </c>
    </row>
    <row r="89" ht="30" customHeight="1" spans="1:11">
      <c r="A89" s="55">
        <v>72</v>
      </c>
      <c r="B89" s="55" t="s">
        <v>1819</v>
      </c>
      <c r="C89" s="59" t="s">
        <v>6532</v>
      </c>
      <c r="D89" s="59" t="s">
        <v>6144</v>
      </c>
      <c r="E89" s="59" t="s">
        <v>6145</v>
      </c>
      <c r="F89" s="60" t="s">
        <v>6147</v>
      </c>
      <c r="G89" s="48"/>
      <c r="H89" s="48"/>
      <c r="I89" s="32"/>
      <c r="J89" s="55" t="s">
        <v>1130</v>
      </c>
      <c r="K89" s="59" t="s">
        <v>7</v>
      </c>
    </row>
    <row r="90" ht="30" customHeight="1" spans="1:11">
      <c r="A90" s="55">
        <v>73</v>
      </c>
      <c r="B90" s="55" t="s">
        <v>1819</v>
      </c>
      <c r="C90" s="59" t="s">
        <v>6532</v>
      </c>
      <c r="D90" s="59" t="s">
        <v>6150</v>
      </c>
      <c r="E90" s="59" t="s">
        <v>6151</v>
      </c>
      <c r="F90" s="60" t="s">
        <v>6153</v>
      </c>
      <c r="G90" s="48"/>
      <c r="H90" s="48"/>
      <c r="I90" s="32"/>
      <c r="J90" s="55" t="s">
        <v>1129</v>
      </c>
      <c r="K90" s="59" t="s">
        <v>7</v>
      </c>
    </row>
  </sheetData>
  <mergeCells count="90">
    <mergeCell ref="A1:K1"/>
    <mergeCell ref="B3:C3"/>
    <mergeCell ref="B4:C4"/>
    <mergeCell ref="B5:C5"/>
    <mergeCell ref="A7:K7"/>
    <mergeCell ref="A8:B8"/>
    <mergeCell ref="G8:K8"/>
    <mergeCell ref="A9:B9"/>
    <mergeCell ref="G9:K9"/>
    <mergeCell ref="A10:B10"/>
    <mergeCell ref="G10:K10"/>
    <mergeCell ref="A11:B11"/>
    <mergeCell ref="G11:K11"/>
    <mergeCell ref="F13:I13"/>
    <mergeCell ref="A15:K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35:I35"/>
    <mergeCell ref="F36:I36"/>
    <mergeCell ref="F37:I37"/>
    <mergeCell ref="F38:I38"/>
    <mergeCell ref="F39:I39"/>
    <mergeCell ref="F40:I40"/>
    <mergeCell ref="F41:I41"/>
    <mergeCell ref="F42:I42"/>
    <mergeCell ref="F43:I43"/>
    <mergeCell ref="F44:I44"/>
    <mergeCell ref="F45:I45"/>
    <mergeCell ref="F46:I46"/>
    <mergeCell ref="F47:I47"/>
    <mergeCell ref="F48:I48"/>
    <mergeCell ref="F49:I49"/>
    <mergeCell ref="F50:I50"/>
    <mergeCell ref="F51:I51"/>
    <mergeCell ref="F52:I52"/>
    <mergeCell ref="F53:I53"/>
    <mergeCell ref="F54:I54"/>
    <mergeCell ref="A55:K55"/>
    <mergeCell ref="F56:I56"/>
    <mergeCell ref="F57:I57"/>
    <mergeCell ref="F58:I58"/>
    <mergeCell ref="F59:I59"/>
    <mergeCell ref="F60:I60"/>
    <mergeCell ref="F61:I61"/>
    <mergeCell ref="F62:I62"/>
    <mergeCell ref="F63:I63"/>
    <mergeCell ref="F64:I64"/>
    <mergeCell ref="F65:I65"/>
    <mergeCell ref="F66:I66"/>
    <mergeCell ref="A67:K67"/>
    <mergeCell ref="F68:I68"/>
    <mergeCell ref="F69:I69"/>
    <mergeCell ref="F70:I70"/>
    <mergeCell ref="F71:I71"/>
    <mergeCell ref="F72:I72"/>
    <mergeCell ref="F73:I73"/>
    <mergeCell ref="F74:I74"/>
    <mergeCell ref="F75:I75"/>
    <mergeCell ref="F76:I76"/>
    <mergeCell ref="F77:I77"/>
    <mergeCell ref="F78:I78"/>
    <mergeCell ref="F79:I79"/>
    <mergeCell ref="F80:I80"/>
    <mergeCell ref="F81:I81"/>
    <mergeCell ref="F82:I82"/>
    <mergeCell ref="F83:I83"/>
    <mergeCell ref="F84:I84"/>
    <mergeCell ref="F85:I85"/>
    <mergeCell ref="F86:I86"/>
    <mergeCell ref="F87:I87"/>
    <mergeCell ref="F88:I88"/>
    <mergeCell ref="F89:I89"/>
    <mergeCell ref="F90:I90"/>
  </mergeCells>
  <conditionalFormatting sqref="J15:J90">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1"/>
  <sheetViews>
    <sheetView workbookViewId="0">
      <selection activeCell="A1" sqref="A1:H1"/>
    </sheetView>
  </sheetViews>
  <sheetFormatPr defaultColWidth="9" defaultRowHeight="15"/>
  <cols>
    <col min="1" max="1" width="9" customWidth="1"/>
    <col min="2" max="2" width="14" customWidth="1"/>
    <col min="3" max="3" width="40" customWidth="1"/>
    <col min="4" max="4" width="30" customWidth="1"/>
    <col min="5" max="5" width="10" customWidth="1"/>
    <col min="6" max="6" width="9" customWidth="1"/>
    <col min="7" max="12" width="10" customWidth="1"/>
    <col min="13" max="13" width="12" customWidth="1"/>
    <col min="14" max="15" width="10" customWidth="1"/>
  </cols>
  <sheetData>
    <row r="1" ht="20.25" spans="1:4">
      <c r="A1" s="20" t="s">
        <v>6533</v>
      </c>
    </row>
    <row r="3" ht="28.5" spans="1:4">
      <c r="A3" s="21" t="s">
        <v>1822</v>
      </c>
      <c r="B3" s="22" t="s">
        <v>1823</v>
      </c>
    </row>
    <row r="4" ht="28.5" spans="1:4">
      <c r="A4" s="21" t="s">
        <v>1544</v>
      </c>
      <c r="B4" s="23" t="s">
        <v>6534</v>
      </c>
    </row>
    <row r="5" ht="42.75" spans="1:4">
      <c r="A5" s="21" t="s">
        <v>1825</v>
      </c>
      <c r="B5" s="23" t="s">
        <v>1826</v>
      </c>
    </row>
    <row r="7" ht="15.75" spans="1:4">
      <c r="A7" s="24" t="s">
        <v>1827</v>
      </c>
    </row>
    <row r="8" ht="28.5" spans="1:4">
      <c r="A8" s="25" t="s">
        <v>211</v>
      </c>
      <c r="B8" s="25" t="s">
        <v>1828</v>
      </c>
      <c r="C8" s="25" t="s">
        <v>1829</v>
      </c>
      <c r="D8" s="25" t="s">
        <v>1830</v>
      </c>
    </row>
    <row r="9" ht="45" customHeight="1" spans="1:4">
      <c r="A9" s="26">
        <v>1</v>
      </c>
      <c r="B9" s="27" t="s">
        <v>1831</v>
      </c>
      <c r="C9" s="28" t="s">
        <v>6535</v>
      </c>
      <c r="D9" s="29" t="s">
        <v>1833</v>
      </c>
    </row>
    <row r="10" ht="30" customHeight="1" spans="1:4">
      <c r="A10" s="26">
        <v>2</v>
      </c>
      <c r="B10" s="27" t="s">
        <v>1834</v>
      </c>
      <c r="C10" s="28" t="s">
        <v>6536</v>
      </c>
      <c r="D10" s="29" t="s">
        <v>1833</v>
      </c>
    </row>
    <row r="12" ht="15.75" spans="1:4">
      <c r="A12" s="30" t="s">
        <v>1837</v>
      </c>
    </row>
    <row r="13" spans="1:4">
      <c r="A13" s="31" t="s">
        <v>1838</v>
      </c>
      <c r="B13" s="32"/>
      <c r="C13" s="31" t="s">
        <v>1839</v>
      </c>
      <c r="D13" s="32"/>
    </row>
    <row r="14" customHeight="1" spans="1:4">
      <c r="A14" s="33" t="s">
        <v>1840</v>
      </c>
      <c r="B14" s="32"/>
      <c r="C14" s="34" t="s">
        <v>1841</v>
      </c>
      <c r="D14" s="32"/>
    </row>
    <row r="15" customHeight="1" spans="1:4">
      <c r="A15" s="33" t="s">
        <v>1842</v>
      </c>
      <c r="B15" s="32"/>
      <c r="C15" s="34" t="s">
        <v>1843</v>
      </c>
      <c r="D15" s="32"/>
    </row>
    <row r="16" customHeight="1" spans="1:4">
      <c r="A16" s="33" t="s">
        <v>1844</v>
      </c>
      <c r="B16" s="32"/>
      <c r="C16" s="34" t="s">
        <v>1845</v>
      </c>
      <c r="D16" s="32"/>
    </row>
    <row r="17" customHeight="1" spans="1:15">
      <c r="A17" s="33" t="s">
        <v>1846</v>
      </c>
      <c r="B17" s="32"/>
      <c r="C17" s="34" t="s">
        <v>1847</v>
      </c>
      <c r="D17" s="32"/>
    </row>
    <row r="18" customHeight="1" spans="1:15">
      <c r="A18" s="33" t="s">
        <v>1848</v>
      </c>
      <c r="B18" s="32"/>
      <c r="C18" s="34" t="s">
        <v>1849</v>
      </c>
      <c r="D18" s="32"/>
    </row>
    <row r="19" ht="30" customHeight="1" spans="1:15">
      <c r="A19" s="33" t="s">
        <v>1850</v>
      </c>
      <c r="B19" s="32"/>
      <c r="C19" s="34" t="s">
        <v>1851</v>
      </c>
      <c r="D19" s="32"/>
    </row>
    <row r="20" ht="30" customHeight="1" spans="1:15">
      <c r="A20" s="33" t="s">
        <v>1852</v>
      </c>
      <c r="B20" s="32"/>
      <c r="C20" s="34" t="s">
        <v>1853</v>
      </c>
      <c r="D20" s="32"/>
    </row>
    <row r="21" customHeight="1" spans="1:15">
      <c r="A21" s="33" t="s">
        <v>1854</v>
      </c>
      <c r="B21" s="32"/>
      <c r="C21" s="34" t="s">
        <v>1855</v>
      </c>
      <c r="D21" s="32"/>
    </row>
    <row r="23" ht="15.75" spans="1:15">
      <c r="A23" s="24" t="s">
        <v>1856</v>
      </c>
    </row>
    <row r="24" ht="28.5" spans="1:15">
      <c r="A24" s="31" t="s">
        <v>211</v>
      </c>
      <c r="B24" s="31" t="s">
        <v>1857</v>
      </c>
      <c r="C24" s="32"/>
      <c r="D24" s="31" t="s">
        <v>1858</v>
      </c>
    </row>
    <row r="25" ht="30" customHeight="1" spans="1:15">
      <c r="A25" s="35">
        <v>1</v>
      </c>
      <c r="B25" s="33" t="s">
        <v>6537</v>
      </c>
      <c r="C25" s="32"/>
      <c r="D25" s="34" t="s">
        <v>6538</v>
      </c>
    </row>
    <row r="27" spans="1:15">
      <c r="A27" s="36" t="s">
        <v>1863</v>
      </c>
      <c r="B27" s="37"/>
      <c r="C27" s="37"/>
      <c r="D27" s="37"/>
      <c r="E27" s="37"/>
      <c r="F27" s="37"/>
      <c r="G27" s="37"/>
      <c r="H27" s="37"/>
      <c r="I27" s="37"/>
      <c r="J27" s="37"/>
      <c r="K27" s="37"/>
      <c r="L27" s="37"/>
      <c r="M27" s="37"/>
      <c r="N27" s="37"/>
      <c r="O27" s="37"/>
    </row>
    <row r="28" ht="32" customHeight="1" spans="1:15">
      <c r="A28" s="38" t="s">
        <v>211</v>
      </c>
      <c r="B28" s="38" t="s">
        <v>1828</v>
      </c>
      <c r="C28" s="38" t="s">
        <v>1864</v>
      </c>
      <c r="D28" s="38" t="s">
        <v>1865</v>
      </c>
      <c r="E28" s="38" t="s">
        <v>1866</v>
      </c>
      <c r="F28" s="38" t="s">
        <v>1867</v>
      </c>
      <c r="G28" s="38" t="s">
        <v>1868</v>
      </c>
      <c r="H28" s="38" t="s">
        <v>1869</v>
      </c>
      <c r="I28" s="38" t="s">
        <v>1870</v>
      </c>
      <c r="J28" s="38" t="s">
        <v>1871</v>
      </c>
      <c r="K28" s="38" t="s">
        <v>1872</v>
      </c>
      <c r="L28" s="38" t="s">
        <v>1873</v>
      </c>
      <c r="M28" s="38" t="s">
        <v>1874</v>
      </c>
      <c r="N28" s="38" t="s">
        <v>1875</v>
      </c>
      <c r="O28" s="38" t="s">
        <v>1876</v>
      </c>
    </row>
    <row r="29" ht="30" customHeight="1" spans="1:15">
      <c r="A29" s="39">
        <v>1</v>
      </c>
      <c r="B29" s="39" t="s">
        <v>1831</v>
      </c>
      <c r="C29" s="40" t="s">
        <v>6539</v>
      </c>
      <c r="D29" s="39" t="s">
        <v>1878</v>
      </c>
      <c r="E29" s="39">
        <v>20</v>
      </c>
      <c r="F29" s="39">
        <v>30</v>
      </c>
      <c r="G29" s="39">
        <v>37</v>
      </c>
      <c r="H29" s="39">
        <v>18859</v>
      </c>
      <c r="I29" s="39">
        <v>32</v>
      </c>
      <c r="J29" s="39">
        <v>40</v>
      </c>
      <c r="K29" s="39">
        <v>10</v>
      </c>
      <c r="L29" s="39">
        <v>2097</v>
      </c>
      <c r="M29" s="39">
        <v>627.8</v>
      </c>
      <c r="N29" s="41">
        <v>0</v>
      </c>
      <c r="O29" s="39" t="s">
        <v>1385</v>
      </c>
    </row>
    <row r="30" ht="30" customHeight="1" spans="1:15">
      <c r="A30" s="39">
        <v>2</v>
      </c>
      <c r="B30" s="39" t="s">
        <v>1831</v>
      </c>
      <c r="C30" s="40" t="s">
        <v>6540</v>
      </c>
      <c r="D30" s="39" t="s">
        <v>1878</v>
      </c>
      <c r="E30" s="39">
        <v>20</v>
      </c>
      <c r="F30" s="39">
        <v>30</v>
      </c>
      <c r="G30" s="39">
        <v>211</v>
      </c>
      <c r="H30" s="39">
        <v>3690</v>
      </c>
      <c r="I30" s="39">
        <v>163</v>
      </c>
      <c r="J30" s="39">
        <v>230</v>
      </c>
      <c r="K30" s="39">
        <v>64</v>
      </c>
      <c r="L30" s="39">
        <v>576</v>
      </c>
      <c r="M30" s="39">
        <v>122.5</v>
      </c>
      <c r="N30" s="41">
        <v>0</v>
      </c>
      <c r="O30" s="39" t="s">
        <v>1385</v>
      </c>
    </row>
    <row r="31" ht="30" customHeight="1" spans="1:15">
      <c r="A31" s="39">
        <v>3</v>
      </c>
      <c r="B31" s="39" t="s">
        <v>1834</v>
      </c>
      <c r="C31" s="40" t="s">
        <v>6541</v>
      </c>
      <c r="D31" s="39" t="s">
        <v>1878</v>
      </c>
      <c r="E31" s="39">
        <v>20</v>
      </c>
      <c r="F31" s="39">
        <v>30</v>
      </c>
      <c r="G31" s="39">
        <v>34</v>
      </c>
      <c r="H31" s="39">
        <v>19239</v>
      </c>
      <c r="I31" s="39">
        <v>31</v>
      </c>
      <c r="J31" s="39">
        <v>41</v>
      </c>
      <c r="K31" s="39">
        <v>6</v>
      </c>
      <c r="L31" s="39">
        <v>1807</v>
      </c>
      <c r="M31" s="39">
        <v>641</v>
      </c>
      <c r="N31" s="41">
        <v>0</v>
      </c>
      <c r="O31" s="39" t="s">
        <v>1385</v>
      </c>
    </row>
    <row r="32" spans="1:15">
      <c r="A32" s="42" t="s">
        <v>1882</v>
      </c>
      <c r="B32" s="42" t="s">
        <v>1883</v>
      </c>
      <c r="C32" s="42" t="s">
        <v>1884</v>
      </c>
      <c r="D32" s="42" t="s">
        <v>1885</v>
      </c>
      <c r="H32" s="43">
        <f>SUM(H29:H31)</f>
        <v>41788</v>
      </c>
      <c r="I32" s="44">
        <f>IFERROR(SUMPRODUCT(H29:H31,I29:I31)/H32,0)</f>
        <v>43.1072796017996</v>
      </c>
      <c r="N32" s="45">
        <f>IFERROR(SUMPRODUCT(H29:H31,N29:N31)/H32,0)</f>
        <v>0</v>
      </c>
      <c r="O32" s="43" t="str">
        <f>IF(COUNTIF(O29:O31,"FAIL")=0,"PASS","FAIL")</f>
        <v>PASS</v>
      </c>
    </row>
    <row r="34" spans="1:15">
      <c r="A34" s="46" t="s">
        <v>1886</v>
      </c>
      <c r="B34" s="16"/>
      <c r="C34" s="16"/>
      <c r="D34" s="16"/>
      <c r="E34" s="17"/>
    </row>
    <row r="35" ht="30" spans="1:15">
      <c r="A35" s="38" t="s">
        <v>1887</v>
      </c>
      <c r="B35" s="38" t="s">
        <v>332</v>
      </c>
      <c r="C35" s="38" t="s">
        <v>1888</v>
      </c>
      <c r="D35" s="38" t="s">
        <v>1889</v>
      </c>
      <c r="E35" s="38" t="s">
        <v>430</v>
      </c>
    </row>
    <row r="36" ht="30" customHeight="1" spans="1:15">
      <c r="A36" s="47" t="s">
        <v>1831</v>
      </c>
      <c r="B36" s="47" t="s">
        <v>1878</v>
      </c>
      <c r="C36" s="47" t="s">
        <v>2979</v>
      </c>
      <c r="D36" s="47" t="s">
        <v>1891</v>
      </c>
      <c r="E36" s="47" t="s">
        <v>6539</v>
      </c>
    </row>
    <row r="37" ht="30" customHeight="1" spans="1:15">
      <c r="A37" s="47" t="s">
        <v>1831</v>
      </c>
      <c r="B37" s="47" t="s">
        <v>1878</v>
      </c>
      <c r="C37" s="47" t="s">
        <v>1892</v>
      </c>
      <c r="D37" s="47" t="s">
        <v>1891</v>
      </c>
      <c r="E37" s="47" t="s">
        <v>6540</v>
      </c>
    </row>
    <row r="38" ht="30" customHeight="1" spans="1:15">
      <c r="A38" s="47" t="s">
        <v>1834</v>
      </c>
      <c r="B38" s="47" t="s">
        <v>1878</v>
      </c>
      <c r="C38" s="47" t="s">
        <v>2979</v>
      </c>
      <c r="D38" s="47" t="s">
        <v>1891</v>
      </c>
      <c r="E38" s="47" t="s">
        <v>6541</v>
      </c>
    </row>
    <row r="40" spans="1:15">
      <c r="A40" s="46" t="s">
        <v>1893</v>
      </c>
      <c r="B40" s="16"/>
      <c r="C40" s="16"/>
      <c r="D40" s="16"/>
      <c r="E40" s="16"/>
      <c r="F40" s="16"/>
      <c r="G40" s="16"/>
      <c r="H40" s="16"/>
      <c r="I40" s="16"/>
      <c r="J40" s="16"/>
      <c r="K40" s="16"/>
      <c r="L40" s="16"/>
      <c r="M40" s="16"/>
      <c r="N40" s="16"/>
      <c r="O40" s="17"/>
    </row>
    <row r="41" customHeight="1" spans="1:15">
      <c r="A41" s="47" t="s">
        <v>1894</v>
      </c>
      <c r="B41" s="48"/>
      <c r="C41" s="48"/>
      <c r="D41" s="48"/>
      <c r="E41" s="48"/>
      <c r="F41" s="48"/>
      <c r="G41" s="48"/>
      <c r="H41" s="48"/>
      <c r="I41" s="48"/>
      <c r="J41" s="48"/>
      <c r="K41" s="48"/>
      <c r="L41" s="48"/>
      <c r="M41" s="48"/>
      <c r="N41" s="48"/>
      <c r="O41" s="32"/>
    </row>
  </sheetData>
  <mergeCells count="31">
    <mergeCell ref="A1:H1"/>
    <mergeCell ref="B3:H3"/>
    <mergeCell ref="B4:H4"/>
    <mergeCell ref="B5:H5"/>
    <mergeCell ref="A7:D7"/>
    <mergeCell ref="A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3:D23"/>
    <mergeCell ref="B24:C24"/>
    <mergeCell ref="B25:C25"/>
    <mergeCell ref="A27:O27"/>
    <mergeCell ref="A34:E34"/>
    <mergeCell ref="A40:O40"/>
    <mergeCell ref="A41:O41"/>
  </mergeCells>
  <conditionalFormatting sqref="O29:O32">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workbookViewId="0">
      <selection activeCell="A1" sqref="A1:G1"/>
    </sheetView>
  </sheetViews>
  <sheetFormatPr defaultColWidth="9" defaultRowHeight="15" outlineLevelCol="6"/>
  <cols>
    <col min="1" max="1" width="34" customWidth="1"/>
    <col min="2" max="2" width="14" customWidth="1"/>
    <col min="3" max="6" width="13" customWidth="1"/>
    <col min="7" max="7" width="44" customWidth="1"/>
  </cols>
  <sheetData>
    <row r="1" ht="19.5" spans="1:7">
      <c r="A1" s="1" t="s">
        <v>1895</v>
      </c>
    </row>
    <row r="2" spans="1:7">
      <c r="A2" s="2" t="s">
        <v>226</v>
      </c>
      <c r="C2" s="2" t="s">
        <v>227</v>
      </c>
    </row>
    <row r="3" spans="1:7">
      <c r="A3" s="2" t="s">
        <v>528</v>
      </c>
      <c r="C3" s="2" t="s">
        <v>231</v>
      </c>
    </row>
    <row r="4" spans="1:7">
      <c r="A4" s="2" t="s">
        <v>1896</v>
      </c>
      <c r="C4" s="3" t="s">
        <v>52</v>
      </c>
    </row>
    <row r="5" spans="1:7">
      <c r="A5" s="2" t="s">
        <v>1897</v>
      </c>
      <c r="C5" s="2" t="s">
        <v>7</v>
      </c>
    </row>
    <row r="6" spans="1:7">
      <c r="A6" s="2" t="s">
        <v>1898</v>
      </c>
      <c r="C6" s="2" t="s">
        <v>233</v>
      </c>
    </row>
    <row r="7" spans="1:7">
      <c r="A7" s="2" t="s">
        <v>1899</v>
      </c>
      <c r="C7" s="2">
        <f>B16</f>
        <v>73</v>
      </c>
    </row>
    <row r="8" spans="1:7">
      <c r="A8" s="2" t="s">
        <v>1900</v>
      </c>
      <c r="C8" s="3" t="s">
        <v>1901</v>
      </c>
    </row>
    <row r="10" spans="1:7">
      <c r="A10" s="4" t="s">
        <v>1902</v>
      </c>
      <c r="B10" s="5"/>
      <c r="C10" s="5"/>
      <c r="D10" s="5"/>
      <c r="E10" s="5"/>
      <c r="F10" s="5"/>
      <c r="G10" s="6"/>
    </row>
    <row r="11" ht="32" customHeight="1" spans="1:7">
      <c r="A11" s="7" t="s">
        <v>1903</v>
      </c>
      <c r="B11" s="7" t="s">
        <v>1904</v>
      </c>
      <c r="C11" s="7" t="s">
        <v>1553</v>
      </c>
      <c r="D11" s="7" t="s">
        <v>1554</v>
      </c>
      <c r="E11" s="7" t="s">
        <v>1905</v>
      </c>
      <c r="F11" s="7" t="s">
        <v>1759</v>
      </c>
      <c r="G11" s="7" t="s">
        <v>1906</v>
      </c>
    </row>
    <row r="12" customHeight="1" spans="1:7">
      <c r="A12" s="8" t="s">
        <v>1907</v>
      </c>
      <c r="B12" s="9">
        <f>'PH8-Kiểm thử giao diện'!C14</f>
        <v>23</v>
      </c>
      <c r="C12" s="9">
        <f>'PH8-Kiểm thử giao diện'!E14</f>
        <v>20</v>
      </c>
      <c r="D12" s="9">
        <f>'PH8-Kiểm thử giao diện'!F14</f>
        <v>3</v>
      </c>
      <c r="E12" s="9">
        <f>'PH8-Kiểm thử giao diện'!D14</f>
        <v>0</v>
      </c>
      <c r="F12" s="10">
        <f>IFERROR(C12/B12,0)</f>
        <v>0.869565217391304</v>
      </c>
      <c r="G12" s="11" t="s">
        <v>5461</v>
      </c>
    </row>
    <row r="13" ht="30" customHeight="1" spans="1:7">
      <c r="A13" s="8" t="s">
        <v>1909</v>
      </c>
      <c r="B13" s="9">
        <f>'PH8-Kiểm thử API(Postman)'!A10</f>
        <v>11</v>
      </c>
      <c r="C13" s="9">
        <f>'PH8-Kiểm thử API(Postman)'!B10</f>
        <v>11</v>
      </c>
      <c r="D13" s="9">
        <f>'PH8-Kiểm thử API(Postman)'!C10</f>
        <v>0</v>
      </c>
      <c r="E13" s="9">
        <v>0</v>
      </c>
      <c r="F13" s="10">
        <f>IFERROR(C13/B13,0)</f>
        <v>1</v>
      </c>
      <c r="G13" s="11" t="s">
        <v>6542</v>
      </c>
    </row>
    <row r="14" ht="30" customHeight="1" spans="1:7">
      <c r="A14" s="8" t="s">
        <v>1911</v>
      </c>
      <c r="B14" s="9">
        <f>'PH8-Unit test'!B101</f>
        <v>39</v>
      </c>
      <c r="C14" s="9">
        <f>'PH8-Unit test'!B102</f>
        <v>36</v>
      </c>
      <c r="D14" s="9">
        <f>'PH8-Unit test'!B103</f>
        <v>3</v>
      </c>
      <c r="E14" s="9">
        <v>0</v>
      </c>
      <c r="F14" s="10">
        <f>IFERROR(C14/B14,0)</f>
        <v>0.923076923076923</v>
      </c>
      <c r="G14" s="11" t="s">
        <v>6543</v>
      </c>
    </row>
    <row r="15" ht="30" customHeight="1" spans="1:7">
      <c r="A15" s="8" t="s">
        <v>1913</v>
      </c>
      <c r="B15" s="9">
        <f>COUNTA('PH8-Kiểm thử hiệu năng'!O29:O31)</f>
        <v>3</v>
      </c>
      <c r="C15" s="9">
        <f>COUNTIF('PH8-Kiểm thử hiệu năng'!O29:O31,"PASS")</f>
        <v>3</v>
      </c>
      <c r="D15" s="9">
        <f>COUNTIF('PH8-Kiểm thử hiệu năng'!O29:O31,"FAIL")</f>
        <v>0</v>
      </c>
      <c r="E15" s="9">
        <v>0</v>
      </c>
      <c r="F15" s="10">
        <f>IFERROR(C15/B15,0)</f>
        <v>1</v>
      </c>
      <c r="G15" s="11" t="s">
        <v>1894</v>
      </c>
    </row>
    <row r="16" spans="1:7">
      <c r="A16" s="12" t="s">
        <v>1914</v>
      </c>
      <c r="B16" s="7">
        <f>SUMIF($A$12:$A$15,"&lt;&gt;Kiểm thử Hiệu năng*",B12:B15)</f>
        <v>73</v>
      </c>
      <c r="C16" s="7">
        <f>SUMIF($A$12:$A$15,"&lt;&gt;Kiểm thử Hiệu năng*",C12:C15)</f>
        <v>67</v>
      </c>
      <c r="D16" s="7">
        <f>SUMIF($A$12:$A$15,"&lt;&gt;Kiểm thử Hiệu năng*",D12:D15)</f>
        <v>6</v>
      </c>
      <c r="E16" s="7">
        <f>SUMIF($A$12:$A$15,"&lt;&gt;Kiểm thử Hiệu năng*",E12:E15)</f>
        <v>0</v>
      </c>
      <c r="F16" s="13">
        <f>IFERROR(C16/B16,0)</f>
        <v>0.917808219178082</v>
      </c>
      <c r="G16" s="12" t="s">
        <v>7</v>
      </c>
    </row>
    <row r="18" ht="360" customHeight="1" spans="1:7">
      <c r="A18" s="14" t="s">
        <v>1915</v>
      </c>
      <c r="B18" s="15" t="s">
        <v>6544</v>
      </c>
      <c r="C18" s="16"/>
      <c r="D18" s="16"/>
      <c r="E18" s="16"/>
      <c r="F18" s="16"/>
      <c r="G18" s="17"/>
    </row>
    <row r="19" ht="400" customHeight="1" spans="1:7">
      <c r="A19" s="18" t="s">
        <v>1917</v>
      </c>
      <c r="B19" s="15" t="s">
        <v>6545</v>
      </c>
      <c r="C19" s="16"/>
      <c r="D19" s="16"/>
      <c r="E19" s="17"/>
      <c r="F19" s="15" t="s">
        <v>6546</v>
      </c>
      <c r="G19" s="17"/>
    </row>
    <row r="20" ht="165" customHeight="1" spans="1:7">
      <c r="A20" s="14" t="s">
        <v>1920</v>
      </c>
      <c r="B20" s="15" t="s">
        <v>6009</v>
      </c>
      <c r="C20" s="16"/>
      <c r="D20" s="16"/>
      <c r="E20" s="16"/>
      <c r="F20" s="16"/>
      <c r="G20" s="17"/>
    </row>
    <row r="21" ht="45" customHeight="1" spans="1:7">
      <c r="A21" s="14" t="s">
        <v>1921</v>
      </c>
      <c r="B21" s="15" t="s">
        <v>6547</v>
      </c>
      <c r="C21" s="16"/>
      <c r="D21" s="16"/>
      <c r="E21" s="16"/>
      <c r="F21" s="16"/>
      <c r="G21" s="17"/>
    </row>
    <row r="22" ht="32" customHeight="1" spans="1:7">
      <c r="A22" s="19" t="s">
        <v>1923</v>
      </c>
    </row>
  </sheetData>
  <mergeCells count="21">
    <mergeCell ref="A1:G1"/>
    <mergeCell ref="A2:B2"/>
    <mergeCell ref="C2:F2"/>
    <mergeCell ref="A3:B3"/>
    <mergeCell ref="C3:F3"/>
    <mergeCell ref="A4:B4"/>
    <mergeCell ref="C4:F4"/>
    <mergeCell ref="A5:B5"/>
    <mergeCell ref="C5:F5"/>
    <mergeCell ref="A6:B6"/>
    <mergeCell ref="C6:F6"/>
    <mergeCell ref="A7:B7"/>
    <mergeCell ref="C7:F7"/>
    <mergeCell ref="A8:B8"/>
    <mergeCell ref="C8:F8"/>
    <mergeCell ref="A10:G10"/>
    <mergeCell ref="B18:G18"/>
    <mergeCell ref="B19:E19"/>
    <mergeCell ref="F19:G19"/>
    <mergeCell ref="B20:G20"/>
    <mergeCell ref="B21:G21"/>
  </mergeCells>
  <pageMargins left="0.75" right="0.75" top="1" bottom="1" header="0.5" footer="0.5"/>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2"/>
  <sheetViews>
    <sheetView workbookViewId="0">
      <pane xSplit="1" ySplit="13" topLeftCell="B14" activePane="bottomRight" state="frozen"/>
      <selection/>
      <selection pane="topRight"/>
      <selection pane="bottomLeft"/>
      <selection pane="bottomRight" activeCell="A1" sqref="A1:F1"/>
    </sheetView>
  </sheetViews>
  <sheetFormatPr defaultColWidth="9" defaultRowHeight="15" outlineLevelCol="5"/>
  <cols>
    <col min="1" max="1" width="57.7142857142857" customWidth="1"/>
    <col min="2" max="2" width="11.1428571428571" customWidth="1"/>
    <col min="3" max="3" width="13.5714285714286" customWidth="1"/>
    <col min="4" max="4" width="13" customWidth="1"/>
    <col min="5" max="5" width="38.5714285714286" customWidth="1"/>
    <col min="6" max="6" width="13" customWidth="1"/>
  </cols>
  <sheetData>
    <row r="1" ht="24" customHeight="1" spans="1:6">
      <c r="A1" s="144" t="s">
        <v>69</v>
      </c>
    </row>
    <row r="3" customHeight="1" spans="1:6">
      <c r="A3" s="145" t="s">
        <v>226</v>
      </c>
      <c r="B3" s="146" t="s">
        <v>227</v>
      </c>
      <c r="C3" s="147"/>
      <c r="D3" s="147"/>
      <c r="E3" s="147"/>
      <c r="F3" s="147"/>
    </row>
    <row r="4" customHeight="1" spans="1:6">
      <c r="A4" s="145" t="s">
        <v>528</v>
      </c>
      <c r="B4" s="146" t="s">
        <v>231</v>
      </c>
      <c r="C4" s="147"/>
      <c r="D4" s="147"/>
      <c r="E4" s="147"/>
      <c r="F4" s="147"/>
    </row>
    <row r="5" customHeight="1" spans="1:6">
      <c r="A5" s="145" t="s">
        <v>529</v>
      </c>
      <c r="B5" s="148" t="s">
        <v>53</v>
      </c>
      <c r="C5" s="147"/>
      <c r="D5" s="147"/>
      <c r="E5" s="147"/>
      <c r="F5" s="147"/>
    </row>
    <row r="6" customHeight="1" spans="1:6">
      <c r="A6" s="145" t="s">
        <v>422</v>
      </c>
      <c r="B6" s="146" t="s">
        <v>60</v>
      </c>
      <c r="C6" s="147"/>
      <c r="D6" s="147"/>
      <c r="E6" s="147"/>
      <c r="F6" s="147"/>
    </row>
    <row r="7" customHeight="1" spans="1:6">
      <c r="A7" s="145" t="s">
        <v>238</v>
      </c>
      <c r="B7" s="146" t="s">
        <v>7</v>
      </c>
      <c r="C7" s="147"/>
      <c r="D7" s="147"/>
      <c r="E7" s="147"/>
      <c r="F7" s="147"/>
    </row>
    <row r="8" customHeight="1" spans="1:6">
      <c r="A8" s="145" t="s">
        <v>421</v>
      </c>
      <c r="B8" s="146" t="s">
        <v>233</v>
      </c>
      <c r="C8" s="147"/>
      <c r="D8" s="147"/>
      <c r="E8" s="147"/>
      <c r="F8" s="147"/>
    </row>
    <row r="9" ht="45" customHeight="1" spans="1:6">
      <c r="A9" s="145" t="s">
        <v>423</v>
      </c>
      <c r="B9" s="148" t="s">
        <v>6548</v>
      </c>
      <c r="C9" s="147"/>
      <c r="D9" s="147"/>
      <c r="E9" s="147"/>
      <c r="F9" s="147"/>
    </row>
    <row r="10" customHeight="1" spans="1:6">
      <c r="A10" s="145" t="s">
        <v>532</v>
      </c>
      <c r="B10" s="146" t="s">
        <v>103</v>
      </c>
      <c r="C10" s="147"/>
      <c r="D10" s="147"/>
      <c r="E10" s="147"/>
      <c r="F10" s="147"/>
    </row>
    <row r="11" ht="75" customHeight="1" spans="1:6">
      <c r="A11" s="145" t="s">
        <v>935</v>
      </c>
      <c r="B11" s="148" t="s">
        <v>6549</v>
      </c>
      <c r="C11" s="147"/>
      <c r="D11" s="147"/>
      <c r="E11" s="147"/>
      <c r="F11" s="147"/>
    </row>
    <row r="13" spans="1:6">
      <c r="A13" s="149" t="s">
        <v>426</v>
      </c>
      <c r="B13" s="150" t="s">
        <v>427</v>
      </c>
      <c r="C13" s="150" t="s">
        <v>428</v>
      </c>
      <c r="D13" s="150" t="s">
        <v>429</v>
      </c>
      <c r="E13" s="150" t="s">
        <v>430</v>
      </c>
      <c r="F13" s="150" t="s">
        <v>431</v>
      </c>
    </row>
    <row r="14" spans="1:6">
      <c r="A14" s="149" t="s">
        <v>432</v>
      </c>
      <c r="B14" s="149"/>
      <c r="C14" s="149"/>
      <c r="D14" s="149"/>
      <c r="E14" s="149"/>
      <c r="F14" s="149"/>
    </row>
    <row r="15" ht="90" customHeight="1" spans="1:6">
      <c r="A15" s="151" t="s">
        <v>433</v>
      </c>
      <c r="B15" s="152"/>
      <c r="C15" s="152" t="s">
        <v>434</v>
      </c>
      <c r="D15" s="152"/>
      <c r="E15" s="151" t="s">
        <v>6550</v>
      </c>
      <c r="F15" s="152" t="s">
        <v>436</v>
      </c>
    </row>
    <row r="16" ht="45" customHeight="1" spans="1:6">
      <c r="A16" s="151" t="s">
        <v>437</v>
      </c>
      <c r="B16" s="152"/>
      <c r="C16" s="152" t="s">
        <v>434</v>
      </c>
      <c r="D16" s="152"/>
      <c r="E16" s="151" t="s">
        <v>6551</v>
      </c>
      <c r="F16" s="152" t="s">
        <v>436</v>
      </c>
    </row>
    <row r="17" ht="60" customHeight="1" spans="1:6">
      <c r="A17" s="151" t="s">
        <v>535</v>
      </c>
      <c r="B17" s="152"/>
      <c r="C17" s="152" t="s">
        <v>434</v>
      </c>
      <c r="D17" s="152"/>
      <c r="E17" s="151" t="s">
        <v>6552</v>
      </c>
      <c r="F17" s="152" t="s">
        <v>436</v>
      </c>
    </row>
    <row r="18" ht="30" customHeight="1" spans="1:6">
      <c r="A18" s="151" t="s">
        <v>537</v>
      </c>
      <c r="B18" s="152"/>
      <c r="C18" s="152" t="s">
        <v>434</v>
      </c>
      <c r="D18" s="152"/>
      <c r="E18" s="151" t="s">
        <v>940</v>
      </c>
      <c r="F18" s="152" t="s">
        <v>436</v>
      </c>
    </row>
    <row r="19" ht="30" customHeight="1" spans="1:6">
      <c r="A19" s="151" t="s">
        <v>539</v>
      </c>
      <c r="B19" s="152"/>
      <c r="C19" s="152" t="s">
        <v>434</v>
      </c>
      <c r="D19" s="152"/>
      <c r="E19" s="151" t="s">
        <v>678</v>
      </c>
      <c r="F19" s="152" t="s">
        <v>436</v>
      </c>
    </row>
    <row r="20" ht="30" customHeight="1" spans="1:6">
      <c r="A20" s="151" t="s">
        <v>541</v>
      </c>
      <c r="B20" s="152"/>
      <c r="C20" s="152" t="s">
        <v>434</v>
      </c>
      <c r="D20" s="152"/>
      <c r="E20" s="151" t="s">
        <v>680</v>
      </c>
      <c r="F20" s="152" t="s">
        <v>436</v>
      </c>
    </row>
    <row r="21" ht="60" customHeight="1" spans="1:6">
      <c r="A21" s="151" t="s">
        <v>543</v>
      </c>
      <c r="B21" s="152"/>
      <c r="C21" s="152" t="s">
        <v>434</v>
      </c>
      <c r="D21" s="152"/>
      <c r="E21" s="151" t="s">
        <v>6553</v>
      </c>
      <c r="F21" s="152" t="s">
        <v>436</v>
      </c>
    </row>
    <row r="22" customHeight="1" spans="1:6">
      <c r="A22" s="151" t="s">
        <v>449</v>
      </c>
      <c r="B22" s="152"/>
      <c r="C22" s="152"/>
      <c r="D22" s="152" t="s">
        <v>434</v>
      </c>
      <c r="E22" s="151" t="s">
        <v>6554</v>
      </c>
      <c r="F22" s="152" t="s">
        <v>436</v>
      </c>
    </row>
    <row r="23" ht="30" customHeight="1" spans="1:6">
      <c r="A23" s="151" t="s">
        <v>451</v>
      </c>
      <c r="B23" s="152"/>
      <c r="C23" s="152"/>
      <c r="D23" s="152" t="s">
        <v>434</v>
      </c>
      <c r="E23" s="151" t="s">
        <v>6555</v>
      </c>
      <c r="F23" s="152" t="s">
        <v>436</v>
      </c>
    </row>
    <row r="24" spans="1:6">
      <c r="A24" s="149" t="s">
        <v>547</v>
      </c>
      <c r="B24" s="149"/>
      <c r="C24" s="149"/>
      <c r="D24" s="149"/>
      <c r="E24" s="149"/>
      <c r="F24" s="149"/>
    </row>
    <row r="25" ht="60" customHeight="1" spans="1:6">
      <c r="A25" s="151" t="s">
        <v>548</v>
      </c>
      <c r="B25" s="152" t="s">
        <v>434</v>
      </c>
      <c r="C25" s="152"/>
      <c r="D25" s="152"/>
      <c r="E25" s="151" t="s">
        <v>6556</v>
      </c>
      <c r="F25" s="152" t="s">
        <v>436</v>
      </c>
    </row>
    <row r="26" ht="60" customHeight="1" spans="1:6">
      <c r="A26" s="151" t="s">
        <v>550</v>
      </c>
      <c r="B26" s="152" t="s">
        <v>434</v>
      </c>
      <c r="C26" s="152"/>
      <c r="D26" s="152"/>
      <c r="E26" s="151" t="s">
        <v>6557</v>
      </c>
      <c r="F26" s="152" t="s">
        <v>436</v>
      </c>
    </row>
    <row r="27" ht="75" customHeight="1" spans="1:6">
      <c r="A27" s="151" t="s">
        <v>552</v>
      </c>
      <c r="B27" s="152"/>
      <c r="C27" s="152" t="s">
        <v>434</v>
      </c>
      <c r="D27" s="152"/>
      <c r="E27" s="151" t="s">
        <v>6558</v>
      </c>
      <c r="F27" s="152" t="s">
        <v>436</v>
      </c>
    </row>
    <row r="28" ht="60" customHeight="1" spans="1:6">
      <c r="A28" s="151" t="s">
        <v>554</v>
      </c>
      <c r="B28" s="152" t="s">
        <v>434</v>
      </c>
      <c r="C28" s="152"/>
      <c r="D28" s="152"/>
      <c r="E28" s="151" t="s">
        <v>6559</v>
      </c>
      <c r="F28" s="152" t="s">
        <v>436</v>
      </c>
    </row>
    <row r="29" ht="30" customHeight="1" spans="1:6">
      <c r="A29" s="151" t="s">
        <v>556</v>
      </c>
      <c r="B29" s="152"/>
      <c r="C29" s="152" t="s">
        <v>434</v>
      </c>
      <c r="D29" s="152"/>
      <c r="E29" s="151" t="s">
        <v>6560</v>
      </c>
      <c r="F29" s="152" t="s">
        <v>7</v>
      </c>
    </row>
    <row r="30" customHeight="1" spans="1:6">
      <c r="A30" s="151" t="s">
        <v>224</v>
      </c>
      <c r="B30" s="152" t="s">
        <v>434</v>
      </c>
      <c r="C30" s="152"/>
      <c r="D30" s="152"/>
      <c r="E30" s="151" t="s">
        <v>6561</v>
      </c>
      <c r="F30" s="152" t="s">
        <v>7</v>
      </c>
    </row>
    <row r="31" ht="30" customHeight="1" spans="1:6">
      <c r="A31" s="151" t="s">
        <v>558</v>
      </c>
      <c r="B31" s="152"/>
      <c r="C31" s="152" t="s">
        <v>434</v>
      </c>
      <c r="D31" s="152"/>
      <c r="E31" s="151" t="s">
        <v>6562</v>
      </c>
      <c r="F31" s="152" t="s">
        <v>7</v>
      </c>
    </row>
    <row r="32" ht="30" customHeight="1" spans="1:6">
      <c r="A32" s="151" t="s">
        <v>246</v>
      </c>
      <c r="B32" s="152" t="s">
        <v>434</v>
      </c>
      <c r="C32" s="152"/>
      <c r="D32" s="152"/>
      <c r="E32" s="151" t="s">
        <v>6563</v>
      </c>
      <c r="F32" s="152" t="s">
        <v>7</v>
      </c>
    </row>
    <row r="33" ht="75" customHeight="1" spans="1:6">
      <c r="A33" s="151" t="s">
        <v>559</v>
      </c>
      <c r="B33" s="152" t="s">
        <v>434</v>
      </c>
      <c r="C33" s="152"/>
      <c r="D33" s="152"/>
      <c r="E33" s="151" t="s">
        <v>6564</v>
      </c>
      <c r="F33" s="152" t="s">
        <v>436</v>
      </c>
    </row>
    <row r="34" ht="45" customHeight="1" spans="1:6">
      <c r="A34" s="151" t="s">
        <v>561</v>
      </c>
      <c r="B34" s="152"/>
      <c r="C34" s="152" t="s">
        <v>434</v>
      </c>
      <c r="D34" s="152"/>
      <c r="E34" s="151" t="s">
        <v>6565</v>
      </c>
      <c r="F34" s="152" t="s">
        <v>436</v>
      </c>
    </row>
    <row r="35" spans="1:6">
      <c r="A35" s="149" t="s">
        <v>563</v>
      </c>
      <c r="B35" s="149"/>
      <c r="C35" s="149"/>
      <c r="D35" s="149"/>
      <c r="E35" s="149"/>
      <c r="F35" s="149"/>
    </row>
    <row r="36" ht="60" customHeight="1" spans="1:6">
      <c r="A36" s="151" t="s">
        <v>564</v>
      </c>
      <c r="B36" s="152" t="s">
        <v>434</v>
      </c>
      <c r="C36" s="152"/>
      <c r="D36" s="152"/>
      <c r="E36" s="151" t="s">
        <v>6566</v>
      </c>
      <c r="F36" s="152" t="s">
        <v>436</v>
      </c>
    </row>
    <row r="37" ht="45" customHeight="1" spans="1:6">
      <c r="A37" s="151" t="s">
        <v>566</v>
      </c>
      <c r="B37" s="152" t="s">
        <v>434</v>
      </c>
      <c r="C37" s="152"/>
      <c r="D37" s="152"/>
      <c r="E37" s="151" t="s">
        <v>6567</v>
      </c>
      <c r="F37" s="152" t="s">
        <v>436</v>
      </c>
    </row>
    <row r="38" ht="30" customHeight="1" spans="1:6">
      <c r="A38" s="151" t="s">
        <v>568</v>
      </c>
      <c r="B38" s="152"/>
      <c r="C38" s="152" t="s">
        <v>434</v>
      </c>
      <c r="D38" s="152"/>
      <c r="E38" s="151" t="s">
        <v>6568</v>
      </c>
      <c r="F38" s="152" t="s">
        <v>436</v>
      </c>
    </row>
    <row r="39" ht="45" customHeight="1" spans="1:6">
      <c r="A39" s="151" t="s">
        <v>570</v>
      </c>
      <c r="B39" s="152" t="s">
        <v>434</v>
      </c>
      <c r="C39" s="152"/>
      <c r="D39" s="152"/>
      <c r="E39" s="151" t="s">
        <v>6569</v>
      </c>
      <c r="F39" s="152" t="s">
        <v>436</v>
      </c>
    </row>
    <row r="40" ht="120" customHeight="1" spans="1:6">
      <c r="A40" s="151" t="s">
        <v>572</v>
      </c>
      <c r="B40" s="152"/>
      <c r="C40" s="152" t="s">
        <v>434</v>
      </c>
      <c r="D40" s="152"/>
      <c r="E40" s="151" t="s">
        <v>6570</v>
      </c>
      <c r="F40" s="152" t="s">
        <v>436</v>
      </c>
    </row>
    <row r="41" ht="45" customHeight="1" spans="1:6">
      <c r="A41" s="151" t="s">
        <v>574</v>
      </c>
      <c r="B41" s="152" t="s">
        <v>434</v>
      </c>
      <c r="C41" s="152"/>
      <c r="D41" s="152"/>
      <c r="E41" s="151" t="s">
        <v>6571</v>
      </c>
      <c r="F41" s="152" t="s">
        <v>7</v>
      </c>
    </row>
    <row r="42" ht="45" customHeight="1" spans="1:6">
      <c r="A42" s="151" t="s">
        <v>576</v>
      </c>
      <c r="B42" s="152" t="s">
        <v>434</v>
      </c>
      <c r="C42" s="152"/>
      <c r="D42" s="152"/>
      <c r="E42" s="151" t="s">
        <v>6572</v>
      </c>
      <c r="F42" s="152" t="s">
        <v>7</v>
      </c>
    </row>
    <row r="43" ht="45" customHeight="1" spans="1:6">
      <c r="A43" s="151" t="s">
        <v>578</v>
      </c>
      <c r="B43" s="152" t="s">
        <v>434</v>
      </c>
      <c r="C43" s="152"/>
      <c r="D43" s="152"/>
      <c r="E43" s="151" t="s">
        <v>6573</v>
      </c>
      <c r="F43" s="152" t="s">
        <v>7</v>
      </c>
    </row>
    <row r="44" ht="30" customHeight="1" spans="1:6">
      <c r="A44" s="151" t="s">
        <v>580</v>
      </c>
      <c r="B44" s="152"/>
      <c r="C44" s="152" t="s">
        <v>434</v>
      </c>
      <c r="D44" s="152"/>
      <c r="E44" s="151" t="s">
        <v>6574</v>
      </c>
      <c r="F44" s="152" t="s">
        <v>436</v>
      </c>
    </row>
    <row r="45" ht="45" customHeight="1" spans="1:6">
      <c r="A45" s="151" t="s">
        <v>582</v>
      </c>
      <c r="B45" s="152" t="s">
        <v>434</v>
      </c>
      <c r="C45" s="152"/>
      <c r="D45" s="152"/>
      <c r="E45" s="151" t="s">
        <v>6575</v>
      </c>
      <c r="F45" s="152" t="s">
        <v>7</v>
      </c>
    </row>
    <row r="46" ht="45" customHeight="1" spans="1:6">
      <c r="A46" s="151" t="s">
        <v>584</v>
      </c>
      <c r="B46" s="152" t="s">
        <v>434</v>
      </c>
      <c r="C46" s="152"/>
      <c r="D46" s="152"/>
      <c r="E46" s="151" t="s">
        <v>6576</v>
      </c>
      <c r="F46" s="152" t="s">
        <v>7</v>
      </c>
    </row>
    <row r="47" spans="1:6">
      <c r="A47" s="153" t="s">
        <v>586</v>
      </c>
      <c r="B47" s="149"/>
      <c r="C47" s="149"/>
      <c r="D47" s="149"/>
      <c r="E47" s="149"/>
      <c r="F47" s="149"/>
    </row>
    <row r="48" ht="30" customHeight="1" spans="1:6">
      <c r="A48" s="151" t="s">
        <v>962</v>
      </c>
      <c r="B48" s="152"/>
      <c r="C48" s="152" t="s">
        <v>434</v>
      </c>
      <c r="D48" s="152"/>
      <c r="E48" s="151" t="s">
        <v>6577</v>
      </c>
      <c r="F48" s="152" t="s">
        <v>436</v>
      </c>
    </row>
    <row r="49" ht="75" customHeight="1" spans="1:6">
      <c r="A49" s="151" t="s">
        <v>589</v>
      </c>
      <c r="B49" s="152"/>
      <c r="C49" s="152" t="s">
        <v>434</v>
      </c>
      <c r="D49" s="152"/>
      <c r="E49" s="151" t="s">
        <v>6578</v>
      </c>
      <c r="F49" s="152" t="s">
        <v>436</v>
      </c>
    </row>
    <row r="50" ht="30" customHeight="1" spans="1:6">
      <c r="A50" s="151" t="s">
        <v>591</v>
      </c>
      <c r="B50" s="152"/>
      <c r="C50" s="152" t="s">
        <v>434</v>
      </c>
      <c r="D50" s="152"/>
      <c r="E50" s="151" t="s">
        <v>6579</v>
      </c>
      <c r="F50" s="152" t="s">
        <v>436</v>
      </c>
    </row>
    <row r="51" ht="30" customHeight="1" spans="1:6">
      <c r="A51" s="151" t="s">
        <v>593</v>
      </c>
      <c r="B51" s="152"/>
      <c r="C51" s="152" t="s">
        <v>434</v>
      </c>
      <c r="D51" s="152"/>
      <c r="E51" s="151" t="s">
        <v>6580</v>
      </c>
      <c r="F51" s="152" t="s">
        <v>436</v>
      </c>
    </row>
    <row r="52" ht="30" customHeight="1" spans="1:6">
      <c r="A52" s="151" t="s">
        <v>595</v>
      </c>
      <c r="B52" s="152" t="s">
        <v>434</v>
      </c>
      <c r="C52" s="152"/>
      <c r="D52" s="152"/>
      <c r="E52" s="151" t="s">
        <v>6581</v>
      </c>
      <c r="F52" s="152" t="s">
        <v>7</v>
      </c>
    </row>
    <row r="53" ht="75" customHeight="1" spans="1:6">
      <c r="A53" s="151" t="s">
        <v>597</v>
      </c>
      <c r="B53" s="152"/>
      <c r="C53" s="152" t="s">
        <v>434</v>
      </c>
      <c r="D53" s="152"/>
      <c r="E53" s="151" t="s">
        <v>6582</v>
      </c>
      <c r="F53" s="152" t="s">
        <v>436</v>
      </c>
    </row>
    <row r="54" ht="90" customHeight="1" spans="1:6">
      <c r="A54" s="151" t="s">
        <v>599</v>
      </c>
      <c r="B54" s="152"/>
      <c r="C54" s="152" t="s">
        <v>434</v>
      </c>
      <c r="D54" s="152"/>
      <c r="E54" s="151" t="s">
        <v>6583</v>
      </c>
      <c r="F54" s="152" t="s">
        <v>7</v>
      </c>
    </row>
    <row r="55" ht="45" customHeight="1" spans="1:6">
      <c r="A55" s="151" t="s">
        <v>601</v>
      </c>
      <c r="B55" s="152" t="s">
        <v>434</v>
      </c>
      <c r="C55" s="152"/>
      <c r="D55" s="152"/>
      <c r="E55" s="151" t="s">
        <v>6584</v>
      </c>
      <c r="F55" s="152" t="s">
        <v>7</v>
      </c>
    </row>
    <row r="56" ht="60" customHeight="1" spans="1:6">
      <c r="A56" s="151" t="s">
        <v>603</v>
      </c>
      <c r="B56" s="152"/>
      <c r="C56" s="152" t="s">
        <v>434</v>
      </c>
      <c r="D56" s="152"/>
      <c r="E56" s="151" t="s">
        <v>6585</v>
      </c>
      <c r="F56" s="152" t="s">
        <v>7</v>
      </c>
    </row>
    <row r="57" ht="60" customHeight="1" spans="1:6">
      <c r="A57" s="151" t="s">
        <v>605</v>
      </c>
      <c r="B57" s="152" t="s">
        <v>434</v>
      </c>
      <c r="C57" s="152"/>
      <c r="D57" s="152"/>
      <c r="E57" s="151" t="s">
        <v>6586</v>
      </c>
      <c r="F57" s="152" t="s">
        <v>7</v>
      </c>
    </row>
    <row r="58" ht="60" customHeight="1" spans="1:6">
      <c r="A58" s="151" t="s">
        <v>607</v>
      </c>
      <c r="B58" s="152"/>
      <c r="C58" s="152" t="s">
        <v>434</v>
      </c>
      <c r="D58" s="152"/>
      <c r="E58" s="151" t="s">
        <v>6587</v>
      </c>
      <c r="F58" s="152" t="s">
        <v>7</v>
      </c>
    </row>
    <row r="59" ht="45" customHeight="1" spans="1:6">
      <c r="A59" s="151" t="s">
        <v>609</v>
      </c>
      <c r="B59" s="152" t="s">
        <v>434</v>
      </c>
      <c r="C59" s="152"/>
      <c r="D59" s="152"/>
      <c r="E59" s="151" t="s">
        <v>6588</v>
      </c>
      <c r="F59" s="152" t="s">
        <v>7</v>
      </c>
    </row>
    <row r="60" spans="1:6">
      <c r="A60" s="153" t="s">
        <v>611</v>
      </c>
      <c r="B60" s="149"/>
      <c r="C60" s="149"/>
      <c r="D60" s="149"/>
      <c r="E60" s="149"/>
      <c r="F60" s="149"/>
    </row>
    <row r="61" ht="60" customHeight="1" spans="1:6">
      <c r="A61" s="151" t="s">
        <v>612</v>
      </c>
      <c r="B61" s="152" t="s">
        <v>434</v>
      </c>
      <c r="C61" s="152"/>
      <c r="D61" s="152"/>
      <c r="E61" s="151" t="s">
        <v>6589</v>
      </c>
      <c r="F61" s="152" t="s">
        <v>436</v>
      </c>
    </row>
    <row r="62" ht="75" customHeight="1" spans="1:6">
      <c r="A62" s="151" t="s">
        <v>614</v>
      </c>
      <c r="B62" s="152"/>
      <c r="C62" s="152" t="s">
        <v>434</v>
      </c>
      <c r="D62" s="152"/>
      <c r="E62" s="151" t="s">
        <v>6590</v>
      </c>
      <c r="F62" s="152" t="s">
        <v>436</v>
      </c>
    </row>
    <row r="63" ht="60" customHeight="1" spans="1:6">
      <c r="A63" s="151" t="s">
        <v>616</v>
      </c>
      <c r="B63" s="152" t="s">
        <v>434</v>
      </c>
      <c r="C63" s="152"/>
      <c r="D63" s="152"/>
      <c r="E63" s="151" t="s">
        <v>6591</v>
      </c>
      <c r="F63" s="152" t="s">
        <v>7</v>
      </c>
    </row>
    <row r="64" ht="45" customHeight="1" spans="1:6">
      <c r="A64" s="151" t="s">
        <v>978</v>
      </c>
      <c r="B64" s="152" t="s">
        <v>434</v>
      </c>
      <c r="C64" s="152"/>
      <c r="D64" s="152"/>
      <c r="E64" s="151" t="s">
        <v>6592</v>
      </c>
      <c r="F64" s="152" t="s">
        <v>436</v>
      </c>
    </row>
    <row r="65" ht="60" customHeight="1" spans="1:6">
      <c r="A65" s="151" t="s">
        <v>620</v>
      </c>
      <c r="B65" s="152"/>
      <c r="C65" s="152" t="s">
        <v>434</v>
      </c>
      <c r="D65" s="152"/>
      <c r="E65" s="151" t="s">
        <v>6593</v>
      </c>
      <c r="F65" s="152" t="s">
        <v>7</v>
      </c>
    </row>
    <row r="66" ht="60" customHeight="1" spans="1:6">
      <c r="A66" s="151" t="s">
        <v>622</v>
      </c>
      <c r="B66" s="152" t="s">
        <v>434</v>
      </c>
      <c r="C66" s="152"/>
      <c r="D66" s="152"/>
      <c r="E66" s="151" t="s">
        <v>6594</v>
      </c>
      <c r="F66" s="152" t="s">
        <v>7</v>
      </c>
    </row>
    <row r="67" ht="25.5" spans="1:6">
      <c r="A67" s="153" t="s">
        <v>624</v>
      </c>
      <c r="B67" s="149"/>
      <c r="C67" s="149"/>
      <c r="D67" s="149"/>
      <c r="E67" s="149"/>
      <c r="F67" s="149"/>
    </row>
    <row r="68" ht="75" customHeight="1" spans="1:6">
      <c r="A68" s="151" t="s">
        <v>625</v>
      </c>
      <c r="B68" s="152"/>
      <c r="C68" s="152" t="s">
        <v>434</v>
      </c>
      <c r="D68" s="152"/>
      <c r="E68" s="151" t="s">
        <v>6595</v>
      </c>
      <c r="F68" s="152" t="s">
        <v>436</v>
      </c>
    </row>
    <row r="69" ht="45" customHeight="1" spans="1:6">
      <c r="A69" s="151" t="s">
        <v>627</v>
      </c>
      <c r="B69" s="152"/>
      <c r="C69" s="152" t="s">
        <v>434</v>
      </c>
      <c r="D69" s="152"/>
      <c r="E69" s="151" t="s">
        <v>6596</v>
      </c>
      <c r="F69" s="152" t="s">
        <v>7</v>
      </c>
    </row>
    <row r="70" ht="30" customHeight="1" spans="1:6">
      <c r="A70" s="151" t="s">
        <v>629</v>
      </c>
      <c r="B70" s="152"/>
      <c r="C70" s="152" t="s">
        <v>434</v>
      </c>
      <c r="D70" s="152"/>
      <c r="E70" s="151" t="s">
        <v>6597</v>
      </c>
      <c r="F70" s="152" t="s">
        <v>7</v>
      </c>
    </row>
    <row r="71" ht="45" customHeight="1" spans="1:6">
      <c r="A71" s="151" t="s">
        <v>631</v>
      </c>
      <c r="B71" s="152"/>
      <c r="C71" s="152" t="s">
        <v>434</v>
      </c>
      <c r="D71" s="152"/>
      <c r="E71" s="151" t="s">
        <v>6598</v>
      </c>
      <c r="F71" s="152" t="s">
        <v>7</v>
      </c>
    </row>
    <row r="72" ht="45" customHeight="1" spans="1:6">
      <c r="A72" s="151" t="s">
        <v>633</v>
      </c>
      <c r="B72" s="152" t="s">
        <v>434</v>
      </c>
      <c r="C72" s="152"/>
      <c r="D72" s="152"/>
      <c r="E72" s="151" t="s">
        <v>6599</v>
      </c>
      <c r="F72" s="152" t="s">
        <v>7</v>
      </c>
    </row>
    <row r="73" ht="75" customHeight="1" spans="1:6">
      <c r="A73" s="151" t="s">
        <v>635</v>
      </c>
      <c r="B73" s="152" t="s">
        <v>434</v>
      </c>
      <c r="C73" s="152"/>
      <c r="D73" s="152"/>
      <c r="E73" s="151" t="s">
        <v>6600</v>
      </c>
      <c r="F73" s="152" t="s">
        <v>7</v>
      </c>
    </row>
    <row r="74" ht="60" customHeight="1" spans="1:6">
      <c r="A74" s="151" t="s">
        <v>637</v>
      </c>
      <c r="B74" s="152" t="s">
        <v>434</v>
      </c>
      <c r="C74" s="152"/>
      <c r="D74" s="152"/>
      <c r="E74" s="151" t="s">
        <v>6601</v>
      </c>
      <c r="F74" s="152" t="s">
        <v>436</v>
      </c>
    </row>
    <row r="75" ht="45" customHeight="1" spans="1:6">
      <c r="A75" s="151" t="s">
        <v>639</v>
      </c>
      <c r="B75" s="152" t="s">
        <v>434</v>
      </c>
      <c r="C75" s="152"/>
      <c r="D75" s="152"/>
      <c r="E75" s="151" t="s">
        <v>6602</v>
      </c>
      <c r="F75" s="152" t="s">
        <v>7</v>
      </c>
    </row>
    <row r="76" ht="45" customHeight="1" spans="1:6">
      <c r="A76" s="151" t="s">
        <v>641</v>
      </c>
      <c r="B76" s="152" t="s">
        <v>434</v>
      </c>
      <c r="C76" s="152"/>
      <c r="D76" s="152"/>
      <c r="E76" s="151" t="s">
        <v>6603</v>
      </c>
      <c r="F76" s="152" t="s">
        <v>436</v>
      </c>
    </row>
    <row r="77" ht="30" customHeight="1" spans="1:6">
      <c r="A77" s="151" t="s">
        <v>643</v>
      </c>
      <c r="B77" s="152" t="s">
        <v>434</v>
      </c>
      <c r="C77" s="152"/>
      <c r="D77" s="152"/>
      <c r="E77" s="151" t="s">
        <v>6604</v>
      </c>
      <c r="F77" s="152" t="s">
        <v>7</v>
      </c>
    </row>
    <row r="78" ht="60" customHeight="1" spans="1:6">
      <c r="A78" s="151" t="s">
        <v>645</v>
      </c>
      <c r="B78" s="152"/>
      <c r="C78" s="152" t="s">
        <v>434</v>
      </c>
      <c r="D78" s="152"/>
      <c r="E78" s="151" t="s">
        <v>6605</v>
      </c>
      <c r="F78" s="152" t="s">
        <v>436</v>
      </c>
    </row>
    <row r="79" customHeight="1" spans="1:6">
      <c r="A79" s="151" t="s">
        <v>647</v>
      </c>
      <c r="B79" s="152"/>
      <c r="C79" s="152"/>
      <c r="D79" s="152" t="s">
        <v>434</v>
      </c>
      <c r="E79" s="151" t="s">
        <v>993</v>
      </c>
      <c r="F79" s="152" t="s">
        <v>7</v>
      </c>
    </row>
    <row r="80" customHeight="1" spans="1:6">
      <c r="A80" s="151" t="s">
        <v>649</v>
      </c>
      <c r="B80" s="152" t="s">
        <v>434</v>
      </c>
      <c r="C80" s="152"/>
      <c r="D80" s="152"/>
      <c r="E80" s="151" t="s">
        <v>6606</v>
      </c>
      <c r="F80" s="152" t="s">
        <v>7</v>
      </c>
    </row>
    <row r="81" ht="45" customHeight="1" spans="1:6">
      <c r="A81" s="151" t="s">
        <v>650</v>
      </c>
      <c r="B81" s="152" t="s">
        <v>434</v>
      </c>
      <c r="C81" s="152"/>
      <c r="D81" s="152"/>
      <c r="E81" s="151" t="s">
        <v>6607</v>
      </c>
      <c r="F81" s="152" t="s">
        <v>436</v>
      </c>
    </row>
    <row r="82" ht="60" customHeight="1" spans="1:6">
      <c r="A82" s="151" t="s">
        <v>652</v>
      </c>
      <c r="B82" s="152" t="s">
        <v>434</v>
      </c>
      <c r="C82" s="152"/>
      <c r="D82" s="152"/>
      <c r="E82" s="151" t="s">
        <v>6608</v>
      </c>
      <c r="F82" s="152" t="s">
        <v>436</v>
      </c>
    </row>
    <row r="83" ht="60" customHeight="1" spans="1:6">
      <c r="A83" s="151" t="s">
        <v>654</v>
      </c>
      <c r="B83" s="152"/>
      <c r="C83" s="152" t="s">
        <v>434</v>
      </c>
      <c r="D83" s="152"/>
      <c r="E83" s="151" t="s">
        <v>6609</v>
      </c>
      <c r="F83" s="152" t="s">
        <v>7</v>
      </c>
    </row>
    <row r="84" ht="45" customHeight="1" spans="1:6">
      <c r="A84" s="151" t="s">
        <v>656</v>
      </c>
      <c r="B84" s="152"/>
      <c r="C84" s="152" t="s">
        <v>434</v>
      </c>
      <c r="D84" s="152"/>
      <c r="E84" s="151" t="s">
        <v>6610</v>
      </c>
      <c r="F84" s="152" t="s">
        <v>7</v>
      </c>
    </row>
    <row r="85" ht="60" customHeight="1" spans="1:6">
      <c r="A85" s="151" t="s">
        <v>658</v>
      </c>
      <c r="B85" s="152" t="s">
        <v>434</v>
      </c>
      <c r="C85" s="152"/>
      <c r="D85" s="152"/>
      <c r="E85" s="151" t="s">
        <v>6611</v>
      </c>
      <c r="F85" s="152" t="s">
        <v>7</v>
      </c>
    </row>
    <row r="86" ht="45" customHeight="1" spans="1:6">
      <c r="A86" s="151" t="s">
        <v>660</v>
      </c>
      <c r="B86" s="152"/>
      <c r="C86" s="152" t="s">
        <v>434</v>
      </c>
      <c r="D86" s="152"/>
      <c r="E86" s="151" t="s">
        <v>6612</v>
      </c>
      <c r="F86" s="152" t="s">
        <v>436</v>
      </c>
    </row>
    <row r="87" ht="60" customHeight="1" spans="1:6">
      <c r="A87" s="151" t="s">
        <v>662</v>
      </c>
      <c r="B87" s="152" t="s">
        <v>434</v>
      </c>
      <c r="C87" s="152"/>
      <c r="D87" s="152"/>
      <c r="E87" s="151" t="s">
        <v>6613</v>
      </c>
      <c r="F87" s="152" t="s">
        <v>7</v>
      </c>
    </row>
    <row r="88" ht="30" customHeight="1" spans="1:6">
      <c r="A88" s="151" t="s">
        <v>660</v>
      </c>
      <c r="B88" s="152"/>
      <c r="C88" s="152" t="s">
        <v>434</v>
      </c>
      <c r="D88" s="152"/>
      <c r="E88" s="151" t="s">
        <v>6614</v>
      </c>
      <c r="F88" s="152" t="s">
        <v>436</v>
      </c>
    </row>
    <row r="89" ht="30" customHeight="1" spans="1:6">
      <c r="A89" s="151" t="s">
        <v>665</v>
      </c>
      <c r="B89" s="152"/>
      <c r="C89" s="152" t="s">
        <v>434</v>
      </c>
      <c r="D89" s="152"/>
      <c r="E89" s="151" t="s">
        <v>6615</v>
      </c>
      <c r="F89" s="152" t="s">
        <v>7</v>
      </c>
    </row>
    <row r="90" customHeight="1" spans="1:6">
      <c r="A90" s="151" t="s">
        <v>660</v>
      </c>
      <c r="B90" s="152"/>
      <c r="C90" s="152"/>
      <c r="D90" s="152" t="s">
        <v>434</v>
      </c>
      <c r="E90" s="151" t="s">
        <v>1985</v>
      </c>
      <c r="F90" s="152" t="s">
        <v>436</v>
      </c>
    </row>
    <row r="91" spans="1:6">
      <c r="A91" s="149" t="s">
        <v>6616</v>
      </c>
      <c r="B91" s="149"/>
      <c r="C91" s="149"/>
      <c r="D91" s="149"/>
      <c r="E91" s="149"/>
      <c r="F91" s="149"/>
    </row>
    <row r="92" ht="75" customHeight="1" spans="1:6">
      <c r="A92" s="151" t="s">
        <v>6617</v>
      </c>
      <c r="B92" s="152"/>
      <c r="C92" s="152" t="s">
        <v>434</v>
      </c>
      <c r="D92" s="152"/>
      <c r="E92" s="151" t="s">
        <v>6618</v>
      </c>
      <c r="F92" s="152" t="s">
        <v>7</v>
      </c>
    </row>
    <row r="93" ht="45" customHeight="1" spans="1:6">
      <c r="A93" s="151" t="s">
        <v>6619</v>
      </c>
      <c r="B93" s="152"/>
      <c r="C93" s="152" t="s">
        <v>434</v>
      </c>
      <c r="D93" s="152"/>
      <c r="E93" s="151" t="s">
        <v>6620</v>
      </c>
      <c r="F93" s="152" t="s">
        <v>7</v>
      </c>
    </row>
    <row r="94" spans="1:6">
      <c r="A94" s="149" t="s">
        <v>519</v>
      </c>
      <c r="B94" s="150">
        <f>COUNTIF(B14:B93,"x")</f>
        <v>33</v>
      </c>
      <c r="C94" s="150">
        <f>COUNTIF(C14:C93,"x")</f>
        <v>36</v>
      </c>
      <c r="D94" s="150">
        <f>COUNTIF(D14:D93,"x")</f>
        <v>4</v>
      </c>
    </row>
    <row r="96" spans="1:6">
      <c r="A96" s="149" t="s">
        <v>1004</v>
      </c>
      <c r="B96" s="154"/>
      <c r="C96" s="154"/>
      <c r="D96" s="154"/>
      <c r="E96" s="154"/>
      <c r="F96" s="155"/>
    </row>
    <row r="97" ht="60" customHeight="1" spans="1:6">
      <c r="A97" s="151" t="s">
        <v>6621</v>
      </c>
      <c r="B97" s="156"/>
      <c r="C97" s="156"/>
      <c r="D97" s="156"/>
      <c r="E97" s="156"/>
      <c r="F97" s="157"/>
    </row>
    <row r="98" spans="1:6">
      <c r="A98" s="149" t="s">
        <v>522</v>
      </c>
      <c r="B98" s="154"/>
      <c r="C98" s="154"/>
      <c r="D98" s="154"/>
      <c r="E98" s="154"/>
      <c r="F98" s="155"/>
    </row>
    <row r="99" ht="105" customHeight="1" spans="1:6">
      <c r="A99" s="151" t="s">
        <v>6622</v>
      </c>
      <c r="B99" s="156"/>
      <c r="C99" s="156"/>
      <c r="D99" s="156"/>
      <c r="E99" s="156"/>
      <c r="F99" s="157"/>
    </row>
    <row r="100" spans="1:6">
      <c r="A100" s="158" t="s">
        <v>524</v>
      </c>
      <c r="B100" s="156"/>
      <c r="C100" s="156"/>
      <c r="D100" s="156"/>
      <c r="E100" s="156"/>
      <c r="F100" s="157"/>
    </row>
    <row r="101" spans="1:6">
      <c r="A101" s="158" t="s">
        <v>525</v>
      </c>
      <c r="B101" s="156"/>
      <c r="C101" s="156"/>
      <c r="D101" s="156"/>
      <c r="E101" s="156"/>
      <c r="F101" s="157"/>
    </row>
    <row r="102" spans="1:6">
      <c r="A102" s="158" t="s">
        <v>526</v>
      </c>
      <c r="B102" s="156"/>
      <c r="C102" s="156"/>
      <c r="D102" s="156"/>
      <c r="E102" s="156"/>
      <c r="F102" s="157"/>
    </row>
  </sheetData>
  <mergeCells count="17">
    <mergeCell ref="A1:F1"/>
    <mergeCell ref="B3:F3"/>
    <mergeCell ref="B4:F4"/>
    <mergeCell ref="B5:F5"/>
    <mergeCell ref="B6:F6"/>
    <mergeCell ref="B7:F7"/>
    <mergeCell ref="B8:F8"/>
    <mergeCell ref="B9:F9"/>
    <mergeCell ref="B10:F10"/>
    <mergeCell ref="B11:F11"/>
    <mergeCell ref="A96:F96"/>
    <mergeCell ref="A97:F97"/>
    <mergeCell ref="A98:F98"/>
    <mergeCell ref="A99:F99"/>
    <mergeCell ref="A100:F100"/>
    <mergeCell ref="A101:F101"/>
    <mergeCell ref="A102:F102"/>
  </mergeCells>
  <pageMargins left="0.75" right="0.75" top="1" bottom="1" header="0.5" footer="0.5"/>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8"/>
  <sheetViews>
    <sheetView workbookViewId="0">
      <pane xSplit="1" ySplit="12" topLeftCell="B13" activePane="bottomRight" state="frozen"/>
      <selection/>
      <selection pane="topRight"/>
      <selection pane="bottomLeft"/>
      <selection pane="bottomRight" activeCell="A1" sqref="A1:F1"/>
    </sheetView>
  </sheetViews>
  <sheetFormatPr defaultColWidth="9" defaultRowHeight="15" outlineLevelCol="5"/>
  <cols>
    <col min="1" max="1" width="64.2857142857143" customWidth="1"/>
    <col min="2" max="2" width="7.42857142857143" customWidth="1"/>
    <col min="3" max="3" width="6.71428571428571" customWidth="1"/>
    <col min="4" max="4" width="4" customWidth="1"/>
    <col min="5" max="5" width="53.8571428571429" customWidth="1"/>
    <col min="6" max="6" width="9.14285714285714" customWidth="1"/>
  </cols>
  <sheetData>
    <row r="1" ht="24" customHeight="1" spans="1:6">
      <c r="A1" s="128" t="s">
        <v>1007</v>
      </c>
      <c r="B1" s="129"/>
      <c r="C1" s="129"/>
      <c r="D1" s="129"/>
      <c r="E1" s="129"/>
      <c r="F1" s="130"/>
    </row>
    <row r="3" customHeight="1" spans="1:6">
      <c r="A3" s="131" t="s">
        <v>1008</v>
      </c>
      <c r="B3" s="132" t="s">
        <v>227</v>
      </c>
      <c r="C3" s="133"/>
      <c r="D3" s="133"/>
      <c r="E3" s="133"/>
      <c r="F3" s="134"/>
    </row>
    <row r="4" ht="45" customHeight="1" spans="1:6">
      <c r="A4" s="131" t="s">
        <v>1009</v>
      </c>
      <c r="B4" s="135" t="s">
        <v>6623</v>
      </c>
      <c r="C4" s="133"/>
      <c r="D4" s="133"/>
      <c r="E4" s="133"/>
      <c r="F4" s="134"/>
    </row>
    <row r="5" customHeight="1" spans="1:6">
      <c r="A5" s="131" t="s">
        <v>1011</v>
      </c>
      <c r="B5" s="132" t="s">
        <v>231</v>
      </c>
      <c r="C5" s="133"/>
      <c r="D5" s="133"/>
      <c r="E5" s="133"/>
      <c r="F5" s="134"/>
    </row>
    <row r="6" customHeight="1" spans="1:6">
      <c r="A6" s="131" t="s">
        <v>1012</v>
      </c>
      <c r="B6" s="132" t="s">
        <v>60</v>
      </c>
      <c r="C6" s="133"/>
      <c r="D6" s="133"/>
      <c r="E6" s="133"/>
      <c r="F6" s="134"/>
    </row>
    <row r="7" customHeight="1" spans="1:6">
      <c r="A7" s="131" t="s">
        <v>1013</v>
      </c>
      <c r="B7" s="132" t="s">
        <v>7</v>
      </c>
      <c r="C7" s="133"/>
      <c r="D7" s="133"/>
      <c r="E7" s="133"/>
      <c r="F7" s="134"/>
    </row>
    <row r="8" customHeight="1" spans="1:6">
      <c r="A8" s="131" t="s">
        <v>1014</v>
      </c>
      <c r="B8" s="132" t="s">
        <v>233</v>
      </c>
      <c r="C8" s="133"/>
      <c r="D8" s="133"/>
      <c r="E8" s="133"/>
      <c r="F8" s="134"/>
    </row>
    <row r="9" ht="75" customHeight="1" spans="1:6">
      <c r="A9" s="131" t="s">
        <v>1015</v>
      </c>
      <c r="B9" s="135" t="s">
        <v>6624</v>
      </c>
      <c r="C9" s="133"/>
      <c r="D9" s="133"/>
      <c r="E9" s="133"/>
      <c r="F9" s="134"/>
    </row>
    <row r="10" customHeight="1" spans="1:6">
      <c r="A10" s="131" t="s">
        <v>1017</v>
      </c>
      <c r="B10" s="132" t="s">
        <v>103</v>
      </c>
      <c r="C10" s="133"/>
      <c r="D10" s="133"/>
      <c r="E10" s="133"/>
      <c r="F10" s="134"/>
    </row>
    <row r="12" spans="1:6">
      <c r="A12" s="136" t="s">
        <v>426</v>
      </c>
      <c r="B12" s="137" t="s">
        <v>427</v>
      </c>
      <c r="C12" s="137" t="s">
        <v>428</v>
      </c>
      <c r="D12" s="137" t="s">
        <v>429</v>
      </c>
      <c r="E12" s="137" t="s">
        <v>430</v>
      </c>
    </row>
    <row r="13" spans="1:6">
      <c r="A13" s="136" t="s">
        <v>1018</v>
      </c>
      <c r="B13" s="136"/>
      <c r="C13" s="136"/>
      <c r="D13" s="136"/>
      <c r="E13" s="136"/>
    </row>
    <row r="14" ht="75" customHeight="1" spans="1:6">
      <c r="A14" s="138" t="s">
        <v>1019</v>
      </c>
      <c r="B14" s="139" t="s">
        <v>434</v>
      </c>
      <c r="C14" s="139"/>
      <c r="D14" s="139"/>
      <c r="E14" s="138" t="s">
        <v>6625</v>
      </c>
    </row>
    <row r="15" spans="1:6">
      <c r="A15" s="136" t="s">
        <v>1021</v>
      </c>
      <c r="B15" s="136"/>
      <c r="C15" s="136"/>
      <c r="D15" s="136"/>
      <c r="E15" s="136"/>
    </row>
    <row r="16" ht="75" customHeight="1" spans="1:6">
      <c r="A16" s="138" t="s">
        <v>1022</v>
      </c>
      <c r="B16" s="139" t="s">
        <v>434</v>
      </c>
      <c r="C16" s="139"/>
      <c r="D16" s="139"/>
      <c r="E16" s="138" t="s">
        <v>6626</v>
      </c>
    </row>
    <row r="17" ht="60" customHeight="1" spans="1:5">
      <c r="A17" s="138" t="s">
        <v>1024</v>
      </c>
      <c r="B17" s="139" t="s">
        <v>434</v>
      </c>
      <c r="C17" s="139"/>
      <c r="D17" s="139"/>
      <c r="E17" s="138" t="s">
        <v>6627</v>
      </c>
    </row>
    <row r="18" ht="45" customHeight="1" spans="1:5">
      <c r="A18" s="138" t="s">
        <v>1026</v>
      </c>
      <c r="B18" s="139" t="s">
        <v>434</v>
      </c>
      <c r="C18" s="139"/>
      <c r="D18" s="139"/>
      <c r="E18" s="138" t="s">
        <v>6628</v>
      </c>
    </row>
    <row r="19" ht="45" customHeight="1" spans="1:5">
      <c r="A19" s="138" t="s">
        <v>1028</v>
      </c>
      <c r="B19" s="139" t="s">
        <v>434</v>
      </c>
      <c r="C19" s="139"/>
      <c r="D19" s="139"/>
      <c r="E19" s="138" t="s">
        <v>6629</v>
      </c>
    </row>
    <row r="20" ht="60" customHeight="1" spans="1:5">
      <c r="A20" s="138" t="s">
        <v>1030</v>
      </c>
      <c r="B20" s="139"/>
      <c r="C20" s="139" t="s">
        <v>434</v>
      </c>
      <c r="D20" s="139"/>
      <c r="E20" s="138" t="s">
        <v>6630</v>
      </c>
    </row>
    <row r="21" ht="60" customHeight="1" spans="1:5">
      <c r="A21" s="138" t="s">
        <v>1032</v>
      </c>
      <c r="B21" s="139" t="s">
        <v>434</v>
      </c>
      <c r="C21" s="139"/>
      <c r="D21" s="139"/>
      <c r="E21" s="138" t="s">
        <v>6631</v>
      </c>
    </row>
    <row r="22" ht="60" customHeight="1" spans="1:5">
      <c r="A22" s="138" t="s">
        <v>1034</v>
      </c>
      <c r="B22" s="139"/>
      <c r="C22" s="139" t="s">
        <v>434</v>
      </c>
      <c r="D22" s="139"/>
      <c r="E22" s="138" t="s">
        <v>6632</v>
      </c>
    </row>
    <row r="23" ht="75" customHeight="1" spans="1:5">
      <c r="A23" s="138" t="s">
        <v>1036</v>
      </c>
      <c r="B23" s="139"/>
      <c r="C23" s="139" t="s">
        <v>434</v>
      </c>
      <c r="D23" s="139"/>
      <c r="E23" s="138" t="s">
        <v>6633</v>
      </c>
    </row>
    <row r="24" ht="60" customHeight="1" spans="1:5">
      <c r="A24" s="138" t="s">
        <v>1038</v>
      </c>
      <c r="B24" s="139" t="s">
        <v>434</v>
      </c>
      <c r="C24" s="139"/>
      <c r="D24" s="139"/>
      <c r="E24" s="138" t="s">
        <v>6634</v>
      </c>
    </row>
    <row r="25" ht="45" customHeight="1" spans="1:5">
      <c r="A25" s="138" t="s">
        <v>1040</v>
      </c>
      <c r="B25" s="139" t="s">
        <v>434</v>
      </c>
      <c r="C25" s="139"/>
      <c r="D25" s="139"/>
      <c r="E25" s="138" t="s">
        <v>6635</v>
      </c>
    </row>
    <row r="26" ht="75" customHeight="1" spans="1:5">
      <c r="A26" s="138" t="s">
        <v>1042</v>
      </c>
      <c r="B26" s="139"/>
      <c r="C26" s="139" t="s">
        <v>434</v>
      </c>
      <c r="D26" s="139"/>
      <c r="E26" s="138" t="s">
        <v>6636</v>
      </c>
    </row>
    <row r="27" ht="60" customHeight="1" spans="1:5">
      <c r="A27" s="138" t="s">
        <v>1044</v>
      </c>
      <c r="B27" s="139"/>
      <c r="C27" s="139" t="s">
        <v>434</v>
      </c>
      <c r="D27" s="139"/>
      <c r="E27" s="138" t="s">
        <v>6637</v>
      </c>
    </row>
    <row r="28" ht="60" customHeight="1" spans="1:5">
      <c r="A28" s="138" t="s">
        <v>1046</v>
      </c>
      <c r="B28" s="139" t="s">
        <v>434</v>
      </c>
      <c r="C28" s="139"/>
      <c r="D28" s="139"/>
      <c r="E28" s="138" t="s">
        <v>6638</v>
      </c>
    </row>
    <row r="29" ht="60" customHeight="1" spans="1:5">
      <c r="A29" s="138" t="s">
        <v>1048</v>
      </c>
      <c r="B29" s="139" t="s">
        <v>434</v>
      </c>
      <c r="C29" s="139"/>
      <c r="D29" s="139"/>
      <c r="E29" s="138" t="s">
        <v>6639</v>
      </c>
    </row>
    <row r="30" spans="1:5">
      <c r="A30" s="136" t="s">
        <v>1050</v>
      </c>
      <c r="B30" s="136"/>
      <c r="C30" s="136"/>
      <c r="D30" s="136"/>
      <c r="E30" s="136"/>
    </row>
    <row r="31" ht="90" customHeight="1" spans="1:5">
      <c r="A31" s="138" t="s">
        <v>1051</v>
      </c>
      <c r="B31" s="139"/>
      <c r="C31" s="139" t="s">
        <v>434</v>
      </c>
      <c r="D31" s="139"/>
      <c r="E31" s="138" t="s">
        <v>6640</v>
      </c>
    </row>
    <row r="32" ht="75" customHeight="1" spans="1:5">
      <c r="A32" s="138" t="s">
        <v>1053</v>
      </c>
      <c r="B32" s="139" t="s">
        <v>434</v>
      </c>
      <c r="C32" s="139"/>
      <c r="D32" s="139"/>
      <c r="E32" s="138" t="s">
        <v>6641</v>
      </c>
    </row>
    <row r="33" ht="75" customHeight="1" spans="1:5">
      <c r="A33" s="138" t="s">
        <v>1055</v>
      </c>
      <c r="B33" s="139" t="s">
        <v>434</v>
      </c>
      <c r="C33" s="139"/>
      <c r="D33" s="139"/>
      <c r="E33" s="138" t="s">
        <v>6642</v>
      </c>
    </row>
    <row r="34" spans="1:5">
      <c r="A34" s="136" t="s">
        <v>1057</v>
      </c>
      <c r="B34" s="136"/>
      <c r="C34" s="136"/>
      <c r="D34" s="136"/>
      <c r="E34" s="136"/>
    </row>
    <row r="35" ht="60" customHeight="1" spans="1:5">
      <c r="A35" s="138" t="s">
        <v>1058</v>
      </c>
      <c r="B35" s="139" t="s">
        <v>434</v>
      </c>
      <c r="C35" s="139"/>
      <c r="D35" s="139"/>
      <c r="E35" s="138" t="s">
        <v>6643</v>
      </c>
    </row>
    <row r="36" ht="90" customHeight="1" spans="1:5">
      <c r="A36" s="138" t="s">
        <v>1060</v>
      </c>
      <c r="B36" s="139" t="s">
        <v>434</v>
      </c>
      <c r="C36" s="139"/>
      <c r="D36" s="139"/>
      <c r="E36" s="138" t="s">
        <v>6644</v>
      </c>
    </row>
    <row r="37" ht="30" customHeight="1" spans="1:5">
      <c r="A37" s="138" t="s">
        <v>1062</v>
      </c>
      <c r="B37" s="139"/>
      <c r="C37" s="139" t="s">
        <v>434</v>
      </c>
      <c r="D37" s="139"/>
      <c r="E37" s="138" t="s">
        <v>6645</v>
      </c>
    </row>
    <row r="38" spans="1:5">
      <c r="A38" s="136" t="s">
        <v>1064</v>
      </c>
      <c r="B38" s="136"/>
      <c r="C38" s="136"/>
      <c r="D38" s="136"/>
      <c r="E38" s="136"/>
    </row>
    <row r="39" ht="60" customHeight="1" spans="1:5">
      <c r="A39" s="138" t="s">
        <v>1065</v>
      </c>
      <c r="B39" s="139"/>
      <c r="C39" s="139" t="s">
        <v>434</v>
      </c>
      <c r="D39" s="139"/>
      <c r="E39" s="138" t="s">
        <v>6646</v>
      </c>
    </row>
    <row r="40" ht="105" customHeight="1" spans="1:5">
      <c r="A40" s="138" t="s">
        <v>1067</v>
      </c>
      <c r="B40" s="139"/>
      <c r="C40" s="139" t="s">
        <v>434</v>
      </c>
      <c r="D40" s="139"/>
      <c r="E40" s="138" t="s">
        <v>6647</v>
      </c>
    </row>
    <row r="41" ht="30" customHeight="1" spans="1:5">
      <c r="A41" s="138" t="s">
        <v>1069</v>
      </c>
      <c r="B41" s="139"/>
      <c r="C41" s="139"/>
      <c r="D41" s="139" t="s">
        <v>434</v>
      </c>
      <c r="E41" s="138" t="s">
        <v>6648</v>
      </c>
    </row>
    <row r="42" ht="105" customHeight="1" spans="1:5">
      <c r="A42" s="138" t="s">
        <v>1071</v>
      </c>
      <c r="B42" s="139" t="s">
        <v>434</v>
      </c>
      <c r="C42" s="139"/>
      <c r="D42" s="139"/>
      <c r="E42" s="138" t="s">
        <v>6649</v>
      </c>
    </row>
    <row r="43" spans="1:5">
      <c r="A43" s="136" t="s">
        <v>1073</v>
      </c>
      <c r="B43" s="136"/>
      <c r="C43" s="136"/>
      <c r="D43" s="136"/>
      <c r="E43" s="136"/>
    </row>
    <row r="44" ht="45" customHeight="1" spans="1:5">
      <c r="A44" s="138" t="s">
        <v>1074</v>
      </c>
      <c r="B44" s="139" t="s">
        <v>434</v>
      </c>
      <c r="C44" s="139"/>
      <c r="D44" s="139"/>
      <c r="E44" s="138" t="s">
        <v>6650</v>
      </c>
    </row>
    <row r="45" ht="60" customHeight="1" spans="1:5">
      <c r="A45" s="138" t="s">
        <v>1076</v>
      </c>
      <c r="B45" s="139"/>
      <c r="C45" s="139" t="s">
        <v>434</v>
      </c>
      <c r="D45" s="139"/>
      <c r="E45" s="138" t="s">
        <v>6651</v>
      </c>
    </row>
    <row r="46" ht="30" customHeight="1" spans="1:5">
      <c r="A46" s="138" t="s">
        <v>1078</v>
      </c>
      <c r="B46" s="139" t="s">
        <v>434</v>
      </c>
      <c r="C46" s="139"/>
      <c r="D46" s="139"/>
      <c r="E46" s="138" t="s">
        <v>6652</v>
      </c>
    </row>
    <row r="47" spans="1:5">
      <c r="A47" s="136" t="s">
        <v>1080</v>
      </c>
      <c r="B47" s="136"/>
      <c r="C47" s="136"/>
      <c r="D47" s="136"/>
      <c r="E47" s="136"/>
    </row>
    <row r="48" ht="60" customHeight="1" spans="1:5">
      <c r="A48" s="138" t="s">
        <v>1081</v>
      </c>
      <c r="B48" s="139" t="s">
        <v>434</v>
      </c>
      <c r="C48" s="139"/>
      <c r="D48" s="139"/>
      <c r="E48" s="138" t="s">
        <v>6653</v>
      </c>
    </row>
    <row r="49" ht="90" customHeight="1" spans="1:6">
      <c r="A49" s="138" t="s">
        <v>1083</v>
      </c>
      <c r="B49" s="139" t="s">
        <v>434</v>
      </c>
      <c r="C49" s="139"/>
      <c r="D49" s="139"/>
      <c r="E49" s="138" t="s">
        <v>6654</v>
      </c>
    </row>
    <row r="50" ht="60" customHeight="1" spans="1:6">
      <c r="A50" s="138" t="s">
        <v>1085</v>
      </c>
      <c r="B50" s="139"/>
      <c r="C50" s="139" t="s">
        <v>434</v>
      </c>
      <c r="D50" s="139"/>
      <c r="E50" s="138" t="s">
        <v>6655</v>
      </c>
    </row>
    <row r="51" spans="1:6">
      <c r="A51" s="136" t="s">
        <v>1087</v>
      </c>
      <c r="B51" s="136"/>
      <c r="C51" s="136"/>
      <c r="D51" s="136"/>
      <c r="E51" s="136"/>
    </row>
    <row r="52" ht="75" customHeight="1" spans="1:6">
      <c r="A52" s="138" t="s">
        <v>1088</v>
      </c>
      <c r="B52" s="139"/>
      <c r="C52" s="139" t="s">
        <v>434</v>
      </c>
      <c r="D52" s="139"/>
      <c r="E52" s="138" t="s">
        <v>6656</v>
      </c>
    </row>
    <row r="53" ht="60" customHeight="1" spans="1:6">
      <c r="A53" s="138" t="s">
        <v>1090</v>
      </c>
      <c r="B53" s="139" t="s">
        <v>434</v>
      </c>
      <c r="C53" s="139"/>
      <c r="D53" s="139"/>
      <c r="E53" s="138" t="s">
        <v>6657</v>
      </c>
    </row>
    <row r="54" ht="45" customHeight="1" spans="1:6">
      <c r="A54" s="138" t="s">
        <v>1092</v>
      </c>
      <c r="B54" s="139" t="s">
        <v>434</v>
      </c>
      <c r="C54" s="139"/>
      <c r="D54" s="139"/>
      <c r="E54" s="138" t="s">
        <v>6658</v>
      </c>
    </row>
    <row r="55" ht="45" customHeight="1" spans="1:6">
      <c r="A55" s="138" t="s">
        <v>1094</v>
      </c>
      <c r="B55" s="139" t="s">
        <v>434</v>
      </c>
      <c r="C55" s="139"/>
      <c r="D55" s="139"/>
      <c r="E55" s="138" t="s">
        <v>6659</v>
      </c>
    </row>
    <row r="56" ht="90" customHeight="1" spans="1:6">
      <c r="A56" s="138" t="s">
        <v>6660</v>
      </c>
      <c r="B56" s="139"/>
      <c r="C56" s="139" t="s">
        <v>434</v>
      </c>
      <c r="D56" s="139"/>
      <c r="E56" s="138" t="s">
        <v>6661</v>
      </c>
    </row>
    <row r="57" ht="45" customHeight="1" spans="1:6">
      <c r="A57" s="138" t="s">
        <v>6662</v>
      </c>
      <c r="B57" s="139"/>
      <c r="C57" s="139" t="s">
        <v>434</v>
      </c>
      <c r="D57" s="139"/>
      <c r="E57" s="138" t="s">
        <v>6663</v>
      </c>
    </row>
    <row r="58" ht="60" customHeight="1" spans="1:6">
      <c r="A58" s="138" t="s">
        <v>6664</v>
      </c>
      <c r="B58" s="139"/>
      <c r="C58" s="139" t="s">
        <v>434</v>
      </c>
      <c r="D58" s="139"/>
      <c r="E58" s="138" t="s">
        <v>6665</v>
      </c>
    </row>
    <row r="59" ht="60" customHeight="1" spans="1:6">
      <c r="A59" s="138" t="s">
        <v>6666</v>
      </c>
      <c r="B59" s="139"/>
      <c r="C59" s="139" t="s">
        <v>434</v>
      </c>
      <c r="D59" s="139"/>
      <c r="E59" s="138" t="s">
        <v>6667</v>
      </c>
    </row>
    <row r="60" spans="1:6">
      <c r="A60" s="136" t="s">
        <v>519</v>
      </c>
      <c r="B60" s="137">
        <f>COUNTIF(B13:B59,"x")</f>
        <v>22</v>
      </c>
      <c r="C60" s="137">
        <f>COUNTIF(C13:C59,"x")</f>
        <v>16</v>
      </c>
      <c r="D60" s="137">
        <f>COUNTIF(D13:D59,"x")</f>
        <v>1</v>
      </c>
    </row>
    <row r="62" spans="1:6">
      <c r="A62" s="136" t="s">
        <v>1004</v>
      </c>
      <c r="B62" s="140"/>
      <c r="C62" s="140"/>
      <c r="D62" s="140"/>
      <c r="E62" s="140"/>
      <c r="F62" s="141"/>
    </row>
    <row r="63" ht="120" customHeight="1" spans="1:6">
      <c r="A63" s="138" t="s">
        <v>6668</v>
      </c>
      <c r="B63" s="140"/>
      <c r="C63" s="140"/>
      <c r="D63" s="140"/>
      <c r="E63" s="140"/>
      <c r="F63" s="142"/>
    </row>
    <row r="64" spans="1:6">
      <c r="A64" s="136" t="s">
        <v>522</v>
      </c>
      <c r="B64" s="140"/>
      <c r="C64" s="140"/>
      <c r="D64" s="140"/>
      <c r="E64" s="140"/>
      <c r="F64" s="141"/>
    </row>
    <row r="65" ht="150" customHeight="1" spans="1:6">
      <c r="A65" s="138" t="s">
        <v>6669</v>
      </c>
      <c r="B65" s="140"/>
      <c r="C65" s="140"/>
      <c r="D65" s="140"/>
      <c r="E65" s="140"/>
      <c r="F65" s="142"/>
    </row>
    <row r="66" spans="1:6">
      <c r="A66" s="143" t="s">
        <v>524</v>
      </c>
      <c r="B66" s="140"/>
      <c r="C66" s="140"/>
      <c r="D66" s="140"/>
      <c r="E66" s="140"/>
      <c r="F66" s="142"/>
    </row>
    <row r="67" spans="1:6">
      <c r="A67" s="143" t="s">
        <v>525</v>
      </c>
      <c r="B67" s="140"/>
      <c r="C67" s="140"/>
      <c r="D67" s="140"/>
      <c r="E67" s="140"/>
      <c r="F67" s="142"/>
    </row>
    <row r="68" spans="1:6">
      <c r="A68" s="143" t="s">
        <v>526</v>
      </c>
      <c r="B68" s="140"/>
      <c r="C68" s="140"/>
      <c r="D68" s="140"/>
      <c r="E68" s="140"/>
      <c r="F68" s="142"/>
    </row>
  </sheetData>
  <mergeCells count="16">
    <mergeCell ref="A1:F1"/>
    <mergeCell ref="B3:F3"/>
    <mergeCell ref="B4:F4"/>
    <mergeCell ref="B5:F5"/>
    <mergeCell ref="B6:F6"/>
    <mergeCell ref="B7:F7"/>
    <mergeCell ref="B8:F8"/>
    <mergeCell ref="B9:F9"/>
    <mergeCell ref="B10:F10"/>
    <mergeCell ref="A62:F62"/>
    <mergeCell ref="A63:F63"/>
    <mergeCell ref="A64:F64"/>
    <mergeCell ref="A65:F65"/>
    <mergeCell ref="A66:F66"/>
    <mergeCell ref="A67:F67"/>
    <mergeCell ref="A68:F68"/>
  </mergeCells>
  <pageMargins left="0.75" right="0.75" top="1" bottom="1" header="0.5" footer="0.5"/>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1"/>
  <sheetViews>
    <sheetView workbookViewId="0">
      <selection activeCell="A1" sqref="A1:C1"/>
    </sheetView>
  </sheetViews>
  <sheetFormatPr defaultColWidth="9" defaultRowHeight="15"/>
  <cols>
    <col min="1" max="1" width="18" customWidth="1"/>
    <col min="2" max="2" width="34" customWidth="1"/>
    <col min="3" max="3" width="13" customWidth="1"/>
    <col min="4" max="4" width="26" customWidth="1"/>
    <col min="5" max="6" width="40" customWidth="1"/>
    <col min="7" max="7" width="10" customWidth="1"/>
    <col min="8" max="8" width="9" customWidth="1"/>
    <col min="9" max="9" width="36" customWidth="1"/>
  </cols>
  <sheetData>
    <row r="1" spans="1:14">
      <c r="A1" s="107" t="s">
        <v>1108</v>
      </c>
      <c r="B1" s="16"/>
      <c r="C1" s="17"/>
    </row>
    <row r="2" ht="15.75" spans="1:14">
      <c r="A2" s="108" t="s">
        <v>1109</v>
      </c>
      <c r="B2" s="108" t="s">
        <v>13</v>
      </c>
      <c r="C2" s="108" t="s">
        <v>1110</v>
      </c>
    </row>
    <row r="3" ht="15.75" spans="1:14">
      <c r="A3" s="109" t="s">
        <v>6670</v>
      </c>
      <c r="B3" s="16"/>
      <c r="C3" s="17"/>
    </row>
    <row r="4" ht="60" customHeight="1" spans="1:14">
      <c r="A4" s="110" t="s">
        <v>1112</v>
      </c>
      <c r="B4" s="110" t="s">
        <v>6671</v>
      </c>
      <c r="C4" s="111" t="s">
        <v>6672</v>
      </c>
    </row>
    <row r="5" ht="120" customHeight="1" spans="1:14">
      <c r="A5" s="110" t="s">
        <v>1115</v>
      </c>
      <c r="B5" s="110" t="s">
        <v>6673</v>
      </c>
      <c r="C5" s="111" t="s">
        <v>6674</v>
      </c>
    </row>
    <row r="6" ht="90" customHeight="1" spans="1:14">
      <c r="A6" s="110" t="s">
        <v>1118</v>
      </c>
      <c r="B6" s="110" t="s">
        <v>6675</v>
      </c>
      <c r="C6" s="111" t="s">
        <v>6676</v>
      </c>
    </row>
    <row r="9" ht="15.75" spans="1:14">
      <c r="A9" s="112" t="s">
        <v>1124</v>
      </c>
      <c r="B9" s="16"/>
      <c r="C9" s="16"/>
      <c r="D9" s="16"/>
      <c r="E9" s="16"/>
      <c r="F9" s="16"/>
      <c r="G9" s="16"/>
      <c r="H9" s="16"/>
      <c r="I9" s="16"/>
      <c r="J9" s="16"/>
      <c r="K9" s="16"/>
      <c r="L9" s="16"/>
      <c r="M9" s="16"/>
      <c r="N9" s="17"/>
    </row>
    <row r="10" ht="45" customHeight="1" spans="1:14">
      <c r="A10" s="113" t="s">
        <v>1125</v>
      </c>
      <c r="B10" s="113" t="s">
        <v>1126</v>
      </c>
      <c r="C10" s="113" t="s">
        <v>1127</v>
      </c>
      <c r="D10" s="113" t="s">
        <v>1128</v>
      </c>
      <c r="E10" s="113" t="s">
        <v>1129</v>
      </c>
      <c r="F10" s="113" t="s">
        <v>1130</v>
      </c>
      <c r="G10" s="113" t="s">
        <v>1131</v>
      </c>
      <c r="H10" s="113" t="s">
        <v>1132</v>
      </c>
      <c r="I10" s="113" t="s">
        <v>1133</v>
      </c>
      <c r="J10" s="113" t="s">
        <v>1134</v>
      </c>
      <c r="K10" s="113" t="s">
        <v>1135</v>
      </c>
      <c r="L10" s="113" t="s">
        <v>1136</v>
      </c>
      <c r="M10" s="113" t="s">
        <v>1137</v>
      </c>
      <c r="N10" s="113" t="s">
        <v>1138</v>
      </c>
    </row>
    <row r="11" customHeight="1" spans="1:14">
      <c r="A11" s="114" t="s">
        <v>1112</v>
      </c>
      <c r="B11" s="114" t="s">
        <v>6671</v>
      </c>
      <c r="C11" s="115">
        <f>COUNTIF($A$51:$A$71,"UI_PH9_FR01_*")</f>
        <v>5</v>
      </c>
      <c r="D11" s="115">
        <f>COUNTIFS($A$51:$A$71,"UI_PH9_FR01_*",$G$51:$G$71,"Pending")</f>
        <v>0</v>
      </c>
      <c r="E11" s="115">
        <f>COUNTIFS($A$51:$A$71,"UI_PH9_FR01_*",$G$51:$G$71,"Pass")</f>
        <v>5</v>
      </c>
      <c r="F11" s="115">
        <f>COUNTIFS($A$51:$A$71,"UI_PH9_FR01_*",$G$51:$G$71,"Fail")</f>
        <v>0</v>
      </c>
      <c r="G11" s="115">
        <f>SUMIFS($H$51:$H$71,$A$51:$A$71,"UI_PH9_FR01_*")</f>
        <v>0</v>
      </c>
      <c r="H11" s="116">
        <f>IFERROR(E11/C11,0)</f>
        <v>1</v>
      </c>
      <c r="I11" s="115">
        <f>COUNTIFS($A$51:$A$71,"UI_PH9_FR01_*",$C$51:$C$71,"UI/UX")</f>
        <v>1</v>
      </c>
      <c r="J11" s="115">
        <f>COUNTIFS($A$51:$A$71,"UI_PH9_FR01_*",$C$51:$C$71,"Function")</f>
        <v>4</v>
      </c>
      <c r="K11" s="115">
        <f>COUNTIFS($A$51:$A$71,"UI_PH9_FR01_*",$C$51:$C$71,"Negative")</f>
        <v>0</v>
      </c>
      <c r="L11" s="115">
        <f>SUMIFS($H$51:$H$71,$A$51:$A$71,"UI_PH9_FR01_*",$C$51:$C$71,"UI/UX")</f>
        <v>0</v>
      </c>
      <c r="M11" s="115">
        <f>SUMIFS($H$51:$H$71,$A$51:$A$71,"UI_PH9_FR01_*",$C$51:$C$71,"Function")</f>
        <v>0</v>
      </c>
      <c r="N11" s="115">
        <f>SUMIFS($H$51:$H$71,$A$51:$A$71,"UI_PH9_FR01_*",$C$51:$C$71,"Negative")</f>
        <v>0</v>
      </c>
    </row>
    <row r="12" customHeight="1" spans="1:14">
      <c r="A12" s="114" t="s">
        <v>1115</v>
      </c>
      <c r="B12" s="114" t="s">
        <v>6673</v>
      </c>
      <c r="C12" s="115">
        <f>COUNTIF($A$51:$A$71,"UI_PH9_FR02_*")</f>
        <v>8</v>
      </c>
      <c r="D12" s="115">
        <f>COUNTIFS($A$51:$A$71,"UI_PH9_FR02_*",$G$51:$G$71,"Pending")</f>
        <v>0</v>
      </c>
      <c r="E12" s="115">
        <f>COUNTIFS($A$51:$A$71,"UI_PH9_FR02_*",$G$51:$G$71,"Pass")</f>
        <v>3</v>
      </c>
      <c r="F12" s="115">
        <f>COUNTIFS($A$51:$A$71,"UI_PH9_FR02_*",$G$51:$G$71,"Fail")</f>
        <v>5</v>
      </c>
      <c r="G12" s="115">
        <f>SUMIFS($H$51:$H$71,$A$51:$A$71,"UI_PH9_FR02_*")</f>
        <v>5</v>
      </c>
      <c r="H12" s="116">
        <f>IFERROR(E12/C12,0)</f>
        <v>0.375</v>
      </c>
      <c r="I12" s="115">
        <f>COUNTIFS($A$51:$A$71,"UI_PH9_FR02_*",$C$51:$C$71,"UI/UX")</f>
        <v>1</v>
      </c>
      <c r="J12" s="115">
        <f>COUNTIFS($A$51:$A$71,"UI_PH9_FR02_*",$C$51:$C$71,"Function")</f>
        <v>4</v>
      </c>
      <c r="K12" s="115">
        <f>COUNTIFS($A$51:$A$71,"UI_PH9_FR02_*",$C$51:$C$71,"Negative")</f>
        <v>3</v>
      </c>
      <c r="L12" s="115">
        <f>SUMIFS($H$51:$H$71,$A$51:$A$71,"UI_PH9_FR02_*",$C$51:$C$71,"UI/UX")</f>
        <v>0</v>
      </c>
      <c r="M12" s="115">
        <f>SUMIFS($H$51:$H$71,$A$51:$A$71,"UI_PH9_FR02_*",$C$51:$C$71,"Function")</f>
        <v>3</v>
      </c>
      <c r="N12" s="115">
        <f>SUMIFS($H$51:$H$71,$A$51:$A$71,"UI_PH9_FR02_*",$C$51:$C$71,"Negative")</f>
        <v>2</v>
      </c>
    </row>
    <row r="13" customHeight="1" spans="1:14">
      <c r="A13" s="114" t="s">
        <v>1118</v>
      </c>
      <c r="B13" s="114" t="s">
        <v>6675</v>
      </c>
      <c r="C13" s="115">
        <f>COUNTIF($A$51:$A$71,"UI_PH9_FR03_*")</f>
        <v>5</v>
      </c>
      <c r="D13" s="115">
        <f>COUNTIFS($A$51:$A$71,"UI_PH9_FR03_*",$G$51:$G$71,"Pending")</f>
        <v>0</v>
      </c>
      <c r="E13" s="115">
        <f>COUNTIFS($A$51:$A$71,"UI_PH9_FR03_*",$G$51:$G$71,"Pass")</f>
        <v>4</v>
      </c>
      <c r="F13" s="115">
        <f>COUNTIFS($A$51:$A$71,"UI_PH9_FR03_*",$G$51:$G$71,"Fail")</f>
        <v>1</v>
      </c>
      <c r="G13" s="115">
        <f>SUMIFS($H$51:$H$71,$A$51:$A$71,"UI_PH9_FR03_*")</f>
        <v>1</v>
      </c>
      <c r="H13" s="116">
        <f>IFERROR(E13/C13,0)</f>
        <v>0.8</v>
      </c>
      <c r="I13" s="115">
        <f>COUNTIFS($A$51:$A$71,"UI_PH9_FR03_*",$C$51:$C$71,"UI/UX")</f>
        <v>0</v>
      </c>
      <c r="J13" s="115">
        <f>COUNTIFS($A$51:$A$71,"UI_PH9_FR03_*",$C$51:$C$71,"Function")</f>
        <v>1</v>
      </c>
      <c r="K13" s="115">
        <f>COUNTIFS($A$51:$A$71,"UI_PH9_FR03_*",$C$51:$C$71,"Negative")</f>
        <v>4</v>
      </c>
      <c r="L13" s="115">
        <f>SUMIFS($H$51:$H$71,$A$51:$A$71,"UI_PH9_FR03_*",$C$51:$C$71,"UI/UX")</f>
        <v>0</v>
      </c>
      <c r="M13" s="115">
        <f>SUMIFS($H$51:$H$71,$A$51:$A$71,"UI_PH9_FR03_*",$C$51:$C$71,"Function")</f>
        <v>0</v>
      </c>
      <c r="N13" s="115">
        <f>SUMIFS($H$51:$H$71,$A$51:$A$71,"UI_PH9_FR03_*",$C$51:$C$71,"Negative")</f>
        <v>1</v>
      </c>
    </row>
    <row r="14" ht="15.75" spans="1:14">
      <c r="A14" s="117" t="s">
        <v>1127</v>
      </c>
      <c r="B14" s="117" t="s">
        <v>7</v>
      </c>
      <c r="C14" s="118">
        <f>SUM(C11:C13)</f>
        <v>18</v>
      </c>
      <c r="D14" s="118">
        <f>SUM(D11:D13)</f>
        <v>0</v>
      </c>
      <c r="E14" s="118">
        <f>SUM(E11:E13)</f>
        <v>12</v>
      </c>
      <c r="F14" s="118">
        <f>SUM(F11:F13)</f>
        <v>6</v>
      </c>
      <c r="G14" s="118">
        <f>SUM(G11:G13)</f>
        <v>6</v>
      </c>
      <c r="H14" s="119">
        <f>IFERROR(E14/C14,0)</f>
        <v>0.666666666666667</v>
      </c>
      <c r="I14" s="118">
        <f t="shared" ref="I14:N14" si="0">SUM(I11:I13)</f>
        <v>2</v>
      </c>
      <c r="J14" s="118">
        <f t="shared" si="0"/>
        <v>9</v>
      </c>
      <c r="K14" s="118">
        <f t="shared" si="0"/>
        <v>7</v>
      </c>
      <c r="L14" s="118">
        <f t="shared" si="0"/>
        <v>0</v>
      </c>
      <c r="M14" s="118">
        <f t="shared" si="0"/>
        <v>3</v>
      </c>
      <c r="N14" s="118">
        <f t="shared" si="0"/>
        <v>3</v>
      </c>
    </row>
    <row r="17" ht="15.75" spans="1:5">
      <c r="A17" s="120" t="s">
        <v>1139</v>
      </c>
      <c r="B17" s="110" t="s">
        <v>1112</v>
      </c>
    </row>
    <row r="18" ht="15.75" spans="1:5">
      <c r="A18" s="120" t="s">
        <v>1140</v>
      </c>
      <c r="B18" s="110" t="s">
        <v>6671</v>
      </c>
    </row>
    <row r="19" ht="15.75" spans="1:5">
      <c r="A19" s="120" t="s">
        <v>1141</v>
      </c>
      <c r="B19" s="110" t="s">
        <v>7</v>
      </c>
    </row>
    <row r="20" ht="15.75" spans="1:5">
      <c r="A20" s="121" t="s">
        <v>1129</v>
      </c>
      <c r="B20" s="122">
        <f>E11</f>
        <v>5</v>
      </c>
      <c r="D20" s="121" t="s">
        <v>1133</v>
      </c>
      <c r="E20" s="122">
        <f>I11</f>
        <v>1</v>
      </c>
    </row>
    <row r="21" ht="15.75" spans="1:5">
      <c r="A21" s="121" t="s">
        <v>1130</v>
      </c>
      <c r="B21" s="122">
        <f>F11</f>
        <v>0</v>
      </c>
      <c r="D21" s="121" t="s">
        <v>1134</v>
      </c>
      <c r="E21" s="122">
        <f>J11</f>
        <v>4</v>
      </c>
    </row>
    <row r="22" ht="15.75" spans="1:5">
      <c r="A22" s="121" t="s">
        <v>1128</v>
      </c>
      <c r="B22" s="122">
        <f>D11</f>
        <v>0</v>
      </c>
      <c r="D22" s="121" t="s">
        <v>1135</v>
      </c>
      <c r="E22" s="122">
        <f>K11</f>
        <v>0</v>
      </c>
    </row>
    <row r="23" ht="15.75" spans="1:5">
      <c r="A23" s="121" t="s">
        <v>1131</v>
      </c>
      <c r="B23" s="122">
        <f>G11</f>
        <v>0</v>
      </c>
      <c r="D23" s="121" t="s">
        <v>1127</v>
      </c>
      <c r="E23" s="122">
        <f>C11</f>
        <v>5</v>
      </c>
    </row>
    <row r="24" ht="15.75" spans="1:5">
      <c r="A24" s="120" t="s">
        <v>1139</v>
      </c>
      <c r="B24" s="110" t="s">
        <v>1115</v>
      </c>
    </row>
    <row r="25" ht="15.75" spans="1:5">
      <c r="A25" s="120" t="s">
        <v>1140</v>
      </c>
      <c r="B25" s="110" t="s">
        <v>6673</v>
      </c>
    </row>
    <row r="26" ht="15.75" spans="1:5">
      <c r="A26" s="120" t="s">
        <v>1141</v>
      </c>
      <c r="B26" s="110" t="s">
        <v>7</v>
      </c>
    </row>
    <row r="27" ht="15.75" spans="1:5">
      <c r="A27" s="121" t="s">
        <v>1129</v>
      </c>
      <c r="B27" s="122">
        <f>E12</f>
        <v>3</v>
      </c>
      <c r="D27" s="121" t="s">
        <v>1133</v>
      </c>
      <c r="E27" s="122">
        <f>I12</f>
        <v>1</v>
      </c>
    </row>
    <row r="28" ht="15.75" spans="1:5">
      <c r="A28" s="121" t="s">
        <v>1130</v>
      </c>
      <c r="B28" s="122">
        <f>F12</f>
        <v>5</v>
      </c>
      <c r="D28" s="121" t="s">
        <v>1134</v>
      </c>
      <c r="E28" s="122">
        <f>J12</f>
        <v>4</v>
      </c>
    </row>
    <row r="29" ht="15.75" spans="1:5">
      <c r="A29" s="121" t="s">
        <v>1128</v>
      </c>
      <c r="B29" s="122">
        <f>D12</f>
        <v>0</v>
      </c>
      <c r="D29" s="121" t="s">
        <v>1135</v>
      </c>
      <c r="E29" s="122">
        <f>K12</f>
        <v>3</v>
      </c>
    </row>
    <row r="30" ht="15.75" spans="1:5">
      <c r="A30" s="121" t="s">
        <v>1131</v>
      </c>
      <c r="B30" s="122">
        <f>G12</f>
        <v>5</v>
      </c>
      <c r="D30" s="121" t="s">
        <v>1127</v>
      </c>
      <c r="E30" s="122">
        <f>C12</f>
        <v>8</v>
      </c>
    </row>
    <row r="31" ht="15.75" spans="1:5">
      <c r="A31" s="120" t="s">
        <v>1139</v>
      </c>
      <c r="B31" s="110" t="s">
        <v>1118</v>
      </c>
    </row>
    <row r="32" ht="15.75" spans="1:5">
      <c r="A32" s="120" t="s">
        <v>1140</v>
      </c>
      <c r="B32" s="110" t="s">
        <v>6675</v>
      </c>
    </row>
    <row r="33" ht="15.75" spans="1:9">
      <c r="A33" s="120" t="s">
        <v>1141</v>
      </c>
      <c r="B33" s="110" t="s">
        <v>7</v>
      </c>
    </row>
    <row r="34" ht="15.75" spans="1:9">
      <c r="A34" s="121" t="s">
        <v>1129</v>
      </c>
      <c r="B34" s="122">
        <f>E13</f>
        <v>4</v>
      </c>
      <c r="D34" s="121" t="s">
        <v>1133</v>
      </c>
      <c r="E34" s="122">
        <f>I13</f>
        <v>0</v>
      </c>
    </row>
    <row r="35" ht="15.75" spans="1:9">
      <c r="A35" s="121" t="s">
        <v>1130</v>
      </c>
      <c r="B35" s="122">
        <f>F13</f>
        <v>1</v>
      </c>
      <c r="D35" s="121" t="s">
        <v>1134</v>
      </c>
      <c r="E35" s="122">
        <f>J13</f>
        <v>1</v>
      </c>
    </row>
    <row r="36" ht="15.75" spans="1:9">
      <c r="A36" s="121" t="s">
        <v>1128</v>
      </c>
      <c r="B36" s="122">
        <f>D13</f>
        <v>0</v>
      </c>
      <c r="D36" s="121" t="s">
        <v>1135</v>
      </c>
      <c r="E36" s="122">
        <f>K13</f>
        <v>4</v>
      </c>
    </row>
    <row r="37" ht="15.75" spans="1:9">
      <c r="A37" s="121" t="s">
        <v>1131</v>
      </c>
      <c r="B37" s="122">
        <f>G13</f>
        <v>1</v>
      </c>
      <c r="D37" s="121" t="s">
        <v>1127</v>
      </c>
      <c r="E37" s="122">
        <f>C13</f>
        <v>5</v>
      </c>
    </row>
    <row r="38" ht="15.75" spans="1:9">
      <c r="A38" s="123" t="s">
        <v>1142</v>
      </c>
      <c r="B38" s="16"/>
      <c r="C38" s="16"/>
      <c r="D38" s="16"/>
      <c r="E38" s="16"/>
      <c r="F38" s="16"/>
      <c r="G38" s="16"/>
      <c r="H38" s="16"/>
      <c r="I38" s="17"/>
    </row>
    <row r="39" ht="15.75" spans="1:9">
      <c r="A39" s="124" t="s">
        <v>1143</v>
      </c>
      <c r="B39" s="16"/>
      <c r="C39" s="16"/>
      <c r="D39" s="16"/>
      <c r="E39" s="16"/>
      <c r="F39" s="16"/>
      <c r="G39" s="16"/>
      <c r="H39" s="16"/>
      <c r="I39" s="17"/>
    </row>
    <row r="40" ht="75" customHeight="1" spans="1:9">
      <c r="A40" s="310" t="s">
        <v>6677</v>
      </c>
      <c r="B40" s="16"/>
      <c r="C40" s="16"/>
      <c r="D40" s="16"/>
      <c r="E40" s="16"/>
      <c r="F40" s="16"/>
      <c r="G40" s="16"/>
      <c r="H40" s="16"/>
      <c r="I40" s="17"/>
    </row>
    <row r="41" ht="15.75" spans="1:9">
      <c r="A41" s="124" t="s">
        <v>1145</v>
      </c>
      <c r="B41" s="16"/>
      <c r="C41" s="16"/>
      <c r="D41" s="16"/>
      <c r="E41" s="16"/>
      <c r="F41" s="16"/>
      <c r="G41" s="16"/>
      <c r="H41" s="16"/>
      <c r="I41" s="17"/>
    </row>
    <row r="42" ht="135" customHeight="1" spans="1:9">
      <c r="A42" s="310" t="s">
        <v>6678</v>
      </c>
      <c r="B42" s="16"/>
      <c r="C42" s="16"/>
      <c r="D42" s="16"/>
      <c r="E42" s="16"/>
      <c r="F42" s="16"/>
      <c r="G42" s="16"/>
      <c r="H42" s="16"/>
      <c r="I42" s="17"/>
    </row>
    <row r="43" ht="15.75" spans="1:9">
      <c r="A43" s="124" t="s">
        <v>1147</v>
      </c>
      <c r="B43" s="16"/>
      <c r="C43" s="16"/>
      <c r="D43" s="16"/>
      <c r="E43" s="16"/>
      <c r="F43" s="16"/>
      <c r="G43" s="16"/>
      <c r="H43" s="16"/>
      <c r="I43" s="17"/>
    </row>
    <row r="44" ht="75" customHeight="1" spans="1:9">
      <c r="A44" s="310" t="s">
        <v>6679</v>
      </c>
      <c r="B44" s="16"/>
      <c r="C44" s="16"/>
      <c r="D44" s="16"/>
      <c r="E44" s="16"/>
      <c r="F44" s="16"/>
      <c r="G44" s="16"/>
      <c r="H44" s="16"/>
      <c r="I44" s="17"/>
    </row>
    <row r="45" ht="15.75" spans="1:9">
      <c r="A45" s="124" t="s">
        <v>1149</v>
      </c>
      <c r="B45" s="16"/>
      <c r="C45" s="16"/>
      <c r="D45" s="16"/>
      <c r="E45" s="16"/>
      <c r="F45" s="16"/>
      <c r="G45" s="16"/>
      <c r="H45" s="16"/>
      <c r="I45" s="17"/>
    </row>
    <row r="46" ht="60" customHeight="1" spans="1:9">
      <c r="A46" s="310" t="s">
        <v>6680</v>
      </c>
      <c r="B46" s="16"/>
      <c r="C46" s="16"/>
      <c r="D46" s="16"/>
      <c r="E46" s="16"/>
      <c r="F46" s="16"/>
      <c r="G46" s="16"/>
      <c r="H46" s="16"/>
      <c r="I46" s="17"/>
    </row>
    <row r="50" ht="15.75" spans="1:9">
      <c r="A50" s="126" t="s">
        <v>1109</v>
      </c>
      <c r="B50" s="126" t="s">
        <v>1151</v>
      </c>
      <c r="C50" s="126" t="s">
        <v>1152</v>
      </c>
      <c r="D50" s="126" t="s">
        <v>1153</v>
      </c>
      <c r="E50" s="126" t="s">
        <v>1154</v>
      </c>
      <c r="F50" s="126" t="s">
        <v>1155</v>
      </c>
      <c r="G50" s="126" t="s">
        <v>1156</v>
      </c>
      <c r="H50" s="126" t="s">
        <v>1131</v>
      </c>
      <c r="I50" s="126" t="s">
        <v>1157</v>
      </c>
    </row>
    <row r="51" ht="15.75" spans="1:9">
      <c r="A51" s="127" t="s">
        <v>6681</v>
      </c>
      <c r="B51" s="16"/>
      <c r="C51" s="16"/>
      <c r="D51" s="16"/>
      <c r="E51" s="16"/>
      <c r="F51" s="16"/>
      <c r="G51" s="16"/>
      <c r="H51" s="16"/>
      <c r="I51" s="17"/>
    </row>
    <row r="52" ht="75" customHeight="1" spans="1:9">
      <c r="A52" s="111" t="s">
        <v>6682</v>
      </c>
      <c r="B52" s="111" t="s">
        <v>6683</v>
      </c>
      <c r="C52" s="122" t="s">
        <v>1133</v>
      </c>
      <c r="D52" s="111" t="s">
        <v>6684</v>
      </c>
      <c r="E52" s="111" t="s">
        <v>6685</v>
      </c>
      <c r="F52" s="111" t="s">
        <v>6686</v>
      </c>
      <c r="G52" s="122" t="s">
        <v>1129</v>
      </c>
      <c r="H52" s="122"/>
      <c r="I52" s="111" t="s">
        <v>7</v>
      </c>
    </row>
    <row r="53" ht="60" customHeight="1" spans="1:9">
      <c r="A53" s="111" t="s">
        <v>6687</v>
      </c>
      <c r="B53" s="111" t="s">
        <v>6688</v>
      </c>
      <c r="C53" s="122" t="s">
        <v>1134</v>
      </c>
      <c r="D53" s="111" t="s">
        <v>6689</v>
      </c>
      <c r="E53" s="111" t="s">
        <v>6690</v>
      </c>
      <c r="F53" s="111" t="s">
        <v>6691</v>
      </c>
      <c r="G53" s="122" t="s">
        <v>1129</v>
      </c>
      <c r="H53" s="122"/>
      <c r="I53" s="111" t="s">
        <v>6692</v>
      </c>
    </row>
    <row r="54" ht="75" customHeight="1" spans="1:9">
      <c r="A54" s="111" t="s">
        <v>6693</v>
      </c>
      <c r="B54" s="111" t="s">
        <v>6694</v>
      </c>
      <c r="C54" s="122" t="s">
        <v>1134</v>
      </c>
      <c r="D54" s="111" t="s">
        <v>6695</v>
      </c>
      <c r="E54" s="111" t="s">
        <v>6696</v>
      </c>
      <c r="F54" s="111" t="s">
        <v>6697</v>
      </c>
      <c r="G54" s="122" t="s">
        <v>1129</v>
      </c>
      <c r="H54" s="122"/>
      <c r="I54" s="111" t="s">
        <v>6698</v>
      </c>
    </row>
    <row r="55" ht="30" customHeight="1" spans="1:9">
      <c r="A55" s="111" t="s">
        <v>6699</v>
      </c>
      <c r="B55" s="111" t="s">
        <v>6700</v>
      </c>
      <c r="C55" s="122" t="s">
        <v>1134</v>
      </c>
      <c r="D55" s="111" t="s">
        <v>6701</v>
      </c>
      <c r="E55" s="111" t="s">
        <v>6702</v>
      </c>
      <c r="F55" s="111" t="s">
        <v>6703</v>
      </c>
      <c r="G55" s="122" t="s">
        <v>1129</v>
      </c>
      <c r="H55" s="122"/>
      <c r="I55" s="111" t="s">
        <v>7</v>
      </c>
    </row>
    <row r="56" ht="45" customHeight="1" spans="1:9">
      <c r="A56" s="111" t="s">
        <v>6704</v>
      </c>
      <c r="B56" s="111" t="s">
        <v>6705</v>
      </c>
      <c r="C56" s="122" t="s">
        <v>1134</v>
      </c>
      <c r="D56" s="111" t="s">
        <v>6706</v>
      </c>
      <c r="E56" s="111" t="s">
        <v>6707</v>
      </c>
      <c r="F56" s="111" t="s">
        <v>6708</v>
      </c>
      <c r="G56" s="122" t="s">
        <v>1129</v>
      </c>
      <c r="H56" s="122"/>
      <c r="I56" s="111" t="s">
        <v>6709</v>
      </c>
    </row>
    <row r="57" ht="15.75" spans="1:9">
      <c r="A57" s="127" t="s">
        <v>6710</v>
      </c>
      <c r="B57" s="16"/>
      <c r="C57" s="16"/>
      <c r="D57" s="16"/>
      <c r="E57" s="16"/>
      <c r="F57" s="16"/>
      <c r="G57" s="16"/>
      <c r="H57" s="16"/>
      <c r="I57" s="17"/>
    </row>
    <row r="58" ht="60" customHeight="1" spans="1:9">
      <c r="A58" s="111" t="s">
        <v>6711</v>
      </c>
      <c r="B58" s="111" t="s">
        <v>6712</v>
      </c>
      <c r="C58" s="122" t="s">
        <v>1133</v>
      </c>
      <c r="D58" s="111" t="s">
        <v>6713</v>
      </c>
      <c r="E58" s="111" t="s">
        <v>6714</v>
      </c>
      <c r="F58" s="111" t="s">
        <v>6715</v>
      </c>
      <c r="G58" s="122" t="s">
        <v>1129</v>
      </c>
      <c r="H58" s="122"/>
      <c r="I58" s="111" t="s">
        <v>7</v>
      </c>
    </row>
    <row r="59" ht="400" customHeight="1" spans="1:9">
      <c r="A59" s="111" t="s">
        <v>6716</v>
      </c>
      <c r="B59" s="111" t="s">
        <v>6717</v>
      </c>
      <c r="C59" s="122" t="s">
        <v>1134</v>
      </c>
      <c r="D59" s="111" t="s">
        <v>6718</v>
      </c>
      <c r="E59" s="111" t="s">
        <v>6719</v>
      </c>
      <c r="F59" s="111" t="s">
        <v>6720</v>
      </c>
      <c r="G59" s="122" t="s">
        <v>1130</v>
      </c>
      <c r="H59" s="122">
        <v>1</v>
      </c>
      <c r="I59" s="111" t="s">
        <v>6721</v>
      </c>
    </row>
    <row r="60" ht="375" customHeight="1" spans="1:9">
      <c r="A60" s="111" t="s">
        <v>6722</v>
      </c>
      <c r="B60" s="111" t="s">
        <v>6723</v>
      </c>
      <c r="C60" s="122" t="s">
        <v>1134</v>
      </c>
      <c r="D60" s="111" t="s">
        <v>6724</v>
      </c>
      <c r="E60" s="111" t="s">
        <v>6725</v>
      </c>
      <c r="F60" s="111" t="s">
        <v>6726</v>
      </c>
      <c r="G60" s="122" t="s">
        <v>1130</v>
      </c>
      <c r="H60" s="122">
        <v>1</v>
      </c>
      <c r="I60" s="111" t="s">
        <v>6727</v>
      </c>
    </row>
    <row r="61" ht="400" customHeight="1" spans="1:9">
      <c r="A61" s="111" t="s">
        <v>6728</v>
      </c>
      <c r="B61" s="111" t="s">
        <v>6729</v>
      </c>
      <c r="C61" s="122" t="s">
        <v>1134</v>
      </c>
      <c r="D61" s="111" t="s">
        <v>6730</v>
      </c>
      <c r="E61" s="111" t="s">
        <v>6731</v>
      </c>
      <c r="F61" s="111" t="s">
        <v>6732</v>
      </c>
      <c r="G61" s="122" t="s">
        <v>1130</v>
      </c>
      <c r="H61" s="122">
        <v>1</v>
      </c>
      <c r="I61" s="111" t="s">
        <v>6733</v>
      </c>
    </row>
    <row r="62" ht="30" customHeight="1" spans="1:9">
      <c r="A62" s="111" t="s">
        <v>6734</v>
      </c>
      <c r="B62" s="111" t="s">
        <v>6735</v>
      </c>
      <c r="C62" s="122" t="s">
        <v>1135</v>
      </c>
      <c r="D62" s="111" t="s">
        <v>6736</v>
      </c>
      <c r="E62" s="111" t="s">
        <v>6737</v>
      </c>
      <c r="F62" s="111" t="s">
        <v>6738</v>
      </c>
      <c r="G62" s="122" t="s">
        <v>1129</v>
      </c>
      <c r="H62" s="122"/>
      <c r="I62" s="111" t="s">
        <v>7</v>
      </c>
    </row>
    <row r="63" ht="210" customHeight="1" spans="1:9">
      <c r="A63" s="111" t="s">
        <v>6739</v>
      </c>
      <c r="B63" s="111" t="s">
        <v>6740</v>
      </c>
      <c r="C63" s="122" t="s">
        <v>1135</v>
      </c>
      <c r="D63" s="111" t="s">
        <v>6741</v>
      </c>
      <c r="E63" s="111" t="s">
        <v>6742</v>
      </c>
      <c r="F63" s="111" t="s">
        <v>6743</v>
      </c>
      <c r="G63" s="122" t="s">
        <v>1130</v>
      </c>
      <c r="H63" s="122">
        <v>1</v>
      </c>
      <c r="I63" s="111" t="s">
        <v>6744</v>
      </c>
    </row>
    <row r="64" ht="180" customHeight="1" spans="1:9">
      <c r="A64" s="111" t="s">
        <v>6745</v>
      </c>
      <c r="B64" s="111" t="s">
        <v>6746</v>
      </c>
      <c r="C64" s="122" t="s">
        <v>1135</v>
      </c>
      <c r="D64" s="111" t="s">
        <v>6747</v>
      </c>
      <c r="E64" s="111" t="s">
        <v>6748</v>
      </c>
      <c r="F64" s="111" t="s">
        <v>6749</v>
      </c>
      <c r="G64" s="122" t="s">
        <v>1130</v>
      </c>
      <c r="H64" s="122">
        <v>1</v>
      </c>
      <c r="I64" s="111" t="s">
        <v>6750</v>
      </c>
    </row>
    <row r="65" ht="225" customHeight="1" spans="1:9">
      <c r="A65" s="111" t="s">
        <v>6751</v>
      </c>
      <c r="B65" s="111" t="s">
        <v>6752</v>
      </c>
      <c r="C65" s="122" t="s">
        <v>1134</v>
      </c>
      <c r="D65" s="111" t="s">
        <v>6753</v>
      </c>
      <c r="E65" s="111" t="s">
        <v>6754</v>
      </c>
      <c r="F65" s="111" t="s">
        <v>6755</v>
      </c>
      <c r="G65" s="122" t="s">
        <v>1129</v>
      </c>
      <c r="H65" s="122"/>
      <c r="I65" s="111" t="s">
        <v>6756</v>
      </c>
    </row>
    <row r="66" ht="15.75" spans="1:9">
      <c r="A66" s="127" t="s">
        <v>6757</v>
      </c>
      <c r="B66" s="16"/>
      <c r="C66" s="16"/>
      <c r="D66" s="16"/>
      <c r="E66" s="16"/>
      <c r="F66" s="16"/>
      <c r="G66" s="16"/>
      <c r="H66" s="16"/>
      <c r="I66" s="17"/>
    </row>
    <row r="67" ht="45" customHeight="1" spans="1:9">
      <c r="A67" s="111" t="s">
        <v>6758</v>
      </c>
      <c r="B67" s="111" t="s">
        <v>6759</v>
      </c>
      <c r="C67" s="122" t="s">
        <v>1134</v>
      </c>
      <c r="D67" s="111" t="s">
        <v>1260</v>
      </c>
      <c r="E67" s="111" t="s">
        <v>6760</v>
      </c>
      <c r="F67" s="111" t="s">
        <v>6761</v>
      </c>
      <c r="G67" s="122" t="s">
        <v>1129</v>
      </c>
      <c r="H67" s="122"/>
      <c r="I67" s="111" t="s">
        <v>6762</v>
      </c>
    </row>
    <row r="68" ht="30" customHeight="1" spans="1:9">
      <c r="A68" s="111" t="s">
        <v>6763</v>
      </c>
      <c r="B68" s="111" t="s">
        <v>1254</v>
      </c>
      <c r="C68" s="122" t="s">
        <v>1135</v>
      </c>
      <c r="D68" s="111" t="s">
        <v>6764</v>
      </c>
      <c r="E68" s="111" t="s">
        <v>6765</v>
      </c>
      <c r="F68" s="111" t="s">
        <v>6766</v>
      </c>
      <c r="G68" s="122" t="s">
        <v>1129</v>
      </c>
      <c r="H68" s="122"/>
      <c r="I68" s="111" t="s">
        <v>7</v>
      </c>
    </row>
    <row r="69" ht="30" customHeight="1" spans="1:9">
      <c r="A69" s="111" t="s">
        <v>6767</v>
      </c>
      <c r="B69" s="111" t="s">
        <v>6768</v>
      </c>
      <c r="C69" s="122" t="s">
        <v>1135</v>
      </c>
      <c r="D69" s="111" t="s">
        <v>6769</v>
      </c>
      <c r="E69" s="111" t="s">
        <v>6770</v>
      </c>
      <c r="F69" s="111" t="s">
        <v>1252</v>
      </c>
      <c r="G69" s="122" t="s">
        <v>1129</v>
      </c>
      <c r="H69" s="122"/>
      <c r="I69" s="111" t="s">
        <v>7</v>
      </c>
    </row>
    <row r="70" ht="45" customHeight="1" spans="1:9">
      <c r="A70" s="111" t="s">
        <v>6771</v>
      </c>
      <c r="B70" s="111" t="s">
        <v>6772</v>
      </c>
      <c r="C70" s="122" t="s">
        <v>1135</v>
      </c>
      <c r="D70" s="111" t="s">
        <v>6773</v>
      </c>
      <c r="E70" s="111" t="s">
        <v>6774</v>
      </c>
      <c r="F70" s="111" t="s">
        <v>6775</v>
      </c>
      <c r="G70" s="122" t="s">
        <v>1129</v>
      </c>
      <c r="H70" s="122"/>
      <c r="I70" s="111" t="s">
        <v>6776</v>
      </c>
    </row>
    <row r="71" ht="210" customHeight="1" spans="1:9">
      <c r="A71" s="111" t="s">
        <v>6777</v>
      </c>
      <c r="B71" s="111" t="s">
        <v>6778</v>
      </c>
      <c r="C71" s="122" t="s">
        <v>1135</v>
      </c>
      <c r="D71" s="111" t="s">
        <v>6779</v>
      </c>
      <c r="E71" s="111" t="s">
        <v>6774</v>
      </c>
      <c r="F71" s="111" t="s">
        <v>6780</v>
      </c>
      <c r="G71" s="122" t="s">
        <v>1130</v>
      </c>
      <c r="H71" s="122">
        <v>1</v>
      </c>
      <c r="I71" s="111" t="s">
        <v>6781</v>
      </c>
    </row>
  </sheetData>
  <mergeCells count="15">
    <mergeCell ref="A1:C1"/>
    <mergeCell ref="A3:C3"/>
    <mergeCell ref="A9:N9"/>
    <mergeCell ref="A38:I38"/>
    <mergeCell ref="A39:I39"/>
    <mergeCell ref="A40:I40"/>
    <mergeCell ref="A41:I41"/>
    <mergeCell ref="A42:I42"/>
    <mergeCell ref="A43:I43"/>
    <mergeCell ref="A44:I44"/>
    <mergeCell ref="A45:I45"/>
    <mergeCell ref="A46:I46"/>
    <mergeCell ref="A51:I51"/>
    <mergeCell ref="A57:I57"/>
    <mergeCell ref="A66:I66"/>
  </mergeCells>
  <conditionalFormatting sqref="G51:G71">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8"/>
  <sheetViews>
    <sheetView workbookViewId="0">
      <selection activeCell="A1" sqref="A1:E1"/>
    </sheetView>
  </sheetViews>
  <sheetFormatPr defaultColWidth="9" defaultRowHeight="15"/>
  <cols>
    <col min="1" max="1" width="18" customWidth="1"/>
    <col min="2" max="2" width="24" customWidth="1"/>
    <col min="3" max="3" width="34" customWidth="1"/>
    <col min="4" max="4" width="18" customWidth="1"/>
    <col min="5" max="5" width="10" customWidth="1"/>
    <col min="6" max="6" width="34" customWidth="1"/>
    <col min="7" max="7" width="26" customWidth="1"/>
    <col min="8" max="8" width="30" customWidth="1"/>
    <col min="9" max="9" width="36" customWidth="1"/>
    <col min="10" max="10" width="10" customWidth="1"/>
    <col min="11" max="11" width="30" customWidth="1"/>
    <col min="12" max="12" width="9.14285714285714" customWidth="1"/>
  </cols>
  <sheetData>
    <row r="1" ht="20.25" spans="1:5">
      <c r="A1" s="74" t="s">
        <v>1295</v>
      </c>
    </row>
    <row r="2" spans="1:5">
      <c r="A2" s="75" t="s">
        <v>6782</v>
      </c>
      <c r="B2" s="16"/>
      <c r="C2" s="16"/>
      <c r="D2" s="16"/>
      <c r="E2" s="17"/>
    </row>
    <row r="3" ht="30" customHeight="1" spans="1:5">
      <c r="A3" s="76" t="s">
        <v>1297</v>
      </c>
      <c r="B3" s="17"/>
      <c r="C3" s="77" t="s">
        <v>6783</v>
      </c>
      <c r="D3" s="16"/>
      <c r="E3" s="17"/>
    </row>
    <row r="4" ht="30" customHeight="1" spans="1:5">
      <c r="A4" s="76" t="s">
        <v>1299</v>
      </c>
      <c r="B4" s="17"/>
      <c r="C4" s="77" t="s">
        <v>6158</v>
      </c>
      <c r="D4" s="16"/>
      <c r="E4" s="17"/>
    </row>
    <row r="5" ht="30" customHeight="1" spans="1:5">
      <c r="A5" s="76" t="s">
        <v>1301</v>
      </c>
      <c r="B5" s="17"/>
      <c r="C5" s="77" t="s">
        <v>6784</v>
      </c>
      <c r="D5" s="16"/>
      <c r="E5" s="17"/>
    </row>
    <row r="6" customHeight="1" spans="1:5">
      <c r="A6" s="76" t="s">
        <v>1303</v>
      </c>
      <c r="B6" s="17"/>
      <c r="C6" s="78" t="s">
        <v>6160</v>
      </c>
      <c r="D6" s="16"/>
      <c r="E6" s="17"/>
    </row>
    <row r="7" customHeight="1" spans="1:5">
      <c r="A7" s="76" t="s">
        <v>1305</v>
      </c>
      <c r="B7" s="17"/>
      <c r="C7" s="78" t="s">
        <v>6785</v>
      </c>
      <c r="D7" s="16"/>
      <c r="E7" s="17"/>
    </row>
    <row r="8" ht="105" customHeight="1" spans="1:5">
      <c r="A8" s="76" t="s">
        <v>1307</v>
      </c>
      <c r="B8" s="17"/>
      <c r="C8" s="77" t="s">
        <v>6786</v>
      </c>
      <c r="D8" s="16"/>
      <c r="E8" s="17"/>
    </row>
    <row r="10" ht="16.5" spans="1:5">
      <c r="A10" s="79" t="s">
        <v>1309</v>
      </c>
    </row>
    <row r="11" spans="1:5">
      <c r="A11" s="80" t="s">
        <v>1310</v>
      </c>
    </row>
    <row r="12" spans="1:5">
      <c r="A12" s="81" t="s">
        <v>211</v>
      </c>
      <c r="B12" s="81" t="s">
        <v>1311</v>
      </c>
      <c r="C12" s="81" t="s">
        <v>1312</v>
      </c>
      <c r="D12" s="82"/>
      <c r="E12" s="81" t="s">
        <v>430</v>
      </c>
    </row>
    <row r="13" ht="60" customHeight="1" spans="1:5">
      <c r="A13" s="83">
        <v>1</v>
      </c>
      <c r="B13" s="85" t="s">
        <v>6787</v>
      </c>
      <c r="C13" s="85" t="s">
        <v>6788</v>
      </c>
      <c r="D13" s="17"/>
      <c r="E13" s="85" t="s">
        <v>6789</v>
      </c>
    </row>
    <row r="14" ht="45" customHeight="1" spans="1:5">
      <c r="A14" s="83">
        <v>2</v>
      </c>
      <c r="B14" s="84" t="s">
        <v>6790</v>
      </c>
      <c r="C14" s="85" t="s">
        <v>6791</v>
      </c>
      <c r="D14" s="17"/>
      <c r="E14" s="85" t="s">
        <v>6792</v>
      </c>
    </row>
    <row r="15" ht="75" customHeight="1" spans="1:5">
      <c r="A15" s="83">
        <v>3</v>
      </c>
      <c r="B15" s="84" t="s">
        <v>6793</v>
      </c>
      <c r="C15" s="84" t="s">
        <v>6794</v>
      </c>
      <c r="D15" s="17"/>
      <c r="E15" s="85" t="s">
        <v>6795</v>
      </c>
    </row>
    <row r="16" ht="45" customHeight="1" spans="1:5">
      <c r="A16" s="83">
        <v>4</v>
      </c>
      <c r="B16" s="84" t="s">
        <v>6796</v>
      </c>
      <c r="C16" s="85" t="s">
        <v>6797</v>
      </c>
      <c r="D16" s="17"/>
      <c r="E16" s="85" t="s">
        <v>6798</v>
      </c>
    </row>
    <row r="17" ht="45" customHeight="1" spans="1:5">
      <c r="A17" s="83">
        <v>5</v>
      </c>
      <c r="B17" s="84" t="s">
        <v>6799</v>
      </c>
      <c r="C17" s="85" t="s">
        <v>6800</v>
      </c>
      <c r="D17" s="17"/>
      <c r="E17" s="85" t="s">
        <v>6801</v>
      </c>
    </row>
    <row r="18" ht="45" customHeight="1" spans="1:5">
      <c r="A18" s="83">
        <v>6</v>
      </c>
      <c r="B18" s="84" t="s">
        <v>6802</v>
      </c>
      <c r="C18" s="85" t="s">
        <v>6803</v>
      </c>
      <c r="D18" s="17"/>
      <c r="E18" s="85" t="s">
        <v>6804</v>
      </c>
    </row>
    <row r="19" ht="45" customHeight="1" spans="1:5">
      <c r="A19" s="83">
        <v>7</v>
      </c>
      <c r="B19" s="85" t="s">
        <v>6805</v>
      </c>
      <c r="C19" s="85" t="s">
        <v>6806</v>
      </c>
      <c r="D19" s="17"/>
      <c r="E19" s="85" t="s">
        <v>6807</v>
      </c>
    </row>
    <row r="20" ht="30" customHeight="1" spans="1:5">
      <c r="A20" s="83">
        <v>8</v>
      </c>
      <c r="B20" s="85" t="s">
        <v>6808</v>
      </c>
      <c r="C20" s="85" t="s">
        <v>6809</v>
      </c>
      <c r="D20" s="17"/>
      <c r="E20" s="85" t="s">
        <v>6810</v>
      </c>
    </row>
    <row r="22" spans="1:5">
      <c r="A22" s="86" t="s">
        <v>1328</v>
      </c>
      <c r="B22" s="16"/>
      <c r="C22" s="16"/>
      <c r="D22" s="16"/>
      <c r="E22" s="17"/>
    </row>
    <row r="23" ht="45" customHeight="1" spans="1:5">
      <c r="A23" s="87">
        <v>1</v>
      </c>
      <c r="B23" s="88" t="s">
        <v>6811</v>
      </c>
      <c r="C23" s="89" t="s">
        <v>6812</v>
      </c>
      <c r="D23" s="16"/>
      <c r="E23" s="17"/>
    </row>
    <row r="24" ht="45" customHeight="1" spans="1:5">
      <c r="A24" s="87">
        <v>2</v>
      </c>
      <c r="B24" s="88" t="s">
        <v>6813</v>
      </c>
      <c r="C24" s="89" t="s">
        <v>6814</v>
      </c>
      <c r="D24" s="16"/>
      <c r="E24" s="17"/>
    </row>
    <row r="25" ht="45" customHeight="1" spans="1:5">
      <c r="A25" s="87">
        <v>3</v>
      </c>
      <c r="B25" s="88" t="s">
        <v>6185</v>
      </c>
      <c r="C25" s="89" t="s">
        <v>6186</v>
      </c>
      <c r="D25" s="16"/>
      <c r="E25" s="17"/>
    </row>
    <row r="27" spans="1:5">
      <c r="A27" s="90" t="s">
        <v>1335</v>
      </c>
      <c r="B27" s="16"/>
      <c r="C27" s="16"/>
      <c r="D27" s="16"/>
      <c r="E27" s="17"/>
    </row>
    <row r="28" spans="1:5">
      <c r="A28" s="81" t="s">
        <v>211</v>
      </c>
      <c r="B28" s="81" t="s">
        <v>1311</v>
      </c>
      <c r="C28" s="81" t="s">
        <v>1336</v>
      </c>
      <c r="D28" s="91"/>
      <c r="E28" s="82"/>
    </row>
    <row r="29" ht="75" customHeight="1" spans="1:5">
      <c r="A29" s="87">
        <v>1</v>
      </c>
      <c r="B29" s="88" t="s">
        <v>6815</v>
      </c>
      <c r="C29" s="89" t="s">
        <v>6816</v>
      </c>
      <c r="D29" s="16"/>
      <c r="E29" s="17"/>
    </row>
    <row r="30" ht="30" customHeight="1" spans="1:5">
      <c r="A30" s="87">
        <v>2</v>
      </c>
      <c r="B30" s="88" t="s">
        <v>6817</v>
      </c>
      <c r="C30" s="89" t="s">
        <v>6818</v>
      </c>
      <c r="D30" s="16"/>
      <c r="E30" s="17"/>
    </row>
    <row r="31" ht="60" customHeight="1" spans="1:5">
      <c r="A31" s="87">
        <v>3</v>
      </c>
      <c r="B31" s="88" t="s">
        <v>6819</v>
      </c>
      <c r="C31" s="89" t="s">
        <v>6820</v>
      </c>
      <c r="D31" s="16"/>
      <c r="E31" s="17"/>
    </row>
    <row r="32" ht="45" customHeight="1" spans="1:5">
      <c r="A32" s="87">
        <v>4</v>
      </c>
      <c r="B32" s="88" t="s">
        <v>6821</v>
      </c>
      <c r="C32" s="89" t="s">
        <v>6822</v>
      </c>
      <c r="D32" s="16"/>
      <c r="E32" s="17"/>
    </row>
    <row r="33" ht="30" customHeight="1" spans="1:5">
      <c r="A33" s="87">
        <v>5</v>
      </c>
      <c r="B33" s="88" t="s">
        <v>6823</v>
      </c>
      <c r="C33" s="89" t="s">
        <v>6824</v>
      </c>
      <c r="D33" s="16"/>
      <c r="E33" s="17"/>
    </row>
    <row r="35" spans="1:5">
      <c r="A35" s="86" t="s">
        <v>1349</v>
      </c>
      <c r="B35" s="16"/>
      <c r="C35" s="16"/>
      <c r="D35" s="16"/>
      <c r="E35" s="17"/>
    </row>
    <row r="36" ht="25.5" spans="1:5">
      <c r="A36" s="81" t="s">
        <v>1350</v>
      </c>
      <c r="B36" s="81" t="s">
        <v>1351</v>
      </c>
      <c r="C36" s="81" t="s">
        <v>1352</v>
      </c>
      <c r="D36" s="81" t="s">
        <v>1353</v>
      </c>
      <c r="E36" s="81" t="s">
        <v>1354</v>
      </c>
    </row>
    <row r="37" ht="25.5" spans="1:5">
      <c r="A37" s="85" t="s">
        <v>6793</v>
      </c>
      <c r="B37" s="85" t="s">
        <v>6825</v>
      </c>
      <c r="C37" s="92">
        <v>0.932</v>
      </c>
      <c r="D37" s="92">
        <v>1</v>
      </c>
      <c r="E37" s="93" t="s">
        <v>6826</v>
      </c>
    </row>
    <row r="38" ht="25.5" spans="1:5">
      <c r="A38" s="85" t="s">
        <v>6796</v>
      </c>
      <c r="B38" s="85" t="s">
        <v>6825</v>
      </c>
      <c r="C38" s="92">
        <v>0.645</v>
      </c>
      <c r="D38" s="92">
        <v>0.417</v>
      </c>
      <c r="E38" s="93" t="s">
        <v>6827</v>
      </c>
    </row>
    <row r="39" ht="25.5" spans="1:5">
      <c r="A39" s="85" t="s">
        <v>6828</v>
      </c>
      <c r="B39" s="85" t="s">
        <v>6825</v>
      </c>
      <c r="C39" s="92">
        <v>1</v>
      </c>
      <c r="D39" s="92">
        <v>1</v>
      </c>
      <c r="E39" s="93" t="s">
        <v>6829</v>
      </c>
    </row>
    <row r="40" ht="25.5" spans="1:5">
      <c r="A40" s="85" t="s">
        <v>6790</v>
      </c>
      <c r="B40" s="85" t="s">
        <v>6825</v>
      </c>
      <c r="C40" s="92">
        <v>1</v>
      </c>
      <c r="D40" s="92">
        <v>1</v>
      </c>
      <c r="E40" s="93" t="s">
        <v>6830</v>
      </c>
    </row>
    <row r="41" ht="25.5" spans="1:5">
      <c r="A41" s="85" t="s">
        <v>6831</v>
      </c>
      <c r="B41" s="85" t="s">
        <v>6825</v>
      </c>
      <c r="C41" s="92">
        <v>0.951</v>
      </c>
      <c r="D41" s="92">
        <v>0.75</v>
      </c>
      <c r="E41" s="93" t="s">
        <v>6832</v>
      </c>
    </row>
    <row r="42" ht="25.5" spans="1:5">
      <c r="A42" s="85" t="s">
        <v>6799</v>
      </c>
      <c r="B42" s="85" t="s">
        <v>6825</v>
      </c>
      <c r="C42" s="92">
        <v>0.311</v>
      </c>
      <c r="D42" s="92">
        <v>0.145</v>
      </c>
      <c r="E42" s="93" t="s">
        <v>6833</v>
      </c>
    </row>
    <row r="43" ht="25.5" spans="1:5">
      <c r="A43" s="85" t="s">
        <v>6802</v>
      </c>
      <c r="B43" s="85" t="s">
        <v>6825</v>
      </c>
      <c r="C43" s="92">
        <v>0.594</v>
      </c>
      <c r="D43" s="92">
        <v>0.9</v>
      </c>
      <c r="E43" s="93" t="s">
        <v>6834</v>
      </c>
    </row>
    <row r="44" ht="25.5" spans="1:5">
      <c r="A44" s="85" t="s">
        <v>6835</v>
      </c>
      <c r="B44" s="85" t="s">
        <v>6825</v>
      </c>
      <c r="C44" s="92">
        <v>0.786</v>
      </c>
      <c r="D44" s="92">
        <v>0</v>
      </c>
      <c r="E44" s="93" t="s">
        <v>6836</v>
      </c>
    </row>
    <row r="45" ht="25.5" spans="1:5">
      <c r="A45" s="85" t="s">
        <v>6837</v>
      </c>
      <c r="B45" s="85" t="s">
        <v>6825</v>
      </c>
      <c r="C45" s="92">
        <v>1</v>
      </c>
      <c r="D45" s="92">
        <v>0</v>
      </c>
      <c r="E45" s="93" t="s">
        <v>5721</v>
      </c>
    </row>
    <row r="46" ht="38.25" spans="1:5">
      <c r="A46" s="85" t="s">
        <v>6838</v>
      </c>
      <c r="B46" s="85" t="s">
        <v>6825</v>
      </c>
      <c r="C46" s="92">
        <v>0.946</v>
      </c>
      <c r="D46" s="92">
        <v>0.75</v>
      </c>
      <c r="E46" s="93" t="s">
        <v>6839</v>
      </c>
    </row>
    <row r="47" ht="25.5" spans="1:5">
      <c r="A47" s="85" t="s">
        <v>6840</v>
      </c>
      <c r="B47" s="85" t="s">
        <v>6825</v>
      </c>
      <c r="C47" s="92">
        <v>1</v>
      </c>
      <c r="D47" s="92">
        <v>0</v>
      </c>
      <c r="E47" s="93" t="s">
        <v>6841</v>
      </c>
    </row>
    <row r="48" ht="25.5" spans="1:5">
      <c r="A48" s="85" t="s">
        <v>6842</v>
      </c>
      <c r="B48" s="85" t="s">
        <v>6825</v>
      </c>
      <c r="C48" s="92">
        <v>1</v>
      </c>
      <c r="D48" s="92">
        <v>0.917</v>
      </c>
      <c r="E48" s="93" t="s">
        <v>6843</v>
      </c>
    </row>
    <row r="49" ht="30" spans="1:11">
      <c r="A49" s="80" t="s">
        <v>1365</v>
      </c>
      <c r="B49" s="80" t="s">
        <v>7</v>
      </c>
      <c r="C49" s="94">
        <v>0.648</v>
      </c>
      <c r="D49" s="94">
        <v>0.528</v>
      </c>
      <c r="E49" s="80" t="s">
        <v>7</v>
      </c>
    </row>
    <row r="50" ht="75" customHeight="1" spans="1:11">
      <c r="A50" s="95" t="s">
        <v>6844</v>
      </c>
      <c r="B50" s="16"/>
      <c r="C50" s="16"/>
      <c r="D50" s="16"/>
      <c r="E50" s="17"/>
    </row>
    <row r="52" ht="30" customHeight="1" spans="1:11">
      <c r="A52" s="95" t="s">
        <v>6845</v>
      </c>
      <c r="B52" s="16"/>
      <c r="C52" s="16"/>
      <c r="D52" s="16"/>
      <c r="E52" s="17"/>
    </row>
    <row r="55" spans="1:11">
      <c r="A55" s="96" t="s">
        <v>1367</v>
      </c>
      <c r="B55" s="91"/>
      <c r="C55" s="91"/>
      <c r="D55" s="91"/>
      <c r="E55" s="91"/>
      <c r="F55" s="91"/>
      <c r="G55" s="91"/>
      <c r="H55" s="91"/>
      <c r="I55" s="91"/>
      <c r="J55" s="91"/>
      <c r="K55" s="82"/>
    </row>
    <row r="56" ht="33" spans="1:11">
      <c r="A56" s="97" t="s">
        <v>1368</v>
      </c>
      <c r="B56" s="97" t="s">
        <v>1369</v>
      </c>
      <c r="C56" s="97" t="s">
        <v>1370</v>
      </c>
      <c r="D56" s="97" t="s">
        <v>1371</v>
      </c>
      <c r="E56" s="97" t="s">
        <v>1372</v>
      </c>
      <c r="F56" s="97" t="s">
        <v>1373</v>
      </c>
      <c r="G56" s="97" t="s">
        <v>1374</v>
      </c>
      <c r="H56" s="97" t="s">
        <v>1375</v>
      </c>
      <c r="I56" s="97" t="s">
        <v>1376</v>
      </c>
      <c r="J56" s="97" t="s">
        <v>1377</v>
      </c>
      <c r="K56" s="97" t="s">
        <v>1378</v>
      </c>
    </row>
    <row r="57" spans="1:11">
      <c r="A57" s="98" t="s">
        <v>6846</v>
      </c>
      <c r="B57" s="99"/>
      <c r="C57" s="99"/>
      <c r="D57" s="99"/>
      <c r="E57" s="99"/>
      <c r="F57" s="99"/>
      <c r="G57" s="99"/>
      <c r="H57" s="99"/>
      <c r="I57" s="99"/>
      <c r="J57" s="99"/>
      <c r="K57" s="100"/>
    </row>
    <row r="58" ht="75" customHeight="1" spans="1:11">
      <c r="A58" s="101" t="s">
        <v>6847</v>
      </c>
      <c r="B58" s="101" t="s">
        <v>6846</v>
      </c>
      <c r="C58" s="101" t="s">
        <v>6848</v>
      </c>
      <c r="D58" s="101" t="s">
        <v>6849</v>
      </c>
      <c r="E58" s="102" t="s">
        <v>7</v>
      </c>
      <c r="F58" s="101" t="s">
        <v>6850</v>
      </c>
      <c r="G58" s="101" t="s">
        <v>428</v>
      </c>
      <c r="H58" s="101" t="s">
        <v>6851</v>
      </c>
      <c r="I58" s="101" t="s">
        <v>6852</v>
      </c>
      <c r="J58" s="102" t="s">
        <v>1385</v>
      </c>
      <c r="K58" s="101" t="s">
        <v>1386</v>
      </c>
    </row>
    <row r="59" ht="45" customHeight="1" spans="1:11">
      <c r="A59" s="101" t="s">
        <v>6853</v>
      </c>
      <c r="B59" s="101" t="s">
        <v>6846</v>
      </c>
      <c r="C59" s="101" t="s">
        <v>6848</v>
      </c>
      <c r="D59" s="101" t="s">
        <v>6849</v>
      </c>
      <c r="E59" s="102" t="s">
        <v>7</v>
      </c>
      <c r="F59" s="101" t="s">
        <v>6854</v>
      </c>
      <c r="G59" s="101" t="s">
        <v>428</v>
      </c>
      <c r="H59" s="101" t="s">
        <v>6855</v>
      </c>
      <c r="I59" s="101" t="s">
        <v>6856</v>
      </c>
      <c r="J59" s="102" t="s">
        <v>1385</v>
      </c>
      <c r="K59" s="101" t="s">
        <v>1386</v>
      </c>
    </row>
    <row r="60" ht="60" customHeight="1" spans="1:11">
      <c r="A60" s="101" t="s">
        <v>6857</v>
      </c>
      <c r="B60" s="101" t="s">
        <v>6846</v>
      </c>
      <c r="C60" s="101" t="s">
        <v>6848</v>
      </c>
      <c r="D60" s="101" t="s">
        <v>6858</v>
      </c>
      <c r="E60" s="102" t="s">
        <v>7</v>
      </c>
      <c r="F60" s="101" t="s">
        <v>6859</v>
      </c>
      <c r="G60" s="101" t="s">
        <v>428</v>
      </c>
      <c r="H60" s="101" t="s">
        <v>6860</v>
      </c>
      <c r="I60" s="101" t="s">
        <v>6861</v>
      </c>
      <c r="J60" s="102" t="s">
        <v>1385</v>
      </c>
      <c r="K60" s="101" t="s">
        <v>1386</v>
      </c>
    </row>
    <row r="61" ht="45" customHeight="1" spans="1:11">
      <c r="A61" s="101" t="s">
        <v>6862</v>
      </c>
      <c r="B61" s="101" t="s">
        <v>6846</v>
      </c>
      <c r="C61" s="101" t="s">
        <v>6848</v>
      </c>
      <c r="D61" s="101" t="s">
        <v>6863</v>
      </c>
      <c r="E61" s="102" t="s">
        <v>7</v>
      </c>
      <c r="F61" s="101" t="s">
        <v>6864</v>
      </c>
      <c r="G61" s="101" t="s">
        <v>428</v>
      </c>
      <c r="H61" s="101" t="s">
        <v>6865</v>
      </c>
      <c r="I61" s="101" t="s">
        <v>6866</v>
      </c>
      <c r="J61" s="102" t="s">
        <v>1385</v>
      </c>
      <c r="K61" s="101" t="s">
        <v>1386</v>
      </c>
    </row>
    <row r="62" ht="75" customHeight="1" spans="1:11">
      <c r="A62" s="101" t="s">
        <v>6867</v>
      </c>
      <c r="B62" s="101" t="s">
        <v>6846</v>
      </c>
      <c r="C62" s="101" t="s">
        <v>6848</v>
      </c>
      <c r="D62" s="101" t="s">
        <v>6868</v>
      </c>
      <c r="E62" s="102" t="s">
        <v>7</v>
      </c>
      <c r="F62" s="101" t="s">
        <v>6869</v>
      </c>
      <c r="G62" s="101" t="s">
        <v>6870</v>
      </c>
      <c r="H62" s="101" t="s">
        <v>6871</v>
      </c>
      <c r="I62" s="101" t="s">
        <v>6872</v>
      </c>
      <c r="J62" s="102" t="s">
        <v>1385</v>
      </c>
      <c r="K62" s="101" t="s">
        <v>6873</v>
      </c>
    </row>
    <row r="63" spans="1:11">
      <c r="A63" s="98" t="s">
        <v>6874</v>
      </c>
      <c r="B63" s="99"/>
      <c r="C63" s="99"/>
      <c r="D63" s="99"/>
      <c r="E63" s="99"/>
      <c r="F63" s="99"/>
      <c r="G63" s="99"/>
      <c r="H63" s="99"/>
      <c r="I63" s="99"/>
      <c r="J63" s="99"/>
      <c r="K63" s="100"/>
    </row>
    <row r="64" ht="45" customHeight="1" spans="1:11">
      <c r="A64" s="101" t="s">
        <v>6875</v>
      </c>
      <c r="B64" s="101" t="s">
        <v>6874</v>
      </c>
      <c r="C64" s="101" t="s">
        <v>6848</v>
      </c>
      <c r="D64" s="101" t="s">
        <v>6876</v>
      </c>
      <c r="E64" s="102" t="s">
        <v>7</v>
      </c>
      <c r="F64" s="101" t="s">
        <v>6877</v>
      </c>
      <c r="G64" s="101" t="s">
        <v>6878</v>
      </c>
      <c r="H64" s="101" t="s">
        <v>6879</v>
      </c>
      <c r="I64" s="101" t="s">
        <v>6880</v>
      </c>
      <c r="J64" s="102" t="s">
        <v>1385</v>
      </c>
      <c r="K64" s="101" t="s">
        <v>2446</v>
      </c>
    </row>
    <row r="65" spans="1:11">
      <c r="A65" s="98" t="s">
        <v>6881</v>
      </c>
      <c r="B65" s="99"/>
      <c r="C65" s="99"/>
      <c r="D65" s="99"/>
      <c r="E65" s="99"/>
      <c r="F65" s="99"/>
      <c r="G65" s="99"/>
      <c r="H65" s="99"/>
      <c r="I65" s="99"/>
      <c r="J65" s="99"/>
      <c r="K65" s="100"/>
    </row>
    <row r="66" ht="75" customHeight="1" spans="1:11">
      <c r="A66" s="101" t="s">
        <v>6882</v>
      </c>
      <c r="B66" s="101" t="s">
        <v>6881</v>
      </c>
      <c r="C66" s="101" t="s">
        <v>6848</v>
      </c>
      <c r="D66" s="101" t="s">
        <v>6883</v>
      </c>
      <c r="E66" s="102" t="s">
        <v>7</v>
      </c>
      <c r="F66" s="101" t="s">
        <v>6884</v>
      </c>
      <c r="G66" s="101" t="s">
        <v>6885</v>
      </c>
      <c r="H66" s="101" t="s">
        <v>6886</v>
      </c>
      <c r="I66" s="101" t="s">
        <v>6887</v>
      </c>
      <c r="J66" s="102" t="s">
        <v>1385</v>
      </c>
      <c r="K66" s="101" t="s">
        <v>6873</v>
      </c>
    </row>
    <row r="67" ht="75" customHeight="1" spans="1:11">
      <c r="A67" s="101" t="s">
        <v>6888</v>
      </c>
      <c r="B67" s="101" t="s">
        <v>6881</v>
      </c>
      <c r="C67" s="101" t="s">
        <v>6848</v>
      </c>
      <c r="D67" s="101" t="s">
        <v>6883</v>
      </c>
      <c r="E67" s="102" t="s">
        <v>7</v>
      </c>
      <c r="F67" s="101" t="s">
        <v>6889</v>
      </c>
      <c r="G67" s="101" t="s">
        <v>6890</v>
      </c>
      <c r="H67" s="101" t="s">
        <v>6891</v>
      </c>
      <c r="I67" s="101" t="s">
        <v>6892</v>
      </c>
      <c r="J67" s="102" t="s">
        <v>1385</v>
      </c>
      <c r="K67" s="101" t="s">
        <v>6873</v>
      </c>
    </row>
    <row r="68" spans="1:11">
      <c r="A68" s="98" t="s">
        <v>6893</v>
      </c>
      <c r="B68" s="99"/>
      <c r="C68" s="99"/>
      <c r="D68" s="99"/>
      <c r="E68" s="99"/>
      <c r="F68" s="99"/>
      <c r="G68" s="99"/>
      <c r="H68" s="99"/>
      <c r="I68" s="99"/>
      <c r="J68" s="99"/>
      <c r="K68" s="100"/>
    </row>
    <row r="69" ht="60" customHeight="1" spans="1:11">
      <c r="A69" s="101" t="s">
        <v>6894</v>
      </c>
      <c r="B69" s="101" t="s">
        <v>6893</v>
      </c>
      <c r="C69" s="101" t="s">
        <v>6848</v>
      </c>
      <c r="D69" s="101" t="s">
        <v>6895</v>
      </c>
      <c r="E69" s="102" t="s">
        <v>7</v>
      </c>
      <c r="F69" s="101" t="s">
        <v>6896</v>
      </c>
      <c r="G69" s="101" t="s">
        <v>428</v>
      </c>
      <c r="H69" s="101" t="s">
        <v>1588</v>
      </c>
      <c r="I69" s="101" t="s">
        <v>6897</v>
      </c>
      <c r="J69" s="102" t="s">
        <v>1385</v>
      </c>
      <c r="K69" s="101" t="s">
        <v>1386</v>
      </c>
    </row>
    <row r="70" spans="1:11">
      <c r="A70" s="98" t="s">
        <v>6898</v>
      </c>
      <c r="B70" s="99"/>
      <c r="C70" s="99"/>
      <c r="D70" s="99"/>
      <c r="E70" s="99"/>
      <c r="F70" s="99"/>
      <c r="G70" s="99"/>
      <c r="H70" s="99"/>
      <c r="I70" s="99"/>
      <c r="J70" s="99"/>
      <c r="K70" s="100"/>
    </row>
    <row r="71" ht="45" customHeight="1" spans="1:11">
      <c r="A71" s="101" t="s">
        <v>6899</v>
      </c>
      <c r="B71" s="101" t="s">
        <v>6898</v>
      </c>
      <c r="C71" s="101" t="s">
        <v>6848</v>
      </c>
      <c r="D71" s="101" t="s">
        <v>6900</v>
      </c>
      <c r="E71" s="102" t="s">
        <v>7</v>
      </c>
      <c r="F71" s="101" t="s">
        <v>6901</v>
      </c>
      <c r="G71" s="101" t="s">
        <v>428</v>
      </c>
      <c r="H71" s="101" t="s">
        <v>6902</v>
      </c>
      <c r="I71" s="101" t="s">
        <v>6903</v>
      </c>
      <c r="J71" s="102" t="s">
        <v>1385</v>
      </c>
      <c r="K71" s="101" t="s">
        <v>1386</v>
      </c>
    </row>
    <row r="72" ht="45" customHeight="1" spans="1:11">
      <c r="A72" s="101" t="s">
        <v>6904</v>
      </c>
      <c r="B72" s="101" t="s">
        <v>6898</v>
      </c>
      <c r="C72" s="101" t="s">
        <v>6848</v>
      </c>
      <c r="D72" s="101" t="s">
        <v>6900</v>
      </c>
      <c r="E72" s="102" t="s">
        <v>7</v>
      </c>
      <c r="F72" s="101" t="s">
        <v>6905</v>
      </c>
      <c r="G72" s="101" t="s">
        <v>428</v>
      </c>
      <c r="H72" s="101" t="s">
        <v>6906</v>
      </c>
      <c r="I72" s="101" t="s">
        <v>6907</v>
      </c>
      <c r="J72" s="102" t="s">
        <v>1385</v>
      </c>
      <c r="K72" s="101" t="s">
        <v>1386</v>
      </c>
    </row>
    <row r="73" ht="45" customHeight="1" spans="1:11">
      <c r="A73" s="101" t="s">
        <v>6908</v>
      </c>
      <c r="B73" s="101" t="s">
        <v>6898</v>
      </c>
      <c r="C73" s="101" t="s">
        <v>6848</v>
      </c>
      <c r="D73" s="101" t="s">
        <v>6909</v>
      </c>
      <c r="E73" s="102" t="s">
        <v>7</v>
      </c>
      <c r="F73" s="101" t="s">
        <v>6910</v>
      </c>
      <c r="G73" s="101" t="s">
        <v>428</v>
      </c>
      <c r="H73" s="101" t="s">
        <v>6911</v>
      </c>
      <c r="I73" s="101" t="s">
        <v>6912</v>
      </c>
      <c r="J73" s="102" t="s">
        <v>1385</v>
      </c>
      <c r="K73" s="101" t="s">
        <v>1386</v>
      </c>
    </row>
    <row r="74" spans="1:11">
      <c r="A74" s="98" t="s">
        <v>6913</v>
      </c>
      <c r="B74" s="99"/>
      <c r="C74" s="99"/>
      <c r="D74" s="99"/>
      <c r="E74" s="99"/>
      <c r="F74" s="99"/>
      <c r="G74" s="99"/>
      <c r="H74" s="99"/>
      <c r="I74" s="99"/>
      <c r="J74" s="99"/>
      <c r="K74" s="100"/>
    </row>
    <row r="75" ht="45" customHeight="1" spans="1:11">
      <c r="A75" s="101" t="s">
        <v>6914</v>
      </c>
      <c r="B75" s="101" t="s">
        <v>6913</v>
      </c>
      <c r="C75" s="101" t="s">
        <v>6915</v>
      </c>
      <c r="D75" s="101" t="s">
        <v>6916</v>
      </c>
      <c r="E75" s="102" t="s">
        <v>7</v>
      </c>
      <c r="F75" s="101" t="s">
        <v>6917</v>
      </c>
      <c r="G75" s="101" t="s">
        <v>6918</v>
      </c>
      <c r="H75" s="101" t="s">
        <v>6919</v>
      </c>
      <c r="I75" s="101" t="s">
        <v>6920</v>
      </c>
      <c r="J75" s="102" t="s">
        <v>1385</v>
      </c>
      <c r="K75" s="101" t="s">
        <v>2446</v>
      </c>
    </row>
    <row r="76" ht="45" customHeight="1" spans="1:11">
      <c r="A76" s="101" t="s">
        <v>6921</v>
      </c>
      <c r="B76" s="101" t="s">
        <v>6913</v>
      </c>
      <c r="C76" s="101" t="s">
        <v>6915</v>
      </c>
      <c r="D76" s="101" t="s">
        <v>6916</v>
      </c>
      <c r="E76" s="102" t="s">
        <v>7</v>
      </c>
      <c r="F76" s="101" t="s">
        <v>6922</v>
      </c>
      <c r="G76" s="101" t="s">
        <v>6923</v>
      </c>
      <c r="H76" s="101" t="s">
        <v>6924</v>
      </c>
      <c r="I76" s="101" t="s">
        <v>6925</v>
      </c>
      <c r="J76" s="102" t="s">
        <v>1385</v>
      </c>
      <c r="K76" s="101" t="s">
        <v>2446</v>
      </c>
    </row>
    <row r="77" ht="45" customHeight="1" spans="1:11">
      <c r="A77" s="101" t="s">
        <v>6926</v>
      </c>
      <c r="B77" s="101" t="s">
        <v>6913</v>
      </c>
      <c r="C77" s="101" t="s">
        <v>6915</v>
      </c>
      <c r="D77" s="101" t="s">
        <v>6916</v>
      </c>
      <c r="E77" s="102" t="s">
        <v>7</v>
      </c>
      <c r="F77" s="101" t="s">
        <v>6927</v>
      </c>
      <c r="G77" s="101" t="s">
        <v>6928</v>
      </c>
      <c r="H77" s="101" t="s">
        <v>6929</v>
      </c>
      <c r="I77" s="101" t="s">
        <v>6930</v>
      </c>
      <c r="J77" s="102" t="s">
        <v>1385</v>
      </c>
      <c r="K77" s="101" t="s">
        <v>2446</v>
      </c>
    </row>
    <row r="78" ht="30" customHeight="1" spans="1:11">
      <c r="A78" s="101" t="s">
        <v>6931</v>
      </c>
      <c r="B78" s="101" t="s">
        <v>6913</v>
      </c>
      <c r="C78" s="101" t="s">
        <v>6915</v>
      </c>
      <c r="D78" s="101" t="s">
        <v>6916</v>
      </c>
      <c r="E78" s="102" t="s">
        <v>7</v>
      </c>
      <c r="F78" s="101" t="s">
        <v>6932</v>
      </c>
      <c r="G78" s="101" t="s">
        <v>6933</v>
      </c>
      <c r="H78" s="101" t="s">
        <v>6923</v>
      </c>
      <c r="I78" s="101" t="s">
        <v>6934</v>
      </c>
      <c r="J78" s="102" t="s">
        <v>1385</v>
      </c>
      <c r="K78" s="101" t="s">
        <v>2446</v>
      </c>
    </row>
    <row r="79" ht="30" customHeight="1" spans="1:11">
      <c r="A79" s="101" t="s">
        <v>6935</v>
      </c>
      <c r="B79" s="101" t="s">
        <v>6913</v>
      </c>
      <c r="C79" s="101" t="s">
        <v>6915</v>
      </c>
      <c r="D79" s="101" t="s">
        <v>6916</v>
      </c>
      <c r="E79" s="102" t="s">
        <v>7</v>
      </c>
      <c r="F79" s="101" t="s">
        <v>6936</v>
      </c>
      <c r="G79" s="101" t="s">
        <v>6937</v>
      </c>
      <c r="H79" s="101" t="s">
        <v>6923</v>
      </c>
      <c r="I79" s="101" t="s">
        <v>6938</v>
      </c>
      <c r="J79" s="102" t="s">
        <v>1385</v>
      </c>
      <c r="K79" s="101" t="s">
        <v>2446</v>
      </c>
    </row>
    <row r="80" ht="45" customHeight="1" spans="1:11">
      <c r="A80" s="101" t="s">
        <v>6939</v>
      </c>
      <c r="B80" s="101" t="s">
        <v>6913</v>
      </c>
      <c r="C80" s="101" t="s">
        <v>6915</v>
      </c>
      <c r="D80" s="101" t="s">
        <v>6940</v>
      </c>
      <c r="E80" s="102" t="s">
        <v>7</v>
      </c>
      <c r="F80" s="101" t="s">
        <v>6941</v>
      </c>
      <c r="G80" s="101" t="s">
        <v>6942</v>
      </c>
      <c r="H80" s="101" t="s">
        <v>6943</v>
      </c>
      <c r="I80" s="101" t="s">
        <v>6944</v>
      </c>
      <c r="J80" s="102" t="s">
        <v>1385</v>
      </c>
      <c r="K80" s="101" t="s">
        <v>6389</v>
      </c>
    </row>
    <row r="81" ht="45" customHeight="1" spans="1:11">
      <c r="A81" s="101" t="s">
        <v>6945</v>
      </c>
      <c r="B81" s="101" t="s">
        <v>6913</v>
      </c>
      <c r="C81" s="101" t="s">
        <v>6915</v>
      </c>
      <c r="D81" s="101" t="s">
        <v>6940</v>
      </c>
      <c r="E81" s="102" t="s">
        <v>7</v>
      </c>
      <c r="F81" s="101" t="s">
        <v>6946</v>
      </c>
      <c r="G81" s="101" t="s">
        <v>6947</v>
      </c>
      <c r="H81" s="101" t="s">
        <v>6943</v>
      </c>
      <c r="I81" s="101" t="s">
        <v>6948</v>
      </c>
      <c r="J81" s="102" t="s">
        <v>1385</v>
      </c>
      <c r="K81" s="101" t="s">
        <v>6389</v>
      </c>
    </row>
    <row r="82" ht="75" customHeight="1" spans="1:11">
      <c r="A82" s="101" t="s">
        <v>6949</v>
      </c>
      <c r="B82" s="101" t="s">
        <v>6913</v>
      </c>
      <c r="C82" s="101" t="s">
        <v>6915</v>
      </c>
      <c r="D82" s="101" t="s">
        <v>6940</v>
      </c>
      <c r="E82" s="102" t="s">
        <v>7</v>
      </c>
      <c r="F82" s="101" t="s">
        <v>6950</v>
      </c>
      <c r="G82" s="101" t="s">
        <v>6951</v>
      </c>
      <c r="H82" s="101" t="s">
        <v>6923</v>
      </c>
      <c r="I82" s="101" t="s">
        <v>6952</v>
      </c>
      <c r="J82" s="102" t="s">
        <v>1385</v>
      </c>
      <c r="K82" s="101" t="s">
        <v>6389</v>
      </c>
    </row>
    <row r="83" spans="1:11">
      <c r="A83" s="98" t="s">
        <v>6953</v>
      </c>
      <c r="B83" s="99"/>
      <c r="C83" s="99"/>
      <c r="D83" s="99"/>
      <c r="E83" s="99"/>
      <c r="F83" s="99"/>
      <c r="G83" s="99"/>
      <c r="H83" s="99"/>
      <c r="I83" s="99"/>
      <c r="J83" s="99"/>
      <c r="K83" s="100"/>
    </row>
    <row r="84" ht="45" customHeight="1" spans="1:11">
      <c r="A84" s="101" t="s">
        <v>6954</v>
      </c>
      <c r="B84" s="101" t="s">
        <v>6953</v>
      </c>
      <c r="C84" s="101" t="s">
        <v>6915</v>
      </c>
      <c r="D84" s="101" t="s">
        <v>6955</v>
      </c>
      <c r="E84" s="102" t="s">
        <v>7</v>
      </c>
      <c r="F84" s="101" t="s">
        <v>6956</v>
      </c>
      <c r="G84" s="101" t="s">
        <v>6957</v>
      </c>
      <c r="H84" s="101" t="s">
        <v>6955</v>
      </c>
      <c r="I84" s="101" t="s">
        <v>6958</v>
      </c>
      <c r="J84" s="102" t="s">
        <v>1385</v>
      </c>
      <c r="K84" s="101" t="s">
        <v>2446</v>
      </c>
    </row>
    <row r="85" ht="45" customHeight="1" spans="1:11">
      <c r="A85" s="101" t="s">
        <v>6959</v>
      </c>
      <c r="B85" s="101" t="s">
        <v>6953</v>
      </c>
      <c r="C85" s="101" t="s">
        <v>6915</v>
      </c>
      <c r="D85" s="101" t="s">
        <v>6955</v>
      </c>
      <c r="E85" s="102" t="s">
        <v>7</v>
      </c>
      <c r="F85" s="101" t="s">
        <v>6960</v>
      </c>
      <c r="G85" s="101" t="s">
        <v>6961</v>
      </c>
      <c r="H85" s="101" t="s">
        <v>6962</v>
      </c>
      <c r="I85" s="101" t="s">
        <v>6963</v>
      </c>
      <c r="J85" s="102" t="s">
        <v>1385</v>
      </c>
      <c r="K85" s="101" t="s">
        <v>2446</v>
      </c>
    </row>
    <row r="86" ht="45" customHeight="1" spans="1:11">
      <c r="A86" s="101" t="s">
        <v>6964</v>
      </c>
      <c r="B86" s="101" t="s">
        <v>6953</v>
      </c>
      <c r="C86" s="101" t="s">
        <v>6915</v>
      </c>
      <c r="D86" s="101" t="s">
        <v>6955</v>
      </c>
      <c r="E86" s="102" t="s">
        <v>7</v>
      </c>
      <c r="F86" s="101" t="s">
        <v>6965</v>
      </c>
      <c r="G86" s="101" t="s">
        <v>6966</v>
      </c>
      <c r="H86" s="101" t="s">
        <v>6967</v>
      </c>
      <c r="I86" s="101" t="s">
        <v>6968</v>
      </c>
      <c r="J86" s="102" t="s">
        <v>1385</v>
      </c>
      <c r="K86" s="101" t="s">
        <v>2446</v>
      </c>
    </row>
    <row r="87" ht="30" customHeight="1" spans="1:11">
      <c r="A87" s="101" t="s">
        <v>6969</v>
      </c>
      <c r="B87" s="101" t="s">
        <v>6953</v>
      </c>
      <c r="C87" s="101" t="s">
        <v>6915</v>
      </c>
      <c r="D87" s="101" t="s">
        <v>6970</v>
      </c>
      <c r="E87" s="102" t="s">
        <v>7</v>
      </c>
      <c r="F87" s="101" t="s">
        <v>6971</v>
      </c>
      <c r="G87" s="101" t="s">
        <v>6972</v>
      </c>
      <c r="H87" s="101" t="s">
        <v>6973</v>
      </c>
      <c r="I87" s="101" t="s">
        <v>6974</v>
      </c>
      <c r="J87" s="102" t="s">
        <v>1385</v>
      </c>
      <c r="K87" s="101" t="s">
        <v>2446</v>
      </c>
    </row>
    <row r="88" spans="1:11">
      <c r="A88" s="98" t="s">
        <v>6382</v>
      </c>
      <c r="B88" s="99"/>
      <c r="C88" s="99"/>
      <c r="D88" s="99"/>
      <c r="E88" s="99"/>
      <c r="F88" s="99"/>
      <c r="G88" s="99"/>
      <c r="H88" s="99"/>
      <c r="I88" s="99"/>
      <c r="J88" s="99"/>
      <c r="K88" s="100"/>
    </row>
    <row r="89" ht="60" customHeight="1" spans="1:11">
      <c r="A89" s="101" t="s">
        <v>6975</v>
      </c>
      <c r="B89" s="101" t="s">
        <v>6382</v>
      </c>
      <c r="C89" s="101" t="s">
        <v>6915</v>
      </c>
      <c r="D89" s="101" t="s">
        <v>6976</v>
      </c>
      <c r="E89" s="102" t="s">
        <v>7</v>
      </c>
      <c r="F89" s="101" t="s">
        <v>6977</v>
      </c>
      <c r="G89" s="101" t="s">
        <v>6978</v>
      </c>
      <c r="H89" s="101" t="s">
        <v>6979</v>
      </c>
      <c r="I89" s="101" t="s">
        <v>6980</v>
      </c>
      <c r="J89" s="102" t="s">
        <v>1385</v>
      </c>
      <c r="K89" s="101" t="s">
        <v>2446</v>
      </c>
    </row>
    <row r="90" ht="30" customHeight="1" spans="1:11">
      <c r="A90" s="101" t="s">
        <v>6981</v>
      </c>
      <c r="B90" s="101" t="s">
        <v>6382</v>
      </c>
      <c r="C90" s="101" t="s">
        <v>6915</v>
      </c>
      <c r="D90" s="101" t="s">
        <v>6976</v>
      </c>
      <c r="E90" s="102" t="s">
        <v>7</v>
      </c>
      <c r="F90" s="101" t="s">
        <v>6982</v>
      </c>
      <c r="G90" s="101" t="s">
        <v>6942</v>
      </c>
      <c r="H90" s="101" t="s">
        <v>6976</v>
      </c>
      <c r="I90" s="101" t="s">
        <v>6983</v>
      </c>
      <c r="J90" s="102" t="s">
        <v>1385</v>
      </c>
      <c r="K90" s="101" t="s">
        <v>2446</v>
      </c>
    </row>
    <row r="91" ht="45" customHeight="1" spans="1:11">
      <c r="A91" s="101" t="s">
        <v>6984</v>
      </c>
      <c r="B91" s="101" t="s">
        <v>6382</v>
      </c>
      <c r="C91" s="101" t="s">
        <v>6915</v>
      </c>
      <c r="D91" s="101" t="s">
        <v>6985</v>
      </c>
      <c r="E91" s="102" t="s">
        <v>7</v>
      </c>
      <c r="F91" s="101" t="s">
        <v>6986</v>
      </c>
      <c r="G91" s="101" t="s">
        <v>428</v>
      </c>
      <c r="H91" s="101" t="s">
        <v>6987</v>
      </c>
      <c r="I91" s="101" t="s">
        <v>6988</v>
      </c>
      <c r="J91" s="102" t="s">
        <v>1385</v>
      </c>
      <c r="K91" s="101" t="s">
        <v>1386</v>
      </c>
    </row>
    <row r="92" spans="1:11">
      <c r="A92" s="98" t="s">
        <v>6989</v>
      </c>
      <c r="B92" s="99"/>
      <c r="C92" s="99"/>
      <c r="D92" s="99"/>
      <c r="E92" s="99"/>
      <c r="F92" s="99"/>
      <c r="G92" s="99"/>
      <c r="H92" s="99"/>
      <c r="I92" s="99"/>
      <c r="J92" s="99"/>
      <c r="K92" s="100"/>
    </row>
    <row r="93" ht="60" customHeight="1" spans="1:11">
      <c r="A93" s="101" t="s">
        <v>6990</v>
      </c>
      <c r="B93" s="101" t="s">
        <v>6989</v>
      </c>
      <c r="C93" s="101" t="s">
        <v>6991</v>
      </c>
      <c r="D93" s="101" t="s">
        <v>6992</v>
      </c>
      <c r="E93" s="102" t="s">
        <v>7</v>
      </c>
      <c r="F93" s="101" t="s">
        <v>6993</v>
      </c>
      <c r="G93" s="101" t="s">
        <v>6994</v>
      </c>
      <c r="H93" s="101" t="s">
        <v>6995</v>
      </c>
      <c r="I93" s="101" t="s">
        <v>6996</v>
      </c>
      <c r="J93" s="102" t="s">
        <v>1385</v>
      </c>
      <c r="K93" s="101" t="s">
        <v>2469</v>
      </c>
    </row>
    <row r="94" ht="45" customHeight="1" spans="1:11">
      <c r="A94" s="101" t="s">
        <v>6997</v>
      </c>
      <c r="B94" s="101" t="s">
        <v>6989</v>
      </c>
      <c r="C94" s="101" t="s">
        <v>6991</v>
      </c>
      <c r="D94" s="101" t="s">
        <v>6998</v>
      </c>
      <c r="E94" s="102" t="s">
        <v>7</v>
      </c>
      <c r="F94" s="101" t="s">
        <v>6999</v>
      </c>
      <c r="G94" s="101" t="s">
        <v>6994</v>
      </c>
      <c r="H94" s="101" t="s">
        <v>7000</v>
      </c>
      <c r="I94" s="101" t="s">
        <v>7001</v>
      </c>
      <c r="J94" s="102" t="s">
        <v>1385</v>
      </c>
      <c r="K94" s="101" t="s">
        <v>2469</v>
      </c>
    </row>
    <row r="95" ht="45" customHeight="1" spans="1:11">
      <c r="A95" s="101" t="s">
        <v>7002</v>
      </c>
      <c r="B95" s="101" t="s">
        <v>6989</v>
      </c>
      <c r="C95" s="101" t="s">
        <v>6991</v>
      </c>
      <c r="D95" s="101" t="s">
        <v>7003</v>
      </c>
      <c r="E95" s="102" t="s">
        <v>7</v>
      </c>
      <c r="F95" s="101" t="s">
        <v>7004</v>
      </c>
      <c r="G95" s="101" t="s">
        <v>7005</v>
      </c>
      <c r="H95" s="101" t="s">
        <v>7006</v>
      </c>
      <c r="I95" s="101" t="s">
        <v>7007</v>
      </c>
      <c r="J95" s="102" t="s">
        <v>1385</v>
      </c>
      <c r="K95" s="101" t="s">
        <v>2469</v>
      </c>
    </row>
    <row r="96" spans="1:11">
      <c r="A96" s="98" t="s">
        <v>7008</v>
      </c>
      <c r="B96" s="99"/>
      <c r="C96" s="99"/>
      <c r="D96" s="99"/>
      <c r="E96" s="99"/>
      <c r="F96" s="99"/>
      <c r="G96" s="99"/>
      <c r="H96" s="99"/>
      <c r="I96" s="99"/>
      <c r="J96" s="99"/>
      <c r="K96" s="100"/>
    </row>
    <row r="97" ht="45" customHeight="1" spans="1:11">
      <c r="A97" s="101" t="s">
        <v>7009</v>
      </c>
      <c r="B97" s="101" t="s">
        <v>7008</v>
      </c>
      <c r="C97" s="101" t="s">
        <v>6991</v>
      </c>
      <c r="D97" s="101" t="s">
        <v>7010</v>
      </c>
      <c r="E97" s="102" t="s">
        <v>7</v>
      </c>
      <c r="F97" s="101" t="s">
        <v>7011</v>
      </c>
      <c r="G97" s="101" t="s">
        <v>7005</v>
      </c>
      <c r="H97" s="101" t="s">
        <v>7010</v>
      </c>
      <c r="I97" s="101" t="s">
        <v>7012</v>
      </c>
      <c r="J97" s="102" t="s">
        <v>1385</v>
      </c>
      <c r="K97" s="101" t="s">
        <v>2469</v>
      </c>
    </row>
    <row r="98" ht="60" customHeight="1" spans="1:11">
      <c r="A98" s="101" t="s">
        <v>7013</v>
      </c>
      <c r="B98" s="101" t="s">
        <v>7008</v>
      </c>
      <c r="C98" s="101" t="s">
        <v>6991</v>
      </c>
      <c r="D98" s="101" t="s">
        <v>7010</v>
      </c>
      <c r="E98" s="102" t="s">
        <v>7</v>
      </c>
      <c r="F98" s="101" t="s">
        <v>7014</v>
      </c>
      <c r="G98" s="101" t="s">
        <v>7015</v>
      </c>
      <c r="H98" s="101" t="s">
        <v>7016</v>
      </c>
      <c r="I98" s="101" t="s">
        <v>7017</v>
      </c>
      <c r="J98" s="102" t="s">
        <v>1385</v>
      </c>
      <c r="K98" s="101" t="s">
        <v>2469</v>
      </c>
    </row>
    <row r="99" spans="1:11">
      <c r="A99" s="98" t="s">
        <v>6898</v>
      </c>
      <c r="B99" s="99"/>
      <c r="C99" s="99"/>
      <c r="D99" s="99"/>
      <c r="E99" s="99"/>
      <c r="F99" s="99"/>
      <c r="G99" s="99"/>
      <c r="H99" s="99"/>
      <c r="I99" s="99"/>
      <c r="J99" s="99"/>
      <c r="K99" s="100"/>
    </row>
    <row r="100" ht="45" customHeight="1" spans="1:11">
      <c r="A100" s="101" t="s">
        <v>7018</v>
      </c>
      <c r="B100" s="101" t="s">
        <v>6898</v>
      </c>
      <c r="C100" s="101" t="s">
        <v>6991</v>
      </c>
      <c r="D100" s="101" t="s">
        <v>7019</v>
      </c>
      <c r="E100" s="102" t="s">
        <v>7</v>
      </c>
      <c r="F100" s="101" t="s">
        <v>7020</v>
      </c>
      <c r="G100" s="101" t="s">
        <v>7021</v>
      </c>
      <c r="H100" s="101" t="s">
        <v>7022</v>
      </c>
      <c r="I100" s="101" t="s">
        <v>7023</v>
      </c>
      <c r="J100" s="102" t="s">
        <v>1385</v>
      </c>
      <c r="K100" s="101" t="s">
        <v>2446</v>
      </c>
    </row>
    <row r="101" spans="1:11">
      <c r="A101" s="98" t="s">
        <v>7024</v>
      </c>
      <c r="B101" s="99"/>
      <c r="C101" s="99"/>
      <c r="D101" s="99"/>
      <c r="E101" s="99"/>
      <c r="F101" s="99"/>
      <c r="G101" s="99"/>
      <c r="H101" s="99"/>
      <c r="I101" s="99"/>
      <c r="J101" s="99"/>
      <c r="K101" s="100"/>
    </row>
    <row r="102" ht="75" customHeight="1" spans="1:11">
      <c r="A102" s="101" t="s">
        <v>7025</v>
      </c>
      <c r="B102" s="101" t="s">
        <v>7024</v>
      </c>
      <c r="C102" s="101" t="s">
        <v>6991</v>
      </c>
      <c r="D102" s="101" t="s">
        <v>7026</v>
      </c>
      <c r="E102" s="102" t="s">
        <v>7</v>
      </c>
      <c r="F102" s="101" t="s">
        <v>7027</v>
      </c>
      <c r="G102" s="101" t="s">
        <v>428</v>
      </c>
      <c r="H102" s="101" t="s">
        <v>7028</v>
      </c>
      <c r="I102" s="101" t="s">
        <v>7029</v>
      </c>
      <c r="J102" s="102" t="s">
        <v>1385</v>
      </c>
      <c r="K102" s="101" t="s">
        <v>6366</v>
      </c>
    </row>
    <row r="103" spans="1:11">
      <c r="A103" s="98" t="s">
        <v>7030</v>
      </c>
      <c r="B103" s="99"/>
      <c r="C103" s="99"/>
      <c r="D103" s="99"/>
      <c r="E103" s="99"/>
      <c r="F103" s="99"/>
      <c r="G103" s="99"/>
      <c r="H103" s="99"/>
      <c r="I103" s="99"/>
      <c r="J103" s="99"/>
      <c r="K103" s="100"/>
    </row>
    <row r="104" ht="45" customHeight="1" spans="1:11">
      <c r="A104" s="101" t="s">
        <v>7031</v>
      </c>
      <c r="B104" s="101" t="s">
        <v>7030</v>
      </c>
      <c r="C104" s="101" t="s">
        <v>6991</v>
      </c>
      <c r="D104" s="101" t="s">
        <v>7032</v>
      </c>
      <c r="E104" s="102" t="s">
        <v>7</v>
      </c>
      <c r="F104" s="101" t="s">
        <v>7033</v>
      </c>
      <c r="G104" s="101" t="s">
        <v>428</v>
      </c>
      <c r="H104" s="101" t="s">
        <v>7034</v>
      </c>
      <c r="I104" s="101" t="s">
        <v>7035</v>
      </c>
      <c r="J104" s="102" t="s">
        <v>1385</v>
      </c>
      <c r="K104" s="101" t="s">
        <v>1386</v>
      </c>
    </row>
    <row r="105" spans="1:11">
      <c r="A105" s="98" t="s">
        <v>7036</v>
      </c>
      <c r="B105" s="99"/>
      <c r="C105" s="99"/>
      <c r="D105" s="99"/>
      <c r="E105" s="99"/>
      <c r="F105" s="99"/>
      <c r="G105" s="99"/>
      <c r="H105" s="99"/>
      <c r="I105" s="99"/>
      <c r="J105" s="99"/>
      <c r="K105" s="100"/>
    </row>
    <row r="106" ht="75" customHeight="1" spans="1:11">
      <c r="A106" s="101" t="s">
        <v>7037</v>
      </c>
      <c r="B106" s="101" t="s">
        <v>7036</v>
      </c>
      <c r="C106" s="101" t="s">
        <v>6991</v>
      </c>
      <c r="D106" s="101" t="s">
        <v>7032</v>
      </c>
      <c r="E106" s="102" t="s">
        <v>7</v>
      </c>
      <c r="F106" s="101" t="s">
        <v>7038</v>
      </c>
      <c r="G106" s="101" t="s">
        <v>428</v>
      </c>
      <c r="H106" s="101" t="s">
        <v>7039</v>
      </c>
      <c r="I106" s="101" t="s">
        <v>7040</v>
      </c>
      <c r="J106" s="102" t="s">
        <v>1385</v>
      </c>
      <c r="K106" s="101" t="s">
        <v>6366</v>
      </c>
    </row>
    <row r="107" ht="45" customHeight="1" spans="1:11">
      <c r="A107" s="101" t="s">
        <v>7041</v>
      </c>
      <c r="B107" s="101" t="s">
        <v>7036</v>
      </c>
      <c r="C107" s="101" t="s">
        <v>7042</v>
      </c>
      <c r="D107" s="101" t="s">
        <v>7032</v>
      </c>
      <c r="E107" s="102" t="s">
        <v>7</v>
      </c>
      <c r="F107" s="101" t="s">
        <v>7043</v>
      </c>
      <c r="G107" s="101" t="s">
        <v>428</v>
      </c>
      <c r="H107" s="101" t="s">
        <v>7044</v>
      </c>
      <c r="I107" s="101" t="s">
        <v>2557</v>
      </c>
      <c r="J107" s="102" t="s">
        <v>1508</v>
      </c>
      <c r="K107" s="101" t="s">
        <v>1386</v>
      </c>
    </row>
    <row r="108" ht="45" customHeight="1" spans="1:11">
      <c r="A108" s="101" t="s">
        <v>7045</v>
      </c>
      <c r="B108" s="101" t="s">
        <v>7036</v>
      </c>
      <c r="C108" s="101" t="s">
        <v>7042</v>
      </c>
      <c r="D108" s="101" t="s">
        <v>7032</v>
      </c>
      <c r="E108" s="102" t="s">
        <v>7</v>
      </c>
      <c r="F108" s="101" t="s">
        <v>7046</v>
      </c>
      <c r="G108" s="101" t="s">
        <v>428</v>
      </c>
      <c r="H108" s="101" t="s">
        <v>7047</v>
      </c>
      <c r="I108" s="101" t="s">
        <v>2557</v>
      </c>
      <c r="J108" s="102" t="s">
        <v>1508</v>
      </c>
      <c r="K108" s="101" t="s">
        <v>1386</v>
      </c>
    </row>
    <row r="110" spans="1:11">
      <c r="A110" s="80" t="s">
        <v>1526</v>
      </c>
      <c r="B110" s="103">
        <f>COUNTIF(J57:J108,"PASS")+COUNTIF(J57:J108,"FAIL")</f>
        <v>38</v>
      </c>
    </row>
    <row r="111" spans="1:11">
      <c r="A111" s="80" t="s">
        <v>1385</v>
      </c>
      <c r="B111" s="103">
        <f>COUNTIF(J57:J108,"PASS")</f>
        <v>36</v>
      </c>
    </row>
    <row r="112" spans="1:11">
      <c r="A112" s="80" t="s">
        <v>1508</v>
      </c>
      <c r="B112" s="103">
        <f>COUNTIF(J57:J108,"FAIL")</f>
        <v>2</v>
      </c>
    </row>
    <row r="113" spans="1:11">
      <c r="A113" s="80" t="s">
        <v>1527</v>
      </c>
      <c r="B113" s="104">
        <f>IFERROR(B111/B110,0)</f>
        <v>0.947368421052632</v>
      </c>
    </row>
    <row r="115" spans="1:11">
      <c r="A115" s="105" t="s">
        <v>1528</v>
      </c>
      <c r="B115" s="16"/>
      <c r="C115" s="16"/>
      <c r="D115" s="16"/>
      <c r="E115" s="16"/>
      <c r="F115" s="16"/>
      <c r="G115" s="16"/>
      <c r="H115" s="16"/>
      <c r="I115" s="16"/>
      <c r="J115" s="16"/>
      <c r="K115" s="17"/>
    </row>
    <row r="116" ht="16.5" spans="1:11">
      <c r="A116" s="106" t="s">
        <v>1368</v>
      </c>
      <c r="B116" s="106" t="s">
        <v>1529</v>
      </c>
      <c r="C116" s="16"/>
      <c r="D116" s="16"/>
      <c r="E116" s="16"/>
      <c r="F116" s="16"/>
      <c r="G116" s="16"/>
      <c r="H116" s="17"/>
      <c r="I116" s="106" t="s">
        <v>1530</v>
      </c>
      <c r="J116" s="16"/>
      <c r="K116" s="17"/>
    </row>
    <row r="117" customHeight="1" spans="1:11">
      <c r="A117" s="101" t="s">
        <v>7041</v>
      </c>
      <c r="B117" s="101" t="s">
        <v>7048</v>
      </c>
      <c r="C117" s="99"/>
      <c r="D117" s="99"/>
      <c r="E117" s="99"/>
      <c r="F117" s="99"/>
      <c r="G117" s="99"/>
      <c r="H117" s="100"/>
      <c r="I117" s="101" t="s">
        <v>7049</v>
      </c>
      <c r="J117" s="99"/>
      <c r="K117" s="100"/>
    </row>
    <row r="118" customHeight="1" spans="1:11">
      <c r="A118" s="101" t="s">
        <v>7045</v>
      </c>
      <c r="B118" s="101" t="s">
        <v>7050</v>
      </c>
      <c r="C118" s="99"/>
      <c r="D118" s="99"/>
      <c r="E118" s="99"/>
      <c r="F118" s="99"/>
      <c r="G118" s="99"/>
      <c r="H118" s="100"/>
      <c r="I118" s="101" t="s">
        <v>7051</v>
      </c>
      <c r="J118" s="99"/>
      <c r="K118" s="100"/>
    </row>
  </sheetData>
  <mergeCells count="61">
    <mergeCell ref="A1:E1"/>
    <mergeCell ref="A2:E2"/>
    <mergeCell ref="A3:B3"/>
    <mergeCell ref="C3:E3"/>
    <mergeCell ref="A4:B4"/>
    <mergeCell ref="C4:E4"/>
    <mergeCell ref="A5:B5"/>
    <mergeCell ref="C5:E5"/>
    <mergeCell ref="A6:B6"/>
    <mergeCell ref="C6:E6"/>
    <mergeCell ref="A7:B7"/>
    <mergeCell ref="C7:E7"/>
    <mergeCell ref="A8:B8"/>
    <mergeCell ref="C8:E8"/>
    <mergeCell ref="A10:E10"/>
    <mergeCell ref="A11:E11"/>
    <mergeCell ref="C12:D12"/>
    <mergeCell ref="C13:D13"/>
    <mergeCell ref="C14:D14"/>
    <mergeCell ref="C15:D15"/>
    <mergeCell ref="C16:D16"/>
    <mergeCell ref="C17:D17"/>
    <mergeCell ref="C18:D18"/>
    <mergeCell ref="C19:D19"/>
    <mergeCell ref="C20:D20"/>
    <mergeCell ref="A22:E22"/>
    <mergeCell ref="C23:E23"/>
    <mergeCell ref="C24:E24"/>
    <mergeCell ref="C25:E25"/>
    <mergeCell ref="A27:E27"/>
    <mergeCell ref="C28:E28"/>
    <mergeCell ref="C29:E29"/>
    <mergeCell ref="C30:E30"/>
    <mergeCell ref="C31:E31"/>
    <mergeCell ref="C32:E32"/>
    <mergeCell ref="C33:E33"/>
    <mergeCell ref="A35:E35"/>
    <mergeCell ref="A50:E50"/>
    <mergeCell ref="A52:E52"/>
    <mergeCell ref="A55:K55"/>
    <mergeCell ref="A57:K57"/>
    <mergeCell ref="A63:K63"/>
    <mergeCell ref="A65:K65"/>
    <mergeCell ref="A68:K68"/>
    <mergeCell ref="A70:K70"/>
    <mergeCell ref="A74:K74"/>
    <mergeCell ref="A83:K83"/>
    <mergeCell ref="A88:K88"/>
    <mergeCell ref="A92:K92"/>
    <mergeCell ref="A96:K96"/>
    <mergeCell ref="A99:K99"/>
    <mergeCell ref="A101:K101"/>
    <mergeCell ref="A103:K103"/>
    <mergeCell ref="A105:K105"/>
    <mergeCell ref="A115:K115"/>
    <mergeCell ref="B116:H116"/>
    <mergeCell ref="I116:K116"/>
    <mergeCell ref="B117:H117"/>
    <mergeCell ref="I117:K117"/>
    <mergeCell ref="B118:H118"/>
    <mergeCell ref="I118:K118"/>
  </mergeCells>
  <conditionalFormatting sqref="J57:J108">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workbookViewId="0">
      <pane xSplit="1" ySplit="12" topLeftCell="B13" activePane="bottomRight" state="frozen"/>
      <selection/>
      <selection pane="topRight"/>
      <selection pane="bottomLeft"/>
      <selection pane="bottomRight" activeCell="A1" sqref="A1:J1"/>
    </sheetView>
  </sheetViews>
  <sheetFormatPr defaultColWidth="9" defaultRowHeight="15"/>
  <cols>
    <col min="1" max="1" width="15" customWidth="1"/>
    <col min="2" max="2" width="34" customWidth="1"/>
    <col min="3" max="3" width="9" customWidth="1"/>
    <col min="4" max="4" width="34" customWidth="1"/>
    <col min="5" max="5" width="24" customWidth="1"/>
    <col min="6" max="6" width="34" customWidth="1"/>
    <col min="7" max="7" width="30" customWidth="1"/>
    <col min="8" max="8" width="38" customWidth="1"/>
    <col min="9" max="9" width="11" customWidth="1"/>
    <col min="10" max="10" width="34" customWidth="1"/>
  </cols>
  <sheetData>
    <row r="1" ht="20.25" spans="1:10">
      <c r="A1" s="61" t="s">
        <v>1539</v>
      </c>
    </row>
    <row r="3" spans="1:10">
      <c r="A3" s="62" t="s">
        <v>1008</v>
      </c>
      <c r="B3" s="63" t="s">
        <v>227</v>
      </c>
      <c r="D3" s="62" t="s">
        <v>1540</v>
      </c>
      <c r="E3" s="63" t="s">
        <v>7</v>
      </c>
    </row>
    <row r="4" ht="30" spans="1:10">
      <c r="A4" s="62" t="s">
        <v>1541</v>
      </c>
      <c r="B4" s="64" t="s">
        <v>1542</v>
      </c>
      <c r="D4" s="62" t="s">
        <v>1543</v>
      </c>
      <c r="E4" s="63" t="s">
        <v>233</v>
      </c>
    </row>
    <row r="5" ht="30" spans="1:10">
      <c r="A5" s="62" t="s">
        <v>1544</v>
      </c>
      <c r="B5" s="63" t="s">
        <v>1545</v>
      </c>
      <c r="D5" s="62" t="s">
        <v>1546</v>
      </c>
      <c r="E5" s="64" t="s">
        <v>53</v>
      </c>
    </row>
    <row r="6" ht="45" spans="1:10">
      <c r="A6" s="62" t="s">
        <v>1547</v>
      </c>
      <c r="B6" s="63" t="s">
        <v>1548</v>
      </c>
      <c r="D6" s="62" t="s">
        <v>1549</v>
      </c>
      <c r="E6" s="64" t="s">
        <v>1550</v>
      </c>
    </row>
    <row r="8" ht="15.75" spans="1:10">
      <c r="A8" s="65" t="s">
        <v>1551</v>
      </c>
      <c r="B8" s="66"/>
      <c r="C8" s="66"/>
      <c r="D8" s="66"/>
      <c r="E8" s="66"/>
    </row>
    <row r="9" ht="28.5" spans="1:10">
      <c r="A9" s="67" t="s">
        <v>1552</v>
      </c>
      <c r="B9" s="67" t="s">
        <v>1553</v>
      </c>
      <c r="C9" s="67" t="s">
        <v>1554</v>
      </c>
      <c r="D9" s="67" t="s">
        <v>1555</v>
      </c>
      <c r="E9" s="67" t="s">
        <v>1556</v>
      </c>
    </row>
    <row r="10" spans="1:10">
      <c r="A10" s="68">
        <f>COUNTIF(I13:I30,"Pass")+COUNTIF(I13:I30,"Fail")</f>
        <v>11</v>
      </c>
      <c r="B10" s="68">
        <f>COUNTIF(I13:I30,"Pass")</f>
        <v>9</v>
      </c>
      <c r="C10" s="68">
        <f>COUNTIF(I13:I30,"Fail")</f>
        <v>2</v>
      </c>
      <c r="D10" s="69">
        <f>IFERROR(B10/A10,0)</f>
        <v>0.818181818181818</v>
      </c>
      <c r="E10" s="69">
        <f>IFERROR(C10/A10,0)</f>
        <v>0.181818181818182</v>
      </c>
    </row>
    <row r="12" ht="28.5" spans="1:10">
      <c r="A12" s="70" t="s">
        <v>1368</v>
      </c>
      <c r="B12" s="70" t="s">
        <v>1557</v>
      </c>
      <c r="C12" s="70" t="s">
        <v>1558</v>
      </c>
      <c r="D12" s="70" t="s">
        <v>1559</v>
      </c>
      <c r="E12" s="70" t="s">
        <v>1560</v>
      </c>
      <c r="F12" s="70" t="s">
        <v>1561</v>
      </c>
      <c r="G12" s="70" t="s">
        <v>1562</v>
      </c>
      <c r="H12" s="70" t="s">
        <v>1563</v>
      </c>
      <c r="I12" s="70" t="s">
        <v>1564</v>
      </c>
      <c r="J12" s="70" t="s">
        <v>1565</v>
      </c>
    </row>
    <row r="13" ht="15.75" spans="1:10">
      <c r="A13" s="71" t="s">
        <v>7052</v>
      </c>
      <c r="B13" s="48"/>
      <c r="C13" s="48"/>
      <c r="D13" s="48"/>
      <c r="E13" s="48"/>
      <c r="F13" s="48"/>
      <c r="G13" s="48"/>
      <c r="H13" s="48"/>
      <c r="I13" s="48"/>
      <c r="J13" s="32"/>
    </row>
    <row r="14" ht="45" customHeight="1" spans="1:10">
      <c r="A14" s="72" t="s">
        <v>7053</v>
      </c>
      <c r="B14" s="72" t="s">
        <v>7054</v>
      </c>
      <c r="C14" s="73" t="s">
        <v>1585</v>
      </c>
      <c r="D14" s="72" t="s">
        <v>7055</v>
      </c>
      <c r="E14" s="72" t="s">
        <v>1663</v>
      </c>
      <c r="F14" s="72" t="s">
        <v>1588</v>
      </c>
      <c r="G14" s="72" t="s">
        <v>7056</v>
      </c>
      <c r="H14" s="72" t="s">
        <v>7057</v>
      </c>
      <c r="I14" s="73" t="s">
        <v>1129</v>
      </c>
      <c r="J14" s="72" t="s">
        <v>7</v>
      </c>
    </row>
    <row r="15" ht="15.75" spans="1:10">
      <c r="A15" s="71" t="s">
        <v>1671</v>
      </c>
      <c r="B15" s="48"/>
      <c r="C15" s="48"/>
      <c r="D15" s="48"/>
      <c r="E15" s="48"/>
      <c r="F15" s="48"/>
      <c r="G15" s="48"/>
      <c r="H15" s="48"/>
      <c r="I15" s="48"/>
      <c r="J15" s="32"/>
    </row>
    <row r="16" ht="30" customHeight="1" spans="1:10">
      <c r="A16" s="72" t="s">
        <v>7058</v>
      </c>
      <c r="B16" s="72" t="s">
        <v>7054</v>
      </c>
      <c r="C16" s="73" t="s">
        <v>1585</v>
      </c>
      <c r="D16" s="72" t="s">
        <v>7059</v>
      </c>
      <c r="E16" s="72" t="s">
        <v>1595</v>
      </c>
      <c r="F16" s="72" t="s">
        <v>1588</v>
      </c>
      <c r="G16" s="72" t="s">
        <v>4164</v>
      </c>
      <c r="H16" s="72" t="s">
        <v>1734</v>
      </c>
      <c r="I16" s="73" t="s">
        <v>1129</v>
      </c>
      <c r="J16" s="72" t="s">
        <v>7</v>
      </c>
    </row>
    <row r="17" ht="15.75" spans="1:10">
      <c r="A17" s="71" t="s">
        <v>7052</v>
      </c>
      <c r="B17" s="48"/>
      <c r="C17" s="48"/>
      <c r="D17" s="48"/>
      <c r="E17" s="48"/>
      <c r="F17" s="48"/>
      <c r="G17" s="48"/>
      <c r="H17" s="48"/>
      <c r="I17" s="48"/>
      <c r="J17" s="32"/>
    </row>
    <row r="18" ht="30" customHeight="1" spans="1:10">
      <c r="A18" s="72" t="s">
        <v>7060</v>
      </c>
      <c r="B18" s="72" t="s">
        <v>7061</v>
      </c>
      <c r="C18" s="73" t="s">
        <v>1585</v>
      </c>
      <c r="D18" s="72" t="s">
        <v>7062</v>
      </c>
      <c r="E18" s="72" t="s">
        <v>1663</v>
      </c>
      <c r="F18" s="72" t="s">
        <v>1588</v>
      </c>
      <c r="G18" s="72" t="s">
        <v>7063</v>
      </c>
      <c r="H18" s="72" t="s">
        <v>7064</v>
      </c>
      <c r="I18" s="73" t="s">
        <v>1129</v>
      </c>
      <c r="J18" s="72" t="s">
        <v>7</v>
      </c>
    </row>
    <row r="19" ht="105" customHeight="1" spans="1:10">
      <c r="A19" s="72" t="s">
        <v>7065</v>
      </c>
      <c r="B19" s="72" t="s">
        <v>7066</v>
      </c>
      <c r="C19" s="73" t="s">
        <v>1585</v>
      </c>
      <c r="D19" s="72" t="s">
        <v>7067</v>
      </c>
      <c r="E19" s="72" t="s">
        <v>1663</v>
      </c>
      <c r="F19" s="72" t="s">
        <v>1588</v>
      </c>
      <c r="G19" s="72" t="s">
        <v>7063</v>
      </c>
      <c r="H19" s="72" t="s">
        <v>7068</v>
      </c>
      <c r="I19" s="73" t="s">
        <v>1129</v>
      </c>
      <c r="J19" s="72" t="s">
        <v>7</v>
      </c>
    </row>
    <row r="20" ht="15.75" spans="1:10">
      <c r="A20" s="71" t="s">
        <v>1671</v>
      </c>
      <c r="B20" s="48"/>
      <c r="C20" s="48"/>
      <c r="D20" s="48"/>
      <c r="E20" s="48"/>
      <c r="F20" s="48"/>
      <c r="G20" s="48"/>
      <c r="H20" s="48"/>
      <c r="I20" s="48"/>
      <c r="J20" s="32"/>
    </row>
    <row r="21" ht="120" customHeight="1" spans="1:10">
      <c r="A21" s="72" t="s">
        <v>7069</v>
      </c>
      <c r="B21" s="72" t="s">
        <v>7070</v>
      </c>
      <c r="C21" s="73" t="s">
        <v>1569</v>
      </c>
      <c r="D21" s="72" t="s">
        <v>7071</v>
      </c>
      <c r="E21" s="72" t="s">
        <v>1595</v>
      </c>
      <c r="F21" s="72" t="s">
        <v>1588</v>
      </c>
      <c r="G21" s="72" t="s">
        <v>7072</v>
      </c>
      <c r="H21" s="72" t="s">
        <v>7073</v>
      </c>
      <c r="I21" s="73" t="s">
        <v>1130</v>
      </c>
      <c r="J21" s="72" t="s">
        <v>7074</v>
      </c>
    </row>
    <row r="22" ht="45" customHeight="1" spans="1:10">
      <c r="A22" s="72" t="s">
        <v>7075</v>
      </c>
      <c r="B22" s="72" t="s">
        <v>7076</v>
      </c>
      <c r="C22" s="73" t="s">
        <v>1569</v>
      </c>
      <c r="D22" s="72" t="s">
        <v>7077</v>
      </c>
      <c r="E22" s="72" t="s">
        <v>1595</v>
      </c>
      <c r="F22" s="72" t="s">
        <v>1588</v>
      </c>
      <c r="G22" s="72" t="s">
        <v>4164</v>
      </c>
      <c r="H22" s="72" t="s">
        <v>7078</v>
      </c>
      <c r="I22" s="73" t="s">
        <v>1130</v>
      </c>
      <c r="J22" s="72" t="s">
        <v>7074</v>
      </c>
    </row>
    <row r="23" ht="15.75" spans="1:10">
      <c r="A23" s="71" t="s">
        <v>7079</v>
      </c>
      <c r="B23" s="48"/>
      <c r="C23" s="48"/>
      <c r="D23" s="48"/>
      <c r="E23" s="48"/>
      <c r="F23" s="48"/>
      <c r="G23" s="48"/>
      <c r="H23" s="48"/>
      <c r="I23" s="48"/>
      <c r="J23" s="32"/>
    </row>
    <row r="24" ht="105" customHeight="1" spans="1:10">
      <c r="A24" s="72" t="s">
        <v>7080</v>
      </c>
      <c r="B24" s="72" t="s">
        <v>7081</v>
      </c>
      <c r="C24" s="73" t="s">
        <v>1585</v>
      </c>
      <c r="D24" s="72" t="s">
        <v>7082</v>
      </c>
      <c r="E24" s="72" t="s">
        <v>1663</v>
      </c>
      <c r="F24" s="72" t="s">
        <v>1588</v>
      </c>
      <c r="G24" s="72" t="s">
        <v>1669</v>
      </c>
      <c r="H24" s="72" t="s">
        <v>7083</v>
      </c>
      <c r="I24" s="73" t="s">
        <v>1129</v>
      </c>
      <c r="J24" s="72" t="s">
        <v>7</v>
      </c>
    </row>
    <row r="25" ht="30" customHeight="1" spans="1:10">
      <c r="A25" s="72" t="s">
        <v>7084</v>
      </c>
      <c r="B25" s="72" t="s">
        <v>7085</v>
      </c>
      <c r="C25" s="73" t="s">
        <v>1569</v>
      </c>
      <c r="D25" s="72" t="s">
        <v>7086</v>
      </c>
      <c r="E25" s="72" t="s">
        <v>1663</v>
      </c>
      <c r="F25" s="72" t="s">
        <v>1588</v>
      </c>
      <c r="G25" s="72" t="s">
        <v>1669</v>
      </c>
      <c r="H25" s="72" t="s">
        <v>7087</v>
      </c>
      <c r="I25" s="73" t="s">
        <v>1129</v>
      </c>
      <c r="J25" s="72" t="s">
        <v>7</v>
      </c>
    </row>
    <row r="26" ht="15.75" spans="1:10">
      <c r="A26" s="71" t="s">
        <v>7088</v>
      </c>
      <c r="B26" s="48"/>
      <c r="C26" s="48"/>
      <c r="D26" s="48"/>
      <c r="E26" s="48"/>
      <c r="F26" s="48"/>
      <c r="G26" s="48"/>
      <c r="H26" s="48"/>
      <c r="I26" s="48"/>
      <c r="J26" s="32"/>
    </row>
    <row r="27" ht="180" customHeight="1" spans="1:10">
      <c r="A27" s="72" t="s">
        <v>7089</v>
      </c>
      <c r="B27" s="72" t="s">
        <v>7090</v>
      </c>
      <c r="C27" s="73" t="s">
        <v>1569</v>
      </c>
      <c r="D27" s="72" t="s">
        <v>7091</v>
      </c>
      <c r="E27" s="72" t="s">
        <v>1663</v>
      </c>
      <c r="F27" s="72" t="s">
        <v>7092</v>
      </c>
      <c r="G27" s="72" t="s">
        <v>2557</v>
      </c>
      <c r="H27" s="72" t="s">
        <v>7093</v>
      </c>
      <c r="I27" s="73" t="s">
        <v>1129</v>
      </c>
      <c r="J27" s="72" t="s">
        <v>7</v>
      </c>
    </row>
    <row r="28" ht="15.75" spans="1:10">
      <c r="A28" s="71" t="s">
        <v>7094</v>
      </c>
      <c r="B28" s="48"/>
      <c r="C28" s="48"/>
      <c r="D28" s="48"/>
      <c r="E28" s="48"/>
      <c r="F28" s="48"/>
      <c r="G28" s="48"/>
      <c r="H28" s="48"/>
      <c r="I28" s="48"/>
      <c r="J28" s="32"/>
    </row>
    <row r="29" ht="45" customHeight="1" spans="1:10">
      <c r="A29" s="72" t="s">
        <v>7095</v>
      </c>
      <c r="B29" s="72" t="s">
        <v>7096</v>
      </c>
      <c r="C29" s="73" t="s">
        <v>1585</v>
      </c>
      <c r="D29" s="72" t="s">
        <v>7097</v>
      </c>
      <c r="E29" s="72" t="s">
        <v>1663</v>
      </c>
      <c r="F29" s="72" t="s">
        <v>1588</v>
      </c>
      <c r="G29" s="72" t="s">
        <v>7098</v>
      </c>
      <c r="H29" s="72" t="s">
        <v>7099</v>
      </c>
      <c r="I29" s="73" t="s">
        <v>1129</v>
      </c>
      <c r="J29" s="72" t="s">
        <v>7</v>
      </c>
    </row>
    <row r="30" ht="45" customHeight="1" spans="1:10">
      <c r="A30" s="72" t="s">
        <v>7100</v>
      </c>
      <c r="B30" s="72" t="s">
        <v>7101</v>
      </c>
      <c r="C30" s="73" t="s">
        <v>1585</v>
      </c>
      <c r="D30" s="72" t="s">
        <v>7102</v>
      </c>
      <c r="E30" s="72" t="s">
        <v>1663</v>
      </c>
      <c r="F30" s="72" t="s">
        <v>1588</v>
      </c>
      <c r="G30" s="72" t="s">
        <v>1669</v>
      </c>
      <c r="H30" s="72" t="s">
        <v>7103</v>
      </c>
      <c r="I30" s="73" t="s">
        <v>1129</v>
      </c>
      <c r="J30" s="72" t="s">
        <v>7</v>
      </c>
    </row>
  </sheetData>
  <mergeCells count="9">
    <mergeCell ref="A1:J1"/>
    <mergeCell ref="A8:E8"/>
    <mergeCell ref="A13:J13"/>
    <mergeCell ref="A15:J15"/>
    <mergeCell ref="A17:J17"/>
    <mergeCell ref="A20:J20"/>
    <mergeCell ref="A23:J23"/>
    <mergeCell ref="A26:J26"/>
    <mergeCell ref="A28:J28"/>
  </mergeCells>
  <conditionalFormatting sqref="I13:I30">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4"/>
  <sheetViews>
    <sheetView workbookViewId="0">
      <selection activeCell="A1" sqref="A1:K1"/>
    </sheetView>
  </sheetViews>
  <sheetFormatPr defaultColWidth="9" defaultRowHeight="15"/>
  <cols>
    <col min="1" max="1" width="7" customWidth="1"/>
    <col min="2" max="2" width="12" customWidth="1"/>
    <col min="3" max="3" width="30" customWidth="1"/>
    <col min="4" max="4" width="20" customWidth="1"/>
    <col min="5" max="5" width="36" customWidth="1"/>
    <col min="6" max="9" width="18" customWidth="1"/>
    <col min="10" max="10" width="10" customWidth="1"/>
    <col min="11" max="11" width="26" customWidth="1"/>
  </cols>
  <sheetData>
    <row r="1" ht="20.25" spans="1:11">
      <c r="A1" s="20" t="s">
        <v>1749</v>
      </c>
    </row>
    <row r="3" ht="28.5" spans="1:11">
      <c r="A3" s="49" t="s">
        <v>1008</v>
      </c>
      <c r="B3" s="49" t="s">
        <v>227</v>
      </c>
      <c r="D3" s="49" t="s">
        <v>1540</v>
      </c>
      <c r="E3" s="49" t="s">
        <v>7</v>
      </c>
    </row>
    <row r="4" ht="42.75" spans="1:11">
      <c r="A4" s="49" t="s">
        <v>1750</v>
      </c>
      <c r="B4" s="50" t="s">
        <v>7104</v>
      </c>
      <c r="D4" s="49" t="s">
        <v>1752</v>
      </c>
      <c r="E4" s="49" t="s">
        <v>1753</v>
      </c>
    </row>
    <row r="5" ht="42.75" spans="1:11">
      <c r="A5" s="49" t="s">
        <v>1754</v>
      </c>
      <c r="B5" s="49" t="s">
        <v>1755</v>
      </c>
      <c r="D5" s="49" t="s">
        <v>1543</v>
      </c>
      <c r="E5" s="49" t="s">
        <v>233</v>
      </c>
    </row>
    <row r="7" ht="15.75" spans="1:11">
      <c r="A7" s="51" t="s">
        <v>1756</v>
      </c>
    </row>
    <row r="8" spans="1:11">
      <c r="A8" s="52" t="s">
        <v>1757</v>
      </c>
      <c r="B8" s="32"/>
      <c r="C8" s="52" t="s">
        <v>1758</v>
      </c>
      <c r="D8" s="52" t="s">
        <v>1553</v>
      </c>
      <c r="E8" s="52" t="s">
        <v>1554</v>
      </c>
      <c r="F8" s="52" t="s">
        <v>1759</v>
      </c>
      <c r="G8" s="52" t="s">
        <v>1760</v>
      </c>
      <c r="H8" s="48"/>
      <c r="I8" s="48"/>
      <c r="J8" s="48"/>
      <c r="K8" s="32"/>
    </row>
    <row r="9" ht="32" customHeight="1" spans="1:11">
      <c r="A9" s="53" t="s">
        <v>1761</v>
      </c>
      <c r="B9" s="54"/>
      <c r="C9" s="55">
        <f>COUNTIF($B$15:$B$84,"Unit Test")-COUNTIFS($B$15:$B$84,"Unit Test",$J$15:$J$84,"Pending")</f>
        <v>38</v>
      </c>
      <c r="D9" s="55">
        <f>COUNTIFS($B$15:$B$84,"Unit Test",$J$15:$J$84,"Pass")</f>
        <v>36</v>
      </c>
      <c r="E9" s="55">
        <f>COUNTIFS($B$15:$B$84,"Unit Test",$J$15:$J$84,"Fail")</f>
        <v>2</v>
      </c>
      <c r="F9" s="56">
        <f>IFERROR(D9/C9,0)</f>
        <v>0.947368421052632</v>
      </c>
      <c r="G9" s="57" t="s">
        <v>6786</v>
      </c>
      <c r="H9" s="48"/>
      <c r="I9" s="48"/>
      <c r="J9" s="48"/>
      <c r="K9" s="32"/>
    </row>
    <row r="10" ht="32" customHeight="1" spans="1:11">
      <c r="A10" s="53" t="s">
        <v>1762</v>
      </c>
      <c r="B10" s="54"/>
      <c r="C10" s="55">
        <f>COUNTIF($B$15:$B$84,"API Test")-COUNTIFS($B$15:$B$84,"API Test",$J$15:$J$84,"Pending")</f>
        <v>11</v>
      </c>
      <c r="D10" s="55">
        <f>COUNTIFS($B$15:$B$84,"API Test",$J$15:$J$84,"Pass")</f>
        <v>9</v>
      </c>
      <c r="E10" s="55">
        <f>COUNTIFS($B$15:$B$84,"API Test",$J$15:$J$84,"Fail")</f>
        <v>2</v>
      </c>
      <c r="F10" s="56">
        <f>IFERROR(D10/C10,0)</f>
        <v>0.818181818181818</v>
      </c>
      <c r="G10" s="57" t="s">
        <v>1763</v>
      </c>
      <c r="H10" s="48"/>
      <c r="I10" s="48"/>
      <c r="J10" s="48"/>
      <c r="K10" s="32"/>
    </row>
    <row r="11" ht="32" customHeight="1" spans="1:11">
      <c r="A11" s="53" t="s">
        <v>1764</v>
      </c>
      <c r="B11" s="54"/>
      <c r="C11" s="55">
        <f>COUNTIF($B$15:$B$84,"UI Test")-COUNTIFS($B$15:$B$84,"UI Test",$J$15:$J$84,"Pending")</f>
        <v>18</v>
      </c>
      <c r="D11" s="55">
        <f>COUNTIFS($B$15:$B$84,"UI Test",$J$15:$J$84,"Pass")</f>
        <v>12</v>
      </c>
      <c r="E11" s="55">
        <f>COUNTIFS($B$15:$B$84,"UI Test",$J$15:$J$84,"Fail")</f>
        <v>6</v>
      </c>
      <c r="F11" s="56">
        <f>IFERROR(D11/C11,0)</f>
        <v>0.666666666666667</v>
      </c>
      <c r="G11" s="57" t="s">
        <v>7105</v>
      </c>
      <c r="H11" s="48"/>
      <c r="I11" s="48"/>
      <c r="J11" s="48"/>
      <c r="K11" s="32"/>
    </row>
    <row r="13" ht="28.5" spans="1:11">
      <c r="A13" s="25" t="s">
        <v>211</v>
      </c>
      <c r="B13" s="25" t="s">
        <v>1757</v>
      </c>
      <c r="C13" s="25" t="s">
        <v>1766</v>
      </c>
      <c r="D13" s="25" t="s">
        <v>1767</v>
      </c>
      <c r="E13" s="25" t="s">
        <v>1559</v>
      </c>
      <c r="F13" s="25" t="s">
        <v>1768</v>
      </c>
      <c r="G13" s="48"/>
      <c r="H13" s="48"/>
      <c r="I13" s="32"/>
      <c r="J13" s="25" t="s">
        <v>1564</v>
      </c>
      <c r="K13" s="25" t="s">
        <v>1565</v>
      </c>
    </row>
    <row r="15" ht="15.75" spans="1:11">
      <c r="A15" s="58" t="s">
        <v>1769</v>
      </c>
      <c r="B15" s="48"/>
      <c r="C15" s="48"/>
      <c r="D15" s="48"/>
      <c r="E15" s="48"/>
      <c r="F15" s="48"/>
      <c r="G15" s="48"/>
      <c r="H15" s="48"/>
      <c r="I15" s="48"/>
      <c r="J15" s="48"/>
      <c r="K15" s="48"/>
    </row>
    <row r="16" ht="135" customHeight="1" spans="1:11">
      <c r="A16" s="55">
        <v>1</v>
      </c>
      <c r="B16" s="55" t="s">
        <v>1770</v>
      </c>
      <c r="C16" s="59" t="s">
        <v>7106</v>
      </c>
      <c r="D16" s="59" t="s">
        <v>6847</v>
      </c>
      <c r="E16" s="59" t="s">
        <v>6850</v>
      </c>
      <c r="F16" s="60" t="s">
        <v>7107</v>
      </c>
      <c r="G16" s="48"/>
      <c r="H16" s="48"/>
      <c r="I16" s="32"/>
      <c r="J16" s="55" t="s">
        <v>1129</v>
      </c>
      <c r="K16" s="59" t="s">
        <v>7</v>
      </c>
    </row>
    <row r="17" ht="90" customHeight="1" spans="1:11">
      <c r="A17" s="55">
        <v>2</v>
      </c>
      <c r="B17" s="55" t="s">
        <v>1770</v>
      </c>
      <c r="C17" s="59" t="s">
        <v>7106</v>
      </c>
      <c r="D17" s="59" t="s">
        <v>6853</v>
      </c>
      <c r="E17" s="59" t="s">
        <v>6854</v>
      </c>
      <c r="F17" s="60" t="s">
        <v>7108</v>
      </c>
      <c r="G17" s="48"/>
      <c r="H17" s="48"/>
      <c r="I17" s="32"/>
      <c r="J17" s="55" t="s">
        <v>1129</v>
      </c>
      <c r="K17" s="59" t="s">
        <v>7</v>
      </c>
    </row>
    <row r="18" ht="90" customHeight="1" spans="1:11">
      <c r="A18" s="55">
        <v>3</v>
      </c>
      <c r="B18" s="55" t="s">
        <v>1770</v>
      </c>
      <c r="C18" s="59" t="s">
        <v>7106</v>
      </c>
      <c r="D18" s="59" t="s">
        <v>6857</v>
      </c>
      <c r="E18" s="59" t="s">
        <v>6859</v>
      </c>
      <c r="F18" s="60" t="s">
        <v>7109</v>
      </c>
      <c r="G18" s="48"/>
      <c r="H18" s="48"/>
      <c r="I18" s="32"/>
      <c r="J18" s="55" t="s">
        <v>1129</v>
      </c>
      <c r="K18" s="59" t="s">
        <v>7</v>
      </c>
    </row>
    <row r="19" ht="105" customHeight="1" spans="1:11">
      <c r="A19" s="55">
        <v>4</v>
      </c>
      <c r="B19" s="55" t="s">
        <v>1770</v>
      </c>
      <c r="C19" s="59" t="s">
        <v>7106</v>
      </c>
      <c r="D19" s="59" t="s">
        <v>6862</v>
      </c>
      <c r="E19" s="59" t="s">
        <v>6864</v>
      </c>
      <c r="F19" s="60" t="s">
        <v>7110</v>
      </c>
      <c r="G19" s="48"/>
      <c r="H19" s="48"/>
      <c r="I19" s="32"/>
      <c r="J19" s="55" t="s">
        <v>1129</v>
      </c>
      <c r="K19" s="59" t="s">
        <v>7</v>
      </c>
    </row>
    <row r="20" ht="120" customHeight="1" spans="1:11">
      <c r="A20" s="55">
        <v>5</v>
      </c>
      <c r="B20" s="55" t="s">
        <v>1770</v>
      </c>
      <c r="C20" s="59" t="s">
        <v>7106</v>
      </c>
      <c r="D20" s="59" t="s">
        <v>6867</v>
      </c>
      <c r="E20" s="59" t="s">
        <v>6869</v>
      </c>
      <c r="F20" s="60" t="s">
        <v>7111</v>
      </c>
      <c r="G20" s="48"/>
      <c r="H20" s="48"/>
      <c r="I20" s="32"/>
      <c r="J20" s="55" t="s">
        <v>1129</v>
      </c>
      <c r="K20" s="59" t="s">
        <v>7</v>
      </c>
    </row>
    <row r="21" ht="90" customHeight="1" spans="1:11">
      <c r="A21" s="55">
        <v>6</v>
      </c>
      <c r="B21" s="55" t="s">
        <v>1770</v>
      </c>
      <c r="C21" s="59" t="s">
        <v>7106</v>
      </c>
      <c r="D21" s="59" t="s">
        <v>6875</v>
      </c>
      <c r="E21" s="59" t="s">
        <v>6877</v>
      </c>
      <c r="F21" s="60" t="s">
        <v>7112</v>
      </c>
      <c r="G21" s="48"/>
      <c r="H21" s="48"/>
      <c r="I21" s="32"/>
      <c r="J21" s="55" t="s">
        <v>1129</v>
      </c>
      <c r="K21" s="59" t="s">
        <v>7</v>
      </c>
    </row>
    <row r="22" ht="90" customHeight="1" spans="1:11">
      <c r="A22" s="55">
        <v>7</v>
      </c>
      <c r="B22" s="55" t="s">
        <v>1770</v>
      </c>
      <c r="C22" s="59" t="s">
        <v>7106</v>
      </c>
      <c r="D22" s="59" t="s">
        <v>6882</v>
      </c>
      <c r="E22" s="59" t="s">
        <v>6884</v>
      </c>
      <c r="F22" s="60" t="s">
        <v>7113</v>
      </c>
      <c r="G22" s="48"/>
      <c r="H22" s="48"/>
      <c r="I22" s="32"/>
      <c r="J22" s="55" t="s">
        <v>1129</v>
      </c>
      <c r="K22" s="59" t="s">
        <v>7</v>
      </c>
    </row>
    <row r="23" ht="105" customHeight="1" spans="1:11">
      <c r="A23" s="55">
        <v>8</v>
      </c>
      <c r="B23" s="55" t="s">
        <v>1770</v>
      </c>
      <c r="C23" s="59" t="s">
        <v>7106</v>
      </c>
      <c r="D23" s="59" t="s">
        <v>6888</v>
      </c>
      <c r="E23" s="59" t="s">
        <v>6889</v>
      </c>
      <c r="F23" s="60" t="s">
        <v>7114</v>
      </c>
      <c r="G23" s="48"/>
      <c r="H23" s="48"/>
      <c r="I23" s="32"/>
      <c r="J23" s="55" t="s">
        <v>1129</v>
      </c>
      <c r="K23" s="59" t="s">
        <v>7</v>
      </c>
    </row>
    <row r="24" ht="105" customHeight="1" spans="1:11">
      <c r="A24" s="55">
        <v>9</v>
      </c>
      <c r="B24" s="55" t="s">
        <v>1770</v>
      </c>
      <c r="C24" s="59" t="s">
        <v>7106</v>
      </c>
      <c r="D24" s="59" t="s">
        <v>6894</v>
      </c>
      <c r="E24" s="59" t="s">
        <v>6896</v>
      </c>
      <c r="F24" s="60" t="s">
        <v>7115</v>
      </c>
      <c r="G24" s="48"/>
      <c r="H24" s="48"/>
      <c r="I24" s="32"/>
      <c r="J24" s="55" t="s">
        <v>1129</v>
      </c>
      <c r="K24" s="59" t="s">
        <v>7</v>
      </c>
    </row>
    <row r="25" ht="90" customHeight="1" spans="1:11">
      <c r="A25" s="55">
        <v>10</v>
      </c>
      <c r="B25" s="55" t="s">
        <v>1770</v>
      </c>
      <c r="C25" s="59" t="s">
        <v>7106</v>
      </c>
      <c r="D25" s="59" t="s">
        <v>6899</v>
      </c>
      <c r="E25" s="59" t="s">
        <v>6901</v>
      </c>
      <c r="F25" s="60" t="s">
        <v>7116</v>
      </c>
      <c r="G25" s="48"/>
      <c r="H25" s="48"/>
      <c r="I25" s="32"/>
      <c r="J25" s="55" t="s">
        <v>1129</v>
      </c>
      <c r="K25" s="59" t="s">
        <v>7</v>
      </c>
    </row>
    <row r="26" ht="45" customHeight="1" spans="1:11">
      <c r="A26" s="55">
        <v>11</v>
      </c>
      <c r="B26" s="55" t="s">
        <v>1770</v>
      </c>
      <c r="C26" s="59" t="s">
        <v>7106</v>
      </c>
      <c r="D26" s="59" t="s">
        <v>6904</v>
      </c>
      <c r="E26" s="59" t="s">
        <v>6905</v>
      </c>
      <c r="F26" s="60" t="s">
        <v>7117</v>
      </c>
      <c r="G26" s="48"/>
      <c r="H26" s="48"/>
      <c r="I26" s="32"/>
      <c r="J26" s="55" t="s">
        <v>1129</v>
      </c>
      <c r="K26" s="59" t="s">
        <v>7</v>
      </c>
    </row>
    <row r="27" ht="30" customHeight="1" spans="1:11">
      <c r="A27" s="55">
        <v>12</v>
      </c>
      <c r="B27" s="55" t="s">
        <v>1770</v>
      </c>
      <c r="C27" s="59" t="s">
        <v>7106</v>
      </c>
      <c r="D27" s="59" t="s">
        <v>6908</v>
      </c>
      <c r="E27" s="59" t="s">
        <v>6910</v>
      </c>
      <c r="F27" s="60" t="s">
        <v>7118</v>
      </c>
      <c r="G27" s="48"/>
      <c r="H27" s="48"/>
      <c r="I27" s="32"/>
      <c r="J27" s="55" t="s">
        <v>1129</v>
      </c>
      <c r="K27" s="59" t="s">
        <v>7</v>
      </c>
    </row>
    <row r="28" ht="105" customHeight="1" spans="1:11">
      <c r="A28" s="55">
        <v>13</v>
      </c>
      <c r="B28" s="55" t="s">
        <v>1770</v>
      </c>
      <c r="C28" s="59" t="s">
        <v>7119</v>
      </c>
      <c r="D28" s="59" t="s">
        <v>6914</v>
      </c>
      <c r="E28" s="59" t="s">
        <v>6917</v>
      </c>
      <c r="F28" s="60" t="s">
        <v>7120</v>
      </c>
      <c r="G28" s="48"/>
      <c r="H28" s="48"/>
      <c r="I28" s="32"/>
      <c r="J28" s="55" t="s">
        <v>1129</v>
      </c>
      <c r="K28" s="59" t="s">
        <v>7</v>
      </c>
    </row>
    <row r="29" ht="90" customHeight="1" spans="1:11">
      <c r="A29" s="55">
        <v>14</v>
      </c>
      <c r="B29" s="55" t="s">
        <v>1770</v>
      </c>
      <c r="C29" s="59" t="s">
        <v>7119</v>
      </c>
      <c r="D29" s="59" t="s">
        <v>6921</v>
      </c>
      <c r="E29" s="59" t="s">
        <v>6922</v>
      </c>
      <c r="F29" s="60" t="s">
        <v>7121</v>
      </c>
      <c r="G29" s="48"/>
      <c r="H29" s="48"/>
      <c r="I29" s="32"/>
      <c r="J29" s="55" t="s">
        <v>1129</v>
      </c>
      <c r="K29" s="59" t="s">
        <v>7</v>
      </c>
    </row>
    <row r="30" ht="75" customHeight="1" spans="1:11">
      <c r="A30" s="55">
        <v>15</v>
      </c>
      <c r="B30" s="55" t="s">
        <v>1770</v>
      </c>
      <c r="C30" s="59" t="s">
        <v>7119</v>
      </c>
      <c r="D30" s="59" t="s">
        <v>6926</v>
      </c>
      <c r="E30" s="59" t="s">
        <v>6927</v>
      </c>
      <c r="F30" s="60" t="s">
        <v>7122</v>
      </c>
      <c r="G30" s="48"/>
      <c r="H30" s="48"/>
      <c r="I30" s="32"/>
      <c r="J30" s="55" t="s">
        <v>1129</v>
      </c>
      <c r="K30" s="59" t="s">
        <v>7</v>
      </c>
    </row>
    <row r="31" ht="90" customHeight="1" spans="1:11">
      <c r="A31" s="55">
        <v>16</v>
      </c>
      <c r="B31" s="55" t="s">
        <v>1770</v>
      </c>
      <c r="C31" s="59" t="s">
        <v>7119</v>
      </c>
      <c r="D31" s="59" t="s">
        <v>6931</v>
      </c>
      <c r="E31" s="59" t="s">
        <v>6932</v>
      </c>
      <c r="F31" s="60" t="s">
        <v>7123</v>
      </c>
      <c r="G31" s="48"/>
      <c r="H31" s="48"/>
      <c r="I31" s="32"/>
      <c r="J31" s="55" t="s">
        <v>1129</v>
      </c>
      <c r="K31" s="59" t="s">
        <v>7</v>
      </c>
    </row>
    <row r="32" ht="105" customHeight="1" spans="1:11">
      <c r="A32" s="55">
        <v>17</v>
      </c>
      <c r="B32" s="55" t="s">
        <v>1770</v>
      </c>
      <c r="C32" s="59" t="s">
        <v>7119</v>
      </c>
      <c r="D32" s="59" t="s">
        <v>6935</v>
      </c>
      <c r="E32" s="59" t="s">
        <v>6936</v>
      </c>
      <c r="F32" s="60" t="s">
        <v>7124</v>
      </c>
      <c r="G32" s="48"/>
      <c r="H32" s="48"/>
      <c r="I32" s="32"/>
      <c r="J32" s="55" t="s">
        <v>1129</v>
      </c>
      <c r="K32" s="59" t="s">
        <v>7</v>
      </c>
    </row>
    <row r="33" ht="120" customHeight="1" spans="1:11">
      <c r="A33" s="55">
        <v>18</v>
      </c>
      <c r="B33" s="55" t="s">
        <v>1770</v>
      </c>
      <c r="C33" s="59" t="s">
        <v>7119</v>
      </c>
      <c r="D33" s="59" t="s">
        <v>6939</v>
      </c>
      <c r="E33" s="59" t="s">
        <v>6941</v>
      </c>
      <c r="F33" s="60" t="s">
        <v>7125</v>
      </c>
      <c r="G33" s="48"/>
      <c r="H33" s="48"/>
      <c r="I33" s="32"/>
      <c r="J33" s="55" t="s">
        <v>1129</v>
      </c>
      <c r="K33" s="59" t="s">
        <v>7</v>
      </c>
    </row>
    <row r="34" ht="150" customHeight="1" spans="1:11">
      <c r="A34" s="55">
        <v>19</v>
      </c>
      <c r="B34" s="55" t="s">
        <v>1770</v>
      </c>
      <c r="C34" s="59" t="s">
        <v>7119</v>
      </c>
      <c r="D34" s="59" t="s">
        <v>6945</v>
      </c>
      <c r="E34" s="59" t="s">
        <v>6946</v>
      </c>
      <c r="F34" s="60" t="s">
        <v>7126</v>
      </c>
      <c r="G34" s="48"/>
      <c r="H34" s="48"/>
      <c r="I34" s="32"/>
      <c r="J34" s="55" t="s">
        <v>1129</v>
      </c>
      <c r="K34" s="59" t="s">
        <v>7</v>
      </c>
    </row>
    <row r="35" ht="150" customHeight="1" spans="1:11">
      <c r="A35" s="55">
        <v>20</v>
      </c>
      <c r="B35" s="55" t="s">
        <v>1770</v>
      </c>
      <c r="C35" s="59" t="s">
        <v>7119</v>
      </c>
      <c r="D35" s="59" t="s">
        <v>6949</v>
      </c>
      <c r="E35" s="59" t="s">
        <v>6950</v>
      </c>
      <c r="F35" s="60" t="s">
        <v>7127</v>
      </c>
      <c r="G35" s="48"/>
      <c r="H35" s="48"/>
      <c r="I35" s="32"/>
      <c r="J35" s="55" t="s">
        <v>1129</v>
      </c>
      <c r="K35" s="59" t="s">
        <v>7</v>
      </c>
    </row>
    <row r="36" ht="120" customHeight="1" spans="1:11">
      <c r="A36" s="55">
        <v>21</v>
      </c>
      <c r="B36" s="55" t="s">
        <v>1770</v>
      </c>
      <c r="C36" s="59" t="s">
        <v>7119</v>
      </c>
      <c r="D36" s="59" t="s">
        <v>6954</v>
      </c>
      <c r="E36" s="59" t="s">
        <v>6956</v>
      </c>
      <c r="F36" s="60" t="s">
        <v>7128</v>
      </c>
      <c r="G36" s="48"/>
      <c r="H36" s="48"/>
      <c r="I36" s="32"/>
      <c r="J36" s="55" t="s">
        <v>1129</v>
      </c>
      <c r="K36" s="59" t="s">
        <v>7</v>
      </c>
    </row>
    <row r="37" ht="105" customHeight="1" spans="1:11">
      <c r="A37" s="55">
        <v>22</v>
      </c>
      <c r="B37" s="55" t="s">
        <v>1770</v>
      </c>
      <c r="C37" s="59" t="s">
        <v>7119</v>
      </c>
      <c r="D37" s="59" t="s">
        <v>6959</v>
      </c>
      <c r="E37" s="59" t="s">
        <v>6960</v>
      </c>
      <c r="F37" s="60" t="s">
        <v>7129</v>
      </c>
      <c r="G37" s="48"/>
      <c r="H37" s="48"/>
      <c r="I37" s="32"/>
      <c r="J37" s="55" t="s">
        <v>1129</v>
      </c>
      <c r="K37" s="59" t="s">
        <v>7</v>
      </c>
    </row>
    <row r="38" ht="120" customHeight="1" spans="1:11">
      <c r="A38" s="55">
        <v>23</v>
      </c>
      <c r="B38" s="55" t="s">
        <v>1770</v>
      </c>
      <c r="C38" s="59" t="s">
        <v>7119</v>
      </c>
      <c r="D38" s="59" t="s">
        <v>6964</v>
      </c>
      <c r="E38" s="59" t="s">
        <v>6965</v>
      </c>
      <c r="F38" s="60" t="s">
        <v>7130</v>
      </c>
      <c r="G38" s="48"/>
      <c r="H38" s="48"/>
      <c r="I38" s="32"/>
      <c r="J38" s="55" t="s">
        <v>1129</v>
      </c>
      <c r="K38" s="59" t="s">
        <v>7</v>
      </c>
    </row>
    <row r="39" ht="120" customHeight="1" spans="1:11">
      <c r="A39" s="55">
        <v>24</v>
      </c>
      <c r="B39" s="55" t="s">
        <v>1770</v>
      </c>
      <c r="C39" s="59" t="s">
        <v>7119</v>
      </c>
      <c r="D39" s="59" t="s">
        <v>6969</v>
      </c>
      <c r="E39" s="59" t="s">
        <v>6971</v>
      </c>
      <c r="F39" s="60" t="s">
        <v>7131</v>
      </c>
      <c r="G39" s="48"/>
      <c r="H39" s="48"/>
      <c r="I39" s="32"/>
      <c r="J39" s="55" t="s">
        <v>1129</v>
      </c>
      <c r="K39" s="59" t="s">
        <v>7</v>
      </c>
    </row>
    <row r="40" ht="135" customHeight="1" spans="1:11">
      <c r="A40" s="55">
        <v>25</v>
      </c>
      <c r="B40" s="55" t="s">
        <v>1770</v>
      </c>
      <c r="C40" s="59" t="s">
        <v>7119</v>
      </c>
      <c r="D40" s="59" t="s">
        <v>6975</v>
      </c>
      <c r="E40" s="59" t="s">
        <v>6977</v>
      </c>
      <c r="F40" s="60" t="s">
        <v>7132</v>
      </c>
      <c r="G40" s="48"/>
      <c r="H40" s="48"/>
      <c r="I40" s="32"/>
      <c r="J40" s="55" t="s">
        <v>1129</v>
      </c>
      <c r="K40" s="59" t="s">
        <v>7</v>
      </c>
    </row>
    <row r="41" ht="75" customHeight="1" spans="1:11">
      <c r="A41" s="55">
        <v>26</v>
      </c>
      <c r="B41" s="55" t="s">
        <v>1770</v>
      </c>
      <c r="C41" s="59" t="s">
        <v>7119</v>
      </c>
      <c r="D41" s="59" t="s">
        <v>6981</v>
      </c>
      <c r="E41" s="59" t="s">
        <v>6982</v>
      </c>
      <c r="F41" s="60" t="s">
        <v>7133</v>
      </c>
      <c r="G41" s="48"/>
      <c r="H41" s="48"/>
      <c r="I41" s="32"/>
      <c r="J41" s="55" t="s">
        <v>1129</v>
      </c>
      <c r="K41" s="59" t="s">
        <v>7</v>
      </c>
    </row>
    <row r="42" ht="45" customHeight="1" spans="1:11">
      <c r="A42" s="55">
        <v>27</v>
      </c>
      <c r="B42" s="55" t="s">
        <v>1770</v>
      </c>
      <c r="C42" s="59" t="s">
        <v>7119</v>
      </c>
      <c r="D42" s="59" t="s">
        <v>6984</v>
      </c>
      <c r="E42" s="59" t="s">
        <v>6986</v>
      </c>
      <c r="F42" s="60" t="s">
        <v>7134</v>
      </c>
      <c r="G42" s="48"/>
      <c r="H42" s="48"/>
      <c r="I42" s="32"/>
      <c r="J42" s="55" t="s">
        <v>1129</v>
      </c>
      <c r="K42" s="59" t="s">
        <v>7</v>
      </c>
    </row>
    <row r="43" ht="120" customHeight="1" spans="1:11">
      <c r="A43" s="55">
        <v>28</v>
      </c>
      <c r="B43" s="55" t="s">
        <v>1770</v>
      </c>
      <c r="C43" s="59" t="s">
        <v>7135</v>
      </c>
      <c r="D43" s="59" t="s">
        <v>6990</v>
      </c>
      <c r="E43" s="59" t="s">
        <v>6993</v>
      </c>
      <c r="F43" s="60" t="s">
        <v>7136</v>
      </c>
      <c r="G43" s="48"/>
      <c r="H43" s="48"/>
      <c r="I43" s="32"/>
      <c r="J43" s="55" t="s">
        <v>1129</v>
      </c>
      <c r="K43" s="59" t="s">
        <v>7</v>
      </c>
    </row>
    <row r="44" ht="75" customHeight="1" spans="1:11">
      <c r="A44" s="55">
        <v>29</v>
      </c>
      <c r="B44" s="55" t="s">
        <v>1770</v>
      </c>
      <c r="C44" s="59" t="s">
        <v>7135</v>
      </c>
      <c r="D44" s="59" t="s">
        <v>6997</v>
      </c>
      <c r="E44" s="59" t="s">
        <v>6999</v>
      </c>
      <c r="F44" s="60" t="s">
        <v>7137</v>
      </c>
      <c r="G44" s="48"/>
      <c r="H44" s="48"/>
      <c r="I44" s="32"/>
      <c r="J44" s="55" t="s">
        <v>1129</v>
      </c>
      <c r="K44" s="59" t="s">
        <v>7</v>
      </c>
    </row>
    <row r="45" ht="75" customHeight="1" spans="1:11">
      <c r="A45" s="55">
        <v>30</v>
      </c>
      <c r="B45" s="55" t="s">
        <v>1770</v>
      </c>
      <c r="C45" s="59" t="s">
        <v>7135</v>
      </c>
      <c r="D45" s="59" t="s">
        <v>7002</v>
      </c>
      <c r="E45" s="59" t="s">
        <v>7004</v>
      </c>
      <c r="F45" s="60" t="s">
        <v>7138</v>
      </c>
      <c r="G45" s="48"/>
      <c r="H45" s="48"/>
      <c r="I45" s="32"/>
      <c r="J45" s="55" t="s">
        <v>1129</v>
      </c>
      <c r="K45" s="59" t="s">
        <v>7</v>
      </c>
    </row>
    <row r="46" ht="105" customHeight="1" spans="1:11">
      <c r="A46" s="55">
        <v>31</v>
      </c>
      <c r="B46" s="55" t="s">
        <v>1770</v>
      </c>
      <c r="C46" s="59" t="s">
        <v>7135</v>
      </c>
      <c r="D46" s="59" t="s">
        <v>7009</v>
      </c>
      <c r="E46" s="59" t="s">
        <v>7011</v>
      </c>
      <c r="F46" s="60" t="s">
        <v>7139</v>
      </c>
      <c r="G46" s="48"/>
      <c r="H46" s="48"/>
      <c r="I46" s="32"/>
      <c r="J46" s="55" t="s">
        <v>1129</v>
      </c>
      <c r="K46" s="59" t="s">
        <v>7</v>
      </c>
    </row>
    <row r="47" ht="120" customHeight="1" spans="1:11">
      <c r="A47" s="55">
        <v>32</v>
      </c>
      <c r="B47" s="55" t="s">
        <v>1770</v>
      </c>
      <c r="C47" s="59" t="s">
        <v>7135</v>
      </c>
      <c r="D47" s="59" t="s">
        <v>7013</v>
      </c>
      <c r="E47" s="59" t="s">
        <v>7014</v>
      </c>
      <c r="F47" s="60" t="s">
        <v>7140</v>
      </c>
      <c r="G47" s="48"/>
      <c r="H47" s="48"/>
      <c r="I47" s="32"/>
      <c r="J47" s="55" t="s">
        <v>1129</v>
      </c>
      <c r="K47" s="59" t="s">
        <v>7</v>
      </c>
    </row>
    <row r="48" ht="135" customHeight="1" spans="1:11">
      <c r="A48" s="55">
        <v>33</v>
      </c>
      <c r="B48" s="55" t="s">
        <v>1770</v>
      </c>
      <c r="C48" s="59" t="s">
        <v>7135</v>
      </c>
      <c r="D48" s="59" t="s">
        <v>7018</v>
      </c>
      <c r="E48" s="59" t="s">
        <v>7020</v>
      </c>
      <c r="F48" s="60" t="s">
        <v>7141</v>
      </c>
      <c r="G48" s="48"/>
      <c r="H48" s="48"/>
      <c r="I48" s="32"/>
      <c r="J48" s="55" t="s">
        <v>1129</v>
      </c>
      <c r="K48" s="59" t="s">
        <v>7</v>
      </c>
    </row>
    <row r="49" ht="90" customHeight="1" spans="1:11">
      <c r="A49" s="55">
        <v>34</v>
      </c>
      <c r="B49" s="55" t="s">
        <v>1770</v>
      </c>
      <c r="C49" s="59" t="s">
        <v>7135</v>
      </c>
      <c r="D49" s="59" t="s">
        <v>7025</v>
      </c>
      <c r="E49" s="59" t="s">
        <v>7027</v>
      </c>
      <c r="F49" s="60" t="s">
        <v>7142</v>
      </c>
      <c r="G49" s="48"/>
      <c r="H49" s="48"/>
      <c r="I49" s="32"/>
      <c r="J49" s="55" t="s">
        <v>1129</v>
      </c>
      <c r="K49" s="59" t="s">
        <v>7</v>
      </c>
    </row>
    <row r="50" ht="75" customHeight="1" spans="1:11">
      <c r="A50" s="55">
        <v>35</v>
      </c>
      <c r="B50" s="55" t="s">
        <v>1770</v>
      </c>
      <c r="C50" s="59" t="s">
        <v>7135</v>
      </c>
      <c r="D50" s="59" t="s">
        <v>7031</v>
      </c>
      <c r="E50" s="59" t="s">
        <v>7033</v>
      </c>
      <c r="F50" s="60" t="s">
        <v>7143</v>
      </c>
      <c r="G50" s="48"/>
      <c r="H50" s="48"/>
      <c r="I50" s="32"/>
      <c r="J50" s="55" t="s">
        <v>1129</v>
      </c>
      <c r="K50" s="59" t="s">
        <v>7</v>
      </c>
    </row>
    <row r="51" ht="30" customHeight="1" spans="1:11">
      <c r="A51" s="55">
        <v>36</v>
      </c>
      <c r="B51" s="55" t="s">
        <v>1770</v>
      </c>
      <c r="C51" s="59" t="s">
        <v>7135</v>
      </c>
      <c r="D51" s="59" t="s">
        <v>7037</v>
      </c>
      <c r="E51" s="59" t="s">
        <v>7038</v>
      </c>
      <c r="F51" s="60" t="s">
        <v>7144</v>
      </c>
      <c r="G51" s="48"/>
      <c r="H51" s="48"/>
      <c r="I51" s="32"/>
      <c r="J51" s="55" t="s">
        <v>1129</v>
      </c>
      <c r="K51" s="59" t="s">
        <v>7</v>
      </c>
    </row>
    <row r="52" ht="30" customHeight="1" spans="1:11">
      <c r="A52" s="55">
        <v>37</v>
      </c>
      <c r="B52" s="55" t="s">
        <v>1770</v>
      </c>
      <c r="C52" s="59" t="s">
        <v>7145</v>
      </c>
      <c r="D52" s="59" t="s">
        <v>7041</v>
      </c>
      <c r="E52" s="59" t="s">
        <v>7043</v>
      </c>
      <c r="F52" s="60" t="s">
        <v>7146</v>
      </c>
      <c r="G52" s="48"/>
      <c r="H52" s="48"/>
      <c r="I52" s="32"/>
      <c r="J52" s="55" t="s">
        <v>1130</v>
      </c>
      <c r="K52" s="59" t="s">
        <v>7</v>
      </c>
    </row>
    <row r="53" ht="30" customHeight="1" spans="1:11">
      <c r="A53" s="55">
        <v>38</v>
      </c>
      <c r="B53" s="55" t="s">
        <v>1770</v>
      </c>
      <c r="C53" s="59" t="s">
        <v>7145</v>
      </c>
      <c r="D53" s="59" t="s">
        <v>7045</v>
      </c>
      <c r="E53" s="59" t="s">
        <v>7046</v>
      </c>
      <c r="F53" s="60" t="s">
        <v>6505</v>
      </c>
      <c r="G53" s="48"/>
      <c r="H53" s="48"/>
      <c r="I53" s="32"/>
      <c r="J53" s="55" t="s">
        <v>1130</v>
      </c>
      <c r="K53" s="59" t="s">
        <v>7</v>
      </c>
    </row>
    <row r="54" ht="15.75" spans="1:11">
      <c r="A54" s="58" t="s">
        <v>1803</v>
      </c>
      <c r="B54" s="48"/>
      <c r="C54" s="48"/>
      <c r="D54" s="48"/>
      <c r="E54" s="48"/>
      <c r="F54" s="48"/>
      <c r="G54" s="48"/>
      <c r="H54" s="48"/>
      <c r="I54" s="48"/>
      <c r="J54" s="48"/>
      <c r="K54" s="48"/>
    </row>
    <row r="55" ht="60" customHeight="1" spans="1:11">
      <c r="A55" s="55">
        <v>39</v>
      </c>
      <c r="B55" s="55" t="s">
        <v>1804</v>
      </c>
      <c r="C55" s="59" t="s">
        <v>1548</v>
      </c>
      <c r="D55" s="59" t="s">
        <v>7053</v>
      </c>
      <c r="E55" s="59" t="s">
        <v>7055</v>
      </c>
      <c r="F55" s="60" t="s">
        <v>7147</v>
      </c>
      <c r="G55" s="48"/>
      <c r="H55" s="48"/>
      <c r="I55" s="32"/>
      <c r="J55" s="55" t="s">
        <v>1129</v>
      </c>
      <c r="K55" s="59" t="s">
        <v>7</v>
      </c>
    </row>
    <row r="56" ht="30" customHeight="1" spans="1:11">
      <c r="A56" s="55">
        <v>40</v>
      </c>
      <c r="B56" s="55" t="s">
        <v>1804</v>
      </c>
      <c r="C56" s="59" t="s">
        <v>1548</v>
      </c>
      <c r="D56" s="59" t="s">
        <v>7058</v>
      </c>
      <c r="E56" s="59" t="s">
        <v>7059</v>
      </c>
      <c r="F56" s="60" t="s">
        <v>1807</v>
      </c>
      <c r="G56" s="48"/>
      <c r="H56" s="48"/>
      <c r="I56" s="32"/>
      <c r="J56" s="55" t="s">
        <v>1129</v>
      </c>
      <c r="K56" s="59" t="s">
        <v>7</v>
      </c>
    </row>
    <row r="57" ht="60" customHeight="1" spans="1:11">
      <c r="A57" s="55">
        <v>41</v>
      </c>
      <c r="B57" s="55" t="s">
        <v>1804</v>
      </c>
      <c r="C57" s="59" t="s">
        <v>1548</v>
      </c>
      <c r="D57" s="59" t="s">
        <v>7060</v>
      </c>
      <c r="E57" s="59" t="s">
        <v>7062</v>
      </c>
      <c r="F57" s="60" t="s">
        <v>7148</v>
      </c>
      <c r="G57" s="48"/>
      <c r="H57" s="48"/>
      <c r="I57" s="32"/>
      <c r="J57" s="55" t="s">
        <v>1129</v>
      </c>
      <c r="K57" s="59" t="s">
        <v>7</v>
      </c>
    </row>
    <row r="58" ht="60" customHeight="1" spans="1:11">
      <c r="A58" s="55">
        <v>42</v>
      </c>
      <c r="B58" s="55" t="s">
        <v>1804</v>
      </c>
      <c r="C58" s="59" t="s">
        <v>1548</v>
      </c>
      <c r="D58" s="59" t="s">
        <v>7065</v>
      </c>
      <c r="E58" s="59" t="s">
        <v>7067</v>
      </c>
      <c r="F58" s="60" t="s">
        <v>7148</v>
      </c>
      <c r="G58" s="48"/>
      <c r="H58" s="48"/>
      <c r="I58" s="32"/>
      <c r="J58" s="55" t="s">
        <v>1129</v>
      </c>
      <c r="K58" s="59" t="s">
        <v>7</v>
      </c>
    </row>
    <row r="59" ht="30" customHeight="1" spans="1:11">
      <c r="A59" s="55">
        <v>43</v>
      </c>
      <c r="B59" s="55" t="s">
        <v>1804</v>
      </c>
      <c r="C59" s="59" t="s">
        <v>1548</v>
      </c>
      <c r="D59" s="59" t="s">
        <v>7069</v>
      </c>
      <c r="E59" s="59" t="s">
        <v>7071</v>
      </c>
      <c r="F59" s="60" t="s">
        <v>1807</v>
      </c>
      <c r="G59" s="48"/>
      <c r="H59" s="48"/>
      <c r="I59" s="32"/>
      <c r="J59" s="55" t="s">
        <v>1130</v>
      </c>
      <c r="K59" s="59" t="s">
        <v>7</v>
      </c>
    </row>
    <row r="60" ht="30" customHeight="1" spans="1:11">
      <c r="A60" s="55">
        <v>44</v>
      </c>
      <c r="B60" s="55" t="s">
        <v>1804</v>
      </c>
      <c r="C60" s="59" t="s">
        <v>1548</v>
      </c>
      <c r="D60" s="59" t="s">
        <v>7075</v>
      </c>
      <c r="E60" s="59" t="s">
        <v>7077</v>
      </c>
      <c r="F60" s="60" t="s">
        <v>1807</v>
      </c>
      <c r="G60" s="48"/>
      <c r="H60" s="48"/>
      <c r="I60" s="32"/>
      <c r="J60" s="55" t="s">
        <v>1130</v>
      </c>
      <c r="K60" s="59" t="s">
        <v>7</v>
      </c>
    </row>
    <row r="61" ht="30" customHeight="1" spans="1:11">
      <c r="A61" s="55">
        <v>45</v>
      </c>
      <c r="B61" s="55" t="s">
        <v>1804</v>
      </c>
      <c r="C61" s="59" t="s">
        <v>1548</v>
      </c>
      <c r="D61" s="59" t="s">
        <v>7080</v>
      </c>
      <c r="E61" s="59" t="s">
        <v>7082</v>
      </c>
      <c r="F61" s="60" t="s">
        <v>1807</v>
      </c>
      <c r="G61" s="48"/>
      <c r="H61" s="48"/>
      <c r="I61" s="32"/>
      <c r="J61" s="55" t="s">
        <v>1129</v>
      </c>
      <c r="K61" s="59" t="s">
        <v>7</v>
      </c>
    </row>
    <row r="62" ht="30" customHeight="1" spans="1:11">
      <c r="A62" s="55">
        <v>46</v>
      </c>
      <c r="B62" s="55" t="s">
        <v>1804</v>
      </c>
      <c r="C62" s="59" t="s">
        <v>1548</v>
      </c>
      <c r="D62" s="59" t="s">
        <v>7084</v>
      </c>
      <c r="E62" s="59" t="s">
        <v>7086</v>
      </c>
      <c r="F62" s="60" t="s">
        <v>1807</v>
      </c>
      <c r="G62" s="48"/>
      <c r="H62" s="48"/>
      <c r="I62" s="32"/>
      <c r="J62" s="55" t="s">
        <v>1129</v>
      </c>
      <c r="K62" s="59" t="s">
        <v>7</v>
      </c>
    </row>
    <row r="63" ht="30" customHeight="1" spans="1:11">
      <c r="A63" s="55">
        <v>47</v>
      </c>
      <c r="B63" s="55" t="s">
        <v>1804</v>
      </c>
      <c r="C63" s="59" t="s">
        <v>1548</v>
      </c>
      <c r="D63" s="59" t="s">
        <v>7089</v>
      </c>
      <c r="E63" s="59" t="s">
        <v>7091</v>
      </c>
      <c r="F63" s="60" t="s">
        <v>1807</v>
      </c>
      <c r="G63" s="48"/>
      <c r="H63" s="48"/>
      <c r="I63" s="32"/>
      <c r="J63" s="55" t="s">
        <v>1129</v>
      </c>
      <c r="K63" s="59" t="s">
        <v>7</v>
      </c>
    </row>
    <row r="64" ht="60" customHeight="1" spans="1:11">
      <c r="A64" s="55">
        <v>48</v>
      </c>
      <c r="B64" s="55" t="s">
        <v>1804</v>
      </c>
      <c r="C64" s="59" t="s">
        <v>1548</v>
      </c>
      <c r="D64" s="59" t="s">
        <v>7095</v>
      </c>
      <c r="E64" s="59" t="s">
        <v>7097</v>
      </c>
      <c r="F64" s="60" t="s">
        <v>7149</v>
      </c>
      <c r="G64" s="48"/>
      <c r="H64" s="48"/>
      <c r="I64" s="32"/>
      <c r="J64" s="55" t="s">
        <v>1129</v>
      </c>
      <c r="K64" s="59" t="s">
        <v>7</v>
      </c>
    </row>
    <row r="65" ht="30" customHeight="1" spans="1:11">
      <c r="A65" s="55">
        <v>49</v>
      </c>
      <c r="B65" s="55" t="s">
        <v>1804</v>
      </c>
      <c r="C65" s="59" t="s">
        <v>1548</v>
      </c>
      <c r="D65" s="59" t="s">
        <v>7100</v>
      </c>
      <c r="E65" s="59" t="s">
        <v>7102</v>
      </c>
      <c r="F65" s="60" t="s">
        <v>1807</v>
      </c>
      <c r="G65" s="48"/>
      <c r="H65" s="48"/>
      <c r="I65" s="32"/>
      <c r="J65" s="55" t="s">
        <v>1129</v>
      </c>
      <c r="K65" s="59" t="s">
        <v>7</v>
      </c>
    </row>
    <row r="66" ht="15.75" spans="1:11">
      <c r="A66" s="58" t="s">
        <v>1818</v>
      </c>
      <c r="B66" s="48"/>
      <c r="C66" s="48"/>
      <c r="D66" s="48"/>
      <c r="E66" s="48"/>
      <c r="F66" s="48"/>
      <c r="G66" s="48"/>
      <c r="H66" s="48"/>
      <c r="I66" s="48"/>
      <c r="J66" s="48"/>
      <c r="K66" s="48"/>
    </row>
    <row r="67" customHeight="1" spans="1:11">
      <c r="A67" s="55">
        <v>50</v>
      </c>
      <c r="B67" s="55" t="s">
        <v>1819</v>
      </c>
      <c r="C67" s="59" t="s">
        <v>7150</v>
      </c>
      <c r="D67" s="59" t="s">
        <v>6682</v>
      </c>
      <c r="E67" s="59" t="s">
        <v>6683</v>
      </c>
      <c r="F67" s="60" t="s">
        <v>6685</v>
      </c>
      <c r="G67" s="48"/>
      <c r="H67" s="48"/>
      <c r="I67" s="32"/>
      <c r="J67" s="55" t="s">
        <v>1129</v>
      </c>
      <c r="K67" s="59" t="s">
        <v>7</v>
      </c>
    </row>
    <row r="68" ht="30" customHeight="1" spans="1:11">
      <c r="A68" s="55">
        <v>51</v>
      </c>
      <c r="B68" s="55" t="s">
        <v>1819</v>
      </c>
      <c r="C68" s="59" t="s">
        <v>7150</v>
      </c>
      <c r="D68" s="59" t="s">
        <v>6687</v>
      </c>
      <c r="E68" s="59" t="s">
        <v>6688</v>
      </c>
      <c r="F68" s="60" t="s">
        <v>6690</v>
      </c>
      <c r="G68" s="48"/>
      <c r="H68" s="48"/>
      <c r="I68" s="32"/>
      <c r="J68" s="55" t="s">
        <v>1129</v>
      </c>
      <c r="K68" s="59" t="s">
        <v>7</v>
      </c>
    </row>
    <row r="69" ht="30" customHeight="1" spans="1:11">
      <c r="A69" s="55">
        <v>52</v>
      </c>
      <c r="B69" s="55" t="s">
        <v>1819</v>
      </c>
      <c r="C69" s="59" t="s">
        <v>7150</v>
      </c>
      <c r="D69" s="59" t="s">
        <v>6693</v>
      </c>
      <c r="E69" s="59" t="s">
        <v>6694</v>
      </c>
      <c r="F69" s="60" t="s">
        <v>6696</v>
      </c>
      <c r="G69" s="48"/>
      <c r="H69" s="48"/>
      <c r="I69" s="32"/>
      <c r="J69" s="55" t="s">
        <v>1129</v>
      </c>
      <c r="K69" s="59" t="s">
        <v>7</v>
      </c>
    </row>
    <row r="70" ht="30" customHeight="1" spans="1:11">
      <c r="A70" s="55">
        <v>53</v>
      </c>
      <c r="B70" s="55" t="s">
        <v>1819</v>
      </c>
      <c r="C70" s="59" t="s">
        <v>7150</v>
      </c>
      <c r="D70" s="59" t="s">
        <v>6699</v>
      </c>
      <c r="E70" s="59" t="s">
        <v>6700</v>
      </c>
      <c r="F70" s="60" t="s">
        <v>6702</v>
      </c>
      <c r="G70" s="48"/>
      <c r="H70" s="48"/>
      <c r="I70" s="32"/>
      <c r="J70" s="55" t="s">
        <v>1129</v>
      </c>
      <c r="K70" s="59" t="s">
        <v>7</v>
      </c>
    </row>
    <row r="71" customHeight="1" spans="1:11">
      <c r="A71" s="55">
        <v>54</v>
      </c>
      <c r="B71" s="55" t="s">
        <v>1819</v>
      </c>
      <c r="C71" s="59" t="s">
        <v>7150</v>
      </c>
      <c r="D71" s="59" t="s">
        <v>6704</v>
      </c>
      <c r="E71" s="59" t="s">
        <v>6705</v>
      </c>
      <c r="F71" s="60" t="s">
        <v>6707</v>
      </c>
      <c r="G71" s="48"/>
      <c r="H71" s="48"/>
      <c r="I71" s="32"/>
      <c r="J71" s="55" t="s">
        <v>1129</v>
      </c>
      <c r="K71" s="59" t="s">
        <v>7</v>
      </c>
    </row>
    <row r="72" ht="30" customHeight="1" spans="1:11">
      <c r="A72" s="55">
        <v>55</v>
      </c>
      <c r="B72" s="55" t="s">
        <v>1819</v>
      </c>
      <c r="C72" s="59" t="s">
        <v>7150</v>
      </c>
      <c r="D72" s="59" t="s">
        <v>6711</v>
      </c>
      <c r="E72" s="59" t="s">
        <v>6712</v>
      </c>
      <c r="F72" s="60" t="s">
        <v>6714</v>
      </c>
      <c r="G72" s="48"/>
      <c r="H72" s="48"/>
      <c r="I72" s="32"/>
      <c r="J72" s="55" t="s">
        <v>1129</v>
      </c>
      <c r="K72" s="59" t="s">
        <v>7</v>
      </c>
    </row>
    <row r="73" ht="30" customHeight="1" spans="1:11">
      <c r="A73" s="55">
        <v>56</v>
      </c>
      <c r="B73" s="55" t="s">
        <v>1819</v>
      </c>
      <c r="C73" s="59" t="s">
        <v>7150</v>
      </c>
      <c r="D73" s="59" t="s">
        <v>6716</v>
      </c>
      <c r="E73" s="59" t="s">
        <v>6717</v>
      </c>
      <c r="F73" s="60" t="s">
        <v>6719</v>
      </c>
      <c r="G73" s="48"/>
      <c r="H73" s="48"/>
      <c r="I73" s="32"/>
      <c r="J73" s="55" t="s">
        <v>1130</v>
      </c>
      <c r="K73" s="59" t="s">
        <v>7</v>
      </c>
    </row>
    <row r="74" ht="30" customHeight="1" spans="1:11">
      <c r="A74" s="55">
        <v>57</v>
      </c>
      <c r="B74" s="55" t="s">
        <v>1819</v>
      </c>
      <c r="C74" s="59" t="s">
        <v>7150</v>
      </c>
      <c r="D74" s="59" t="s">
        <v>6722</v>
      </c>
      <c r="E74" s="59" t="s">
        <v>6723</v>
      </c>
      <c r="F74" s="60" t="s">
        <v>6725</v>
      </c>
      <c r="G74" s="48"/>
      <c r="H74" s="48"/>
      <c r="I74" s="32"/>
      <c r="J74" s="55" t="s">
        <v>1130</v>
      </c>
      <c r="K74" s="59" t="s">
        <v>7</v>
      </c>
    </row>
    <row r="75" ht="30" customHeight="1" spans="1:11">
      <c r="A75" s="55">
        <v>58</v>
      </c>
      <c r="B75" s="55" t="s">
        <v>1819</v>
      </c>
      <c r="C75" s="59" t="s">
        <v>7150</v>
      </c>
      <c r="D75" s="59" t="s">
        <v>6728</v>
      </c>
      <c r="E75" s="59" t="s">
        <v>6729</v>
      </c>
      <c r="F75" s="60" t="s">
        <v>6731</v>
      </c>
      <c r="G75" s="48"/>
      <c r="H75" s="48"/>
      <c r="I75" s="32"/>
      <c r="J75" s="55" t="s">
        <v>1130</v>
      </c>
      <c r="K75" s="59" t="s">
        <v>7</v>
      </c>
    </row>
    <row r="76" ht="30" customHeight="1" spans="1:11">
      <c r="A76" s="55">
        <v>59</v>
      </c>
      <c r="B76" s="55" t="s">
        <v>1819</v>
      </c>
      <c r="C76" s="59" t="s">
        <v>7150</v>
      </c>
      <c r="D76" s="59" t="s">
        <v>6734</v>
      </c>
      <c r="E76" s="59" t="s">
        <v>6735</v>
      </c>
      <c r="F76" s="60" t="s">
        <v>6737</v>
      </c>
      <c r="G76" s="48"/>
      <c r="H76" s="48"/>
      <c r="I76" s="32"/>
      <c r="J76" s="55" t="s">
        <v>1129</v>
      </c>
      <c r="K76" s="59" t="s">
        <v>7</v>
      </c>
    </row>
    <row r="77" ht="30" customHeight="1" spans="1:11">
      <c r="A77" s="55">
        <v>60</v>
      </c>
      <c r="B77" s="55" t="s">
        <v>1819</v>
      </c>
      <c r="C77" s="59" t="s">
        <v>7150</v>
      </c>
      <c r="D77" s="59" t="s">
        <v>6739</v>
      </c>
      <c r="E77" s="59" t="s">
        <v>6740</v>
      </c>
      <c r="F77" s="60" t="s">
        <v>6742</v>
      </c>
      <c r="G77" s="48"/>
      <c r="H77" s="48"/>
      <c r="I77" s="32"/>
      <c r="J77" s="55" t="s">
        <v>1130</v>
      </c>
      <c r="K77" s="59" t="s">
        <v>7</v>
      </c>
    </row>
    <row r="78" ht="30" customHeight="1" spans="1:11">
      <c r="A78" s="55">
        <v>61</v>
      </c>
      <c r="B78" s="55" t="s">
        <v>1819</v>
      </c>
      <c r="C78" s="59" t="s">
        <v>7150</v>
      </c>
      <c r="D78" s="59" t="s">
        <v>6745</v>
      </c>
      <c r="E78" s="59" t="s">
        <v>6746</v>
      </c>
      <c r="F78" s="60" t="s">
        <v>6748</v>
      </c>
      <c r="G78" s="48"/>
      <c r="H78" s="48"/>
      <c r="I78" s="32"/>
      <c r="J78" s="55" t="s">
        <v>1130</v>
      </c>
      <c r="K78" s="59" t="s">
        <v>7</v>
      </c>
    </row>
    <row r="79" ht="30" customHeight="1" spans="1:11">
      <c r="A79" s="55">
        <v>62</v>
      </c>
      <c r="B79" s="55" t="s">
        <v>1819</v>
      </c>
      <c r="C79" s="59" t="s">
        <v>7150</v>
      </c>
      <c r="D79" s="59" t="s">
        <v>6751</v>
      </c>
      <c r="E79" s="59" t="s">
        <v>6752</v>
      </c>
      <c r="F79" s="60" t="s">
        <v>6754</v>
      </c>
      <c r="G79" s="48"/>
      <c r="H79" s="48"/>
      <c r="I79" s="32"/>
      <c r="J79" s="55" t="s">
        <v>1129</v>
      </c>
      <c r="K79" s="59" t="s">
        <v>7</v>
      </c>
    </row>
    <row r="80" ht="45" customHeight="1" spans="1:11">
      <c r="A80" s="55">
        <v>63</v>
      </c>
      <c r="B80" s="55" t="s">
        <v>1819</v>
      </c>
      <c r="C80" s="59" t="s">
        <v>7150</v>
      </c>
      <c r="D80" s="59" t="s">
        <v>6758</v>
      </c>
      <c r="E80" s="59" t="s">
        <v>6759</v>
      </c>
      <c r="F80" s="60" t="s">
        <v>6760</v>
      </c>
      <c r="G80" s="48"/>
      <c r="H80" s="48"/>
      <c r="I80" s="32"/>
      <c r="J80" s="55" t="s">
        <v>1129</v>
      </c>
      <c r="K80" s="59" t="s">
        <v>7</v>
      </c>
    </row>
    <row r="81" customHeight="1" spans="1:11">
      <c r="A81" s="55">
        <v>64</v>
      </c>
      <c r="B81" s="55" t="s">
        <v>1819</v>
      </c>
      <c r="C81" s="59" t="s">
        <v>7150</v>
      </c>
      <c r="D81" s="59" t="s">
        <v>6763</v>
      </c>
      <c r="E81" s="59" t="s">
        <v>1254</v>
      </c>
      <c r="F81" s="60" t="s">
        <v>6765</v>
      </c>
      <c r="G81" s="48"/>
      <c r="H81" s="48"/>
      <c r="I81" s="32"/>
      <c r="J81" s="55" t="s">
        <v>1129</v>
      </c>
      <c r="K81" s="59" t="s">
        <v>7</v>
      </c>
    </row>
    <row r="82" ht="30" customHeight="1" spans="1:11">
      <c r="A82" s="55">
        <v>65</v>
      </c>
      <c r="B82" s="55" t="s">
        <v>1819</v>
      </c>
      <c r="C82" s="59" t="s">
        <v>7150</v>
      </c>
      <c r="D82" s="59" t="s">
        <v>6767</v>
      </c>
      <c r="E82" s="59" t="s">
        <v>6768</v>
      </c>
      <c r="F82" s="60" t="s">
        <v>6770</v>
      </c>
      <c r="G82" s="48"/>
      <c r="H82" s="48"/>
      <c r="I82" s="32"/>
      <c r="J82" s="55" t="s">
        <v>1129</v>
      </c>
      <c r="K82" s="59" t="s">
        <v>7</v>
      </c>
    </row>
    <row r="83" customHeight="1" spans="1:11">
      <c r="A83" s="55">
        <v>66</v>
      </c>
      <c r="B83" s="55" t="s">
        <v>1819</v>
      </c>
      <c r="C83" s="59" t="s">
        <v>7150</v>
      </c>
      <c r="D83" s="59" t="s">
        <v>6771</v>
      </c>
      <c r="E83" s="59" t="s">
        <v>6772</v>
      </c>
      <c r="F83" s="60" t="s">
        <v>6774</v>
      </c>
      <c r="G83" s="48"/>
      <c r="H83" s="48"/>
      <c r="I83" s="32"/>
      <c r="J83" s="55" t="s">
        <v>1129</v>
      </c>
      <c r="K83" s="59" t="s">
        <v>7</v>
      </c>
    </row>
    <row r="84" customHeight="1" spans="1:11">
      <c r="A84" s="55">
        <v>67</v>
      </c>
      <c r="B84" s="55" t="s">
        <v>1819</v>
      </c>
      <c r="C84" s="59" t="s">
        <v>7150</v>
      </c>
      <c r="D84" s="59" t="s">
        <v>6777</v>
      </c>
      <c r="E84" s="59" t="s">
        <v>6778</v>
      </c>
      <c r="F84" s="60" t="s">
        <v>6774</v>
      </c>
      <c r="G84" s="48"/>
      <c r="H84" s="48"/>
      <c r="I84" s="32"/>
      <c r="J84" s="55" t="s">
        <v>1130</v>
      </c>
      <c r="K84" s="59" t="s">
        <v>7</v>
      </c>
    </row>
  </sheetData>
  <mergeCells count="84">
    <mergeCell ref="A1:K1"/>
    <mergeCell ref="B3:C3"/>
    <mergeCell ref="B4:C4"/>
    <mergeCell ref="B5:C5"/>
    <mergeCell ref="A7:K7"/>
    <mergeCell ref="A8:B8"/>
    <mergeCell ref="G8:K8"/>
    <mergeCell ref="A9:B9"/>
    <mergeCell ref="G9:K9"/>
    <mergeCell ref="A10:B10"/>
    <mergeCell ref="G10:K10"/>
    <mergeCell ref="A11:B11"/>
    <mergeCell ref="G11:K11"/>
    <mergeCell ref="F13:I13"/>
    <mergeCell ref="A15:K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35:I35"/>
    <mergeCell ref="F36:I36"/>
    <mergeCell ref="F37:I37"/>
    <mergeCell ref="F38:I38"/>
    <mergeCell ref="F39:I39"/>
    <mergeCell ref="F40:I40"/>
    <mergeCell ref="F41:I41"/>
    <mergeCell ref="F42:I42"/>
    <mergeCell ref="F43:I43"/>
    <mergeCell ref="F44:I44"/>
    <mergeCell ref="F45:I45"/>
    <mergeCell ref="F46:I46"/>
    <mergeCell ref="F47:I47"/>
    <mergeCell ref="F48:I48"/>
    <mergeCell ref="F49:I49"/>
    <mergeCell ref="F50:I50"/>
    <mergeCell ref="F51:I51"/>
    <mergeCell ref="F52:I52"/>
    <mergeCell ref="F53:I53"/>
    <mergeCell ref="A54:K54"/>
    <mergeCell ref="F55:I55"/>
    <mergeCell ref="F56:I56"/>
    <mergeCell ref="F57:I57"/>
    <mergeCell ref="F58:I58"/>
    <mergeCell ref="F59:I59"/>
    <mergeCell ref="F60:I60"/>
    <mergeCell ref="F61:I61"/>
    <mergeCell ref="F62:I62"/>
    <mergeCell ref="F63:I63"/>
    <mergeCell ref="F64:I64"/>
    <mergeCell ref="F65:I65"/>
    <mergeCell ref="A66:K66"/>
    <mergeCell ref="F67:I67"/>
    <mergeCell ref="F68:I68"/>
    <mergeCell ref="F69:I69"/>
    <mergeCell ref="F70:I70"/>
    <mergeCell ref="F71:I71"/>
    <mergeCell ref="F72:I72"/>
    <mergeCell ref="F73:I73"/>
    <mergeCell ref="F74:I74"/>
    <mergeCell ref="F75:I75"/>
    <mergeCell ref="F76:I76"/>
    <mergeCell ref="F77:I77"/>
    <mergeCell ref="F78:I78"/>
    <mergeCell ref="F79:I79"/>
    <mergeCell ref="F80:I80"/>
    <mergeCell ref="F81:I81"/>
    <mergeCell ref="F82:I82"/>
    <mergeCell ref="F83:I83"/>
    <mergeCell ref="F84:I84"/>
  </mergeCells>
  <conditionalFormatting sqref="J15:J84">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9"/>
  <sheetViews>
    <sheetView workbookViewId="0">
      <selection activeCell="A1" sqref="A1:H1"/>
    </sheetView>
  </sheetViews>
  <sheetFormatPr defaultColWidth="9" defaultRowHeight="15"/>
  <cols>
    <col min="1" max="1" width="9" customWidth="1"/>
    <col min="2" max="2" width="14" customWidth="1"/>
    <col min="3" max="3" width="40" customWidth="1"/>
    <col min="4" max="4" width="30" customWidth="1"/>
    <col min="5" max="5" width="10" customWidth="1"/>
    <col min="6" max="6" width="9" customWidth="1"/>
    <col min="7" max="12" width="10" customWidth="1"/>
    <col min="13" max="13" width="12" customWidth="1"/>
    <col min="14" max="15" width="10" customWidth="1"/>
  </cols>
  <sheetData>
    <row r="1" ht="20.25" spans="1:4">
      <c r="A1" s="20" t="s">
        <v>7151</v>
      </c>
    </row>
    <row r="3" ht="28.5" spans="1:4">
      <c r="A3" s="21" t="s">
        <v>1822</v>
      </c>
      <c r="B3" s="22" t="s">
        <v>1823</v>
      </c>
    </row>
    <row r="4" ht="28.5" spans="1:4">
      <c r="A4" s="21" t="s">
        <v>1544</v>
      </c>
      <c r="B4" s="22" t="s">
        <v>7152</v>
      </c>
    </row>
    <row r="5" ht="42.75" spans="1:4">
      <c r="A5" s="21" t="s">
        <v>1825</v>
      </c>
      <c r="B5" s="23" t="s">
        <v>1826</v>
      </c>
    </row>
    <row r="7" ht="15.75" spans="1:4">
      <c r="A7" s="24" t="s">
        <v>1827</v>
      </c>
    </row>
    <row r="8" ht="28.5" spans="1:4">
      <c r="A8" s="25" t="s">
        <v>211</v>
      </c>
      <c r="B8" s="25" t="s">
        <v>1828</v>
      </c>
      <c r="C8" s="25" t="s">
        <v>1829</v>
      </c>
      <c r="D8" s="25" t="s">
        <v>1830</v>
      </c>
    </row>
    <row r="9" ht="30" customHeight="1" spans="1:4">
      <c r="A9" s="26">
        <v>1</v>
      </c>
      <c r="B9" s="27" t="s">
        <v>1831</v>
      </c>
      <c r="C9" s="28" t="s">
        <v>7153</v>
      </c>
      <c r="D9" s="29" t="s">
        <v>2962</v>
      </c>
    </row>
    <row r="11" ht="15.75" spans="1:4">
      <c r="A11" s="30" t="s">
        <v>1837</v>
      </c>
    </row>
    <row r="12" spans="1:4">
      <c r="A12" s="31" t="s">
        <v>1838</v>
      </c>
      <c r="B12" s="32"/>
      <c r="C12" s="31" t="s">
        <v>1839</v>
      </c>
      <c r="D12" s="32"/>
    </row>
    <row r="13" customHeight="1" spans="1:4">
      <c r="A13" s="33" t="s">
        <v>1840</v>
      </c>
      <c r="B13" s="32"/>
      <c r="C13" s="34" t="s">
        <v>1841</v>
      </c>
      <c r="D13" s="32"/>
    </row>
    <row r="14" customHeight="1" spans="1:4">
      <c r="A14" s="33" t="s">
        <v>1842</v>
      </c>
      <c r="B14" s="32"/>
      <c r="C14" s="34" t="s">
        <v>1843</v>
      </c>
      <c r="D14" s="32"/>
    </row>
    <row r="15" customHeight="1" spans="1:4">
      <c r="A15" s="33" t="s">
        <v>1844</v>
      </c>
      <c r="B15" s="32"/>
      <c r="C15" s="34" t="s">
        <v>1845</v>
      </c>
      <c r="D15" s="32"/>
    </row>
    <row r="16" customHeight="1" spans="1:4">
      <c r="A16" s="33" t="s">
        <v>1846</v>
      </c>
      <c r="B16" s="32"/>
      <c r="C16" s="34" t="s">
        <v>1847</v>
      </c>
      <c r="D16" s="32"/>
    </row>
    <row r="17" customHeight="1" spans="1:15">
      <c r="A17" s="33" t="s">
        <v>1848</v>
      </c>
      <c r="B17" s="32"/>
      <c r="C17" s="34" t="s">
        <v>1849</v>
      </c>
      <c r="D17" s="32"/>
    </row>
    <row r="18" ht="30" customHeight="1" spans="1:15">
      <c r="A18" s="33" t="s">
        <v>1850</v>
      </c>
      <c r="B18" s="32"/>
      <c r="C18" s="34" t="s">
        <v>1851</v>
      </c>
      <c r="D18" s="32"/>
    </row>
    <row r="19" ht="30" customHeight="1" spans="1:15">
      <c r="A19" s="33" t="s">
        <v>1852</v>
      </c>
      <c r="B19" s="32"/>
      <c r="C19" s="34" t="s">
        <v>1853</v>
      </c>
      <c r="D19" s="32"/>
    </row>
    <row r="20" customHeight="1" spans="1:15">
      <c r="A20" s="33" t="s">
        <v>1854</v>
      </c>
      <c r="B20" s="32"/>
      <c r="C20" s="34" t="s">
        <v>1855</v>
      </c>
      <c r="D20" s="32"/>
    </row>
    <row r="22" ht="15.75" spans="1:15">
      <c r="A22" s="24" t="s">
        <v>1856</v>
      </c>
    </row>
    <row r="23" ht="28.5" spans="1:15">
      <c r="A23" s="31" t="s">
        <v>211</v>
      </c>
      <c r="B23" s="31" t="s">
        <v>1857</v>
      </c>
      <c r="C23" s="32"/>
      <c r="D23" s="31" t="s">
        <v>1858</v>
      </c>
    </row>
    <row r="24" ht="30" customHeight="1" spans="1:15">
      <c r="A24" s="35">
        <v>1</v>
      </c>
      <c r="B24" s="33" t="s">
        <v>7154</v>
      </c>
      <c r="C24" s="32"/>
      <c r="D24" s="34" t="s">
        <v>7155</v>
      </c>
    </row>
    <row r="25" customHeight="1" spans="1:15">
      <c r="A25" s="35">
        <v>2</v>
      </c>
      <c r="B25" s="33" t="s">
        <v>7156</v>
      </c>
      <c r="C25" s="32"/>
      <c r="D25" s="34" t="s">
        <v>7157</v>
      </c>
    </row>
    <row r="27" spans="1:15">
      <c r="A27" s="36" t="s">
        <v>1863</v>
      </c>
      <c r="B27" s="37"/>
      <c r="C27" s="37"/>
      <c r="D27" s="37"/>
      <c r="E27" s="37"/>
      <c r="F27" s="37"/>
      <c r="G27" s="37"/>
      <c r="H27" s="37"/>
      <c r="I27" s="37"/>
      <c r="J27" s="37"/>
      <c r="K27" s="37"/>
      <c r="L27" s="37"/>
      <c r="M27" s="37"/>
      <c r="N27" s="37"/>
      <c r="O27" s="37"/>
    </row>
    <row r="28" ht="32" customHeight="1" spans="1:15">
      <c r="A28" s="38" t="s">
        <v>211</v>
      </c>
      <c r="B28" s="38" t="s">
        <v>1828</v>
      </c>
      <c r="C28" s="38" t="s">
        <v>1864</v>
      </c>
      <c r="D28" s="38" t="s">
        <v>1865</v>
      </c>
      <c r="E28" s="38" t="s">
        <v>1866</v>
      </c>
      <c r="F28" s="38" t="s">
        <v>1867</v>
      </c>
      <c r="G28" s="38" t="s">
        <v>1868</v>
      </c>
      <c r="H28" s="38" t="s">
        <v>1869</v>
      </c>
      <c r="I28" s="38" t="s">
        <v>1870</v>
      </c>
      <c r="J28" s="38" t="s">
        <v>1871</v>
      </c>
      <c r="K28" s="38" t="s">
        <v>1872</v>
      </c>
      <c r="L28" s="38" t="s">
        <v>1873</v>
      </c>
      <c r="M28" s="38" t="s">
        <v>1874</v>
      </c>
      <c r="N28" s="38" t="s">
        <v>1875</v>
      </c>
      <c r="O28" s="38" t="s">
        <v>1876</v>
      </c>
    </row>
    <row r="29" ht="30" customHeight="1" spans="1:15">
      <c r="A29" s="39">
        <v>1</v>
      </c>
      <c r="B29" s="39" t="s">
        <v>1831</v>
      </c>
      <c r="C29" s="40" t="s">
        <v>7158</v>
      </c>
      <c r="D29" s="39" t="s">
        <v>2976</v>
      </c>
      <c r="E29" s="39">
        <v>5</v>
      </c>
      <c r="F29" s="39">
        <v>30</v>
      </c>
      <c r="G29" s="39">
        <v>289</v>
      </c>
      <c r="H29" s="39">
        <v>590</v>
      </c>
      <c r="I29" s="39">
        <v>256</v>
      </c>
      <c r="J29" s="39">
        <v>301</v>
      </c>
      <c r="K29" s="39">
        <v>188</v>
      </c>
      <c r="L29" s="39">
        <v>395</v>
      </c>
      <c r="M29" s="39">
        <v>19.5</v>
      </c>
      <c r="N29" s="41">
        <v>0</v>
      </c>
      <c r="O29" s="39" t="s">
        <v>1385</v>
      </c>
    </row>
    <row r="30" customHeight="1" spans="1:15">
      <c r="A30" s="39">
        <v>2</v>
      </c>
      <c r="B30" s="39" t="s">
        <v>1831</v>
      </c>
      <c r="C30" s="40" t="s">
        <v>7159</v>
      </c>
      <c r="D30" s="39" t="s">
        <v>1878</v>
      </c>
      <c r="E30" s="39">
        <v>20</v>
      </c>
      <c r="F30" s="39">
        <v>30</v>
      </c>
      <c r="G30" s="39">
        <v>265</v>
      </c>
      <c r="H30" s="39">
        <v>4181</v>
      </c>
      <c r="I30" s="39">
        <v>143</v>
      </c>
      <c r="J30" s="39">
        <v>381</v>
      </c>
      <c r="K30" s="39">
        <v>47</v>
      </c>
      <c r="L30" s="39">
        <v>897</v>
      </c>
      <c r="M30" s="39">
        <v>139.2</v>
      </c>
      <c r="N30" s="41">
        <v>0</v>
      </c>
      <c r="O30" s="39" t="s">
        <v>1385</v>
      </c>
    </row>
    <row r="31" spans="1:15">
      <c r="A31" s="42" t="s">
        <v>1882</v>
      </c>
      <c r="B31" s="42" t="s">
        <v>1883</v>
      </c>
      <c r="C31" s="42" t="s">
        <v>1884</v>
      </c>
      <c r="D31" s="42" t="s">
        <v>1885</v>
      </c>
      <c r="H31" s="43">
        <f>SUM(H29:H30)</f>
        <v>4771</v>
      </c>
      <c r="I31" s="44">
        <f>IFERROR(SUMPRODUCT(H29:H30,I29:I30)/H31,0)</f>
        <v>156.974009641585</v>
      </c>
      <c r="N31" s="45">
        <f>IFERROR(SUMPRODUCT(H29:H30,N29:N30)/H31,0)</f>
        <v>0</v>
      </c>
      <c r="O31" s="43" t="str">
        <f>IF(COUNTIF(O29:O30,"FAIL")=0,"PASS","FAIL")</f>
        <v>PASS</v>
      </c>
    </row>
    <row r="33" spans="1:15">
      <c r="A33" s="46" t="s">
        <v>1886</v>
      </c>
      <c r="B33" s="16"/>
      <c r="C33" s="16"/>
      <c r="D33" s="16"/>
      <c r="E33" s="17"/>
    </row>
    <row r="34" ht="30" spans="1:15">
      <c r="A34" s="38" t="s">
        <v>1887</v>
      </c>
      <c r="B34" s="38" t="s">
        <v>332</v>
      </c>
      <c r="C34" s="38" t="s">
        <v>1888</v>
      </c>
      <c r="D34" s="38" t="s">
        <v>1889</v>
      </c>
      <c r="E34" s="38" t="s">
        <v>430</v>
      </c>
    </row>
    <row r="35" ht="30" customHeight="1" spans="1:15">
      <c r="A35" s="47" t="s">
        <v>1831</v>
      </c>
      <c r="B35" s="47" t="s">
        <v>2976</v>
      </c>
      <c r="C35" s="47" t="s">
        <v>2981</v>
      </c>
      <c r="D35" s="47" t="s">
        <v>1891</v>
      </c>
      <c r="E35" s="47" t="s">
        <v>7158</v>
      </c>
    </row>
    <row r="36" ht="30" customHeight="1" spans="1:15">
      <c r="A36" s="47" t="s">
        <v>1831</v>
      </c>
      <c r="B36" s="47" t="s">
        <v>1878</v>
      </c>
      <c r="C36" s="47" t="s">
        <v>7160</v>
      </c>
      <c r="D36" s="47" t="s">
        <v>1891</v>
      </c>
      <c r="E36" s="47" t="s">
        <v>7159</v>
      </c>
    </row>
    <row r="38" spans="1:15">
      <c r="A38" s="46" t="s">
        <v>1893</v>
      </c>
      <c r="B38" s="16"/>
      <c r="C38" s="16"/>
      <c r="D38" s="16"/>
      <c r="E38" s="16"/>
      <c r="F38" s="16"/>
      <c r="G38" s="16"/>
      <c r="H38" s="16"/>
      <c r="I38" s="16"/>
      <c r="J38" s="16"/>
      <c r="K38" s="16"/>
      <c r="L38" s="16"/>
      <c r="M38" s="16"/>
      <c r="N38" s="16"/>
      <c r="O38" s="17"/>
    </row>
    <row r="39" customHeight="1" spans="1:15">
      <c r="A39" s="47" t="s">
        <v>4808</v>
      </c>
      <c r="B39" s="48"/>
      <c r="C39" s="48"/>
      <c r="D39" s="48"/>
      <c r="E39" s="48"/>
      <c r="F39" s="48"/>
      <c r="G39" s="48"/>
      <c r="H39" s="48"/>
      <c r="I39" s="48"/>
      <c r="J39" s="48"/>
      <c r="K39" s="48"/>
      <c r="L39" s="48"/>
      <c r="M39" s="48"/>
      <c r="N39" s="48"/>
      <c r="O39" s="32"/>
    </row>
  </sheetData>
  <mergeCells count="32">
    <mergeCell ref="A1:H1"/>
    <mergeCell ref="B3:H3"/>
    <mergeCell ref="B4:H4"/>
    <mergeCell ref="B5:H5"/>
    <mergeCell ref="A7:D7"/>
    <mergeCell ref="A11:D11"/>
    <mergeCell ref="A12:B12"/>
    <mergeCell ref="C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2:D22"/>
    <mergeCell ref="B23:C23"/>
    <mergeCell ref="B24:C24"/>
    <mergeCell ref="B25:C25"/>
    <mergeCell ref="A27:O27"/>
    <mergeCell ref="A33:E33"/>
    <mergeCell ref="A38:O38"/>
    <mergeCell ref="A39:O39"/>
  </mergeCells>
  <conditionalFormatting sqref="O29:O31">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workbookViewId="0">
      <selection activeCell="A1" sqref="A1:G1"/>
    </sheetView>
  </sheetViews>
  <sheetFormatPr defaultColWidth="9" defaultRowHeight="15" outlineLevelCol="6"/>
  <cols>
    <col min="1" max="1" width="34" customWidth="1"/>
    <col min="2" max="2" width="14" customWidth="1"/>
    <col min="3" max="6" width="13" customWidth="1"/>
    <col min="7" max="7" width="44" customWidth="1"/>
  </cols>
  <sheetData>
    <row r="1" ht="19.5" spans="1:7">
      <c r="A1" s="1" t="s">
        <v>1895</v>
      </c>
    </row>
    <row r="2" spans="1:7">
      <c r="A2" s="2" t="s">
        <v>226</v>
      </c>
      <c r="C2" s="2" t="s">
        <v>227</v>
      </c>
    </row>
    <row r="3" spans="1:7">
      <c r="A3" s="2" t="s">
        <v>528</v>
      </c>
      <c r="C3" s="2" t="s">
        <v>231</v>
      </c>
    </row>
    <row r="4" spans="1:7">
      <c r="A4" s="2" t="s">
        <v>1896</v>
      </c>
      <c r="C4" s="3" t="s">
        <v>53</v>
      </c>
    </row>
    <row r="5" spans="1:7">
      <c r="A5" s="2" t="s">
        <v>1897</v>
      </c>
      <c r="C5" s="2" t="s">
        <v>7</v>
      </c>
    </row>
    <row r="6" spans="1:7">
      <c r="A6" s="2" t="s">
        <v>1898</v>
      </c>
      <c r="C6" s="2" t="s">
        <v>233</v>
      </c>
    </row>
    <row r="7" spans="1:7">
      <c r="A7" s="2" t="s">
        <v>1899</v>
      </c>
      <c r="C7" s="2">
        <f>B16</f>
        <v>67</v>
      </c>
    </row>
    <row r="8" spans="1:7">
      <c r="A8" s="2" t="s">
        <v>1900</v>
      </c>
      <c r="C8" s="3" t="s">
        <v>1901</v>
      </c>
    </row>
    <row r="10" spans="1:7">
      <c r="A10" s="4" t="s">
        <v>1902</v>
      </c>
      <c r="B10" s="5"/>
      <c r="C10" s="5"/>
      <c r="D10" s="5"/>
      <c r="E10" s="5"/>
      <c r="F10" s="5"/>
      <c r="G10" s="6"/>
    </row>
    <row r="11" ht="32" customHeight="1" spans="1:7">
      <c r="A11" s="7" t="s">
        <v>1903</v>
      </c>
      <c r="B11" s="7" t="s">
        <v>1904</v>
      </c>
      <c r="C11" s="7" t="s">
        <v>1553</v>
      </c>
      <c r="D11" s="7" t="s">
        <v>1554</v>
      </c>
      <c r="E11" s="7" t="s">
        <v>1905</v>
      </c>
      <c r="F11" s="7" t="s">
        <v>1759</v>
      </c>
      <c r="G11" s="7" t="s">
        <v>1906</v>
      </c>
    </row>
    <row r="12" customHeight="1" spans="1:7">
      <c r="A12" s="8" t="s">
        <v>1907</v>
      </c>
      <c r="B12" s="9">
        <f>'PH9-Kiểm thử giao diện'!C14</f>
        <v>18</v>
      </c>
      <c r="C12" s="9">
        <f>'PH9-Kiểm thử giao diện'!E14</f>
        <v>12</v>
      </c>
      <c r="D12" s="9">
        <f>'PH9-Kiểm thử giao diện'!F14</f>
        <v>6</v>
      </c>
      <c r="E12" s="9">
        <f>'PH9-Kiểm thử giao diện'!D14</f>
        <v>0</v>
      </c>
      <c r="F12" s="10">
        <f>IFERROR(C12/B12,0)</f>
        <v>0.666666666666667</v>
      </c>
      <c r="G12" s="11" t="s">
        <v>7161</v>
      </c>
    </row>
    <row r="13" ht="30" customHeight="1" spans="1:7">
      <c r="A13" s="8" t="s">
        <v>1909</v>
      </c>
      <c r="B13" s="9">
        <f>'PH9-Kiểm thử API(Postman)'!A10</f>
        <v>11</v>
      </c>
      <c r="C13" s="9">
        <f>'PH9-Kiểm thử API(Postman)'!B10</f>
        <v>9</v>
      </c>
      <c r="D13" s="9">
        <f>'PH9-Kiểm thử API(Postman)'!C10</f>
        <v>2</v>
      </c>
      <c r="E13" s="9">
        <v>0</v>
      </c>
      <c r="F13" s="10">
        <f>IFERROR(C13/B13,0)</f>
        <v>0.818181818181818</v>
      </c>
      <c r="G13" s="11" t="s">
        <v>7162</v>
      </c>
    </row>
    <row r="14" ht="30" customHeight="1" spans="1:7">
      <c r="A14" s="8" t="s">
        <v>1911</v>
      </c>
      <c r="B14" s="9">
        <f>'PH9-Unit test'!B110</f>
        <v>38</v>
      </c>
      <c r="C14" s="9">
        <f>'PH9-Unit test'!B111</f>
        <v>36</v>
      </c>
      <c r="D14" s="9">
        <f>'PH9-Unit test'!B112</f>
        <v>2</v>
      </c>
      <c r="E14" s="9">
        <v>0</v>
      </c>
      <c r="F14" s="10">
        <f>IFERROR(C14/B14,0)</f>
        <v>0.947368421052632</v>
      </c>
      <c r="G14" s="11" t="s">
        <v>7163</v>
      </c>
    </row>
    <row r="15" ht="30" customHeight="1" spans="1:7">
      <c r="A15" s="8" t="s">
        <v>1913</v>
      </c>
      <c r="B15" s="9">
        <f>COUNTA('PH9-Kiểm thử hiệu năng'!O29:O30)</f>
        <v>2</v>
      </c>
      <c r="C15" s="9">
        <f>COUNTIF('PH9-Kiểm thử hiệu năng'!O29:O30,"PASS")</f>
        <v>2</v>
      </c>
      <c r="D15" s="9">
        <f>COUNTIF('PH9-Kiểm thử hiệu năng'!O29:O30,"FAIL")</f>
        <v>0</v>
      </c>
      <c r="E15" s="9">
        <v>0</v>
      </c>
      <c r="F15" s="10">
        <f>IFERROR(C15/B15,0)</f>
        <v>1</v>
      </c>
      <c r="G15" s="11" t="s">
        <v>4808</v>
      </c>
    </row>
    <row r="16" spans="1:7">
      <c r="A16" s="12" t="s">
        <v>1914</v>
      </c>
      <c r="B16" s="7">
        <f>SUMIF($A$12:$A$15,"&lt;&gt;Kiểm thử Hiệu năng*",B12:B15)</f>
        <v>67</v>
      </c>
      <c r="C16" s="7">
        <f>SUMIF($A$12:$A$15,"&lt;&gt;Kiểm thử Hiệu năng*",C12:C15)</f>
        <v>57</v>
      </c>
      <c r="D16" s="7">
        <f>SUMIF($A$12:$A$15,"&lt;&gt;Kiểm thử Hiệu năng*",D12:D15)</f>
        <v>10</v>
      </c>
      <c r="E16" s="7">
        <f>SUMIF($A$12:$A$15,"&lt;&gt;Kiểm thử Hiệu năng*",E12:E15)</f>
        <v>0</v>
      </c>
      <c r="F16" s="13">
        <f>IFERROR(C16/B16,0)</f>
        <v>0.850746268656716</v>
      </c>
      <c r="G16" s="12" t="s">
        <v>7</v>
      </c>
    </row>
    <row r="18" ht="400" customHeight="1" spans="1:7">
      <c r="A18" s="14" t="s">
        <v>1915</v>
      </c>
      <c r="B18" s="15" t="s">
        <v>7164</v>
      </c>
      <c r="C18" s="16"/>
      <c r="D18" s="16"/>
      <c r="E18" s="16"/>
      <c r="F18" s="16"/>
      <c r="G18" s="17"/>
    </row>
    <row r="19" ht="400" customHeight="1" spans="1:7">
      <c r="A19" s="18" t="s">
        <v>1917</v>
      </c>
      <c r="B19" s="15" t="s">
        <v>7165</v>
      </c>
      <c r="C19" s="16"/>
      <c r="D19" s="16"/>
      <c r="E19" s="17"/>
      <c r="F19" s="15" t="s">
        <v>7166</v>
      </c>
      <c r="G19" s="17"/>
    </row>
    <row r="20" ht="195" customHeight="1" spans="1:7">
      <c r="A20" s="14" t="s">
        <v>1920</v>
      </c>
      <c r="B20" s="15" t="s">
        <v>6669</v>
      </c>
      <c r="C20" s="16"/>
      <c r="D20" s="16"/>
      <c r="E20" s="16"/>
      <c r="F20" s="16"/>
      <c r="G20" s="17"/>
    </row>
    <row r="21" ht="45" customHeight="1" spans="1:7">
      <c r="A21" s="14" t="s">
        <v>1921</v>
      </c>
      <c r="B21" s="15" t="s">
        <v>7167</v>
      </c>
      <c r="C21" s="16"/>
      <c r="D21" s="16"/>
      <c r="E21" s="16"/>
      <c r="F21" s="16"/>
      <c r="G21" s="17"/>
    </row>
    <row r="22" ht="32" customHeight="1" spans="1:7">
      <c r="A22" s="19" t="s">
        <v>1923</v>
      </c>
    </row>
  </sheetData>
  <mergeCells count="21">
    <mergeCell ref="A1:G1"/>
    <mergeCell ref="A2:B2"/>
    <mergeCell ref="C2:F2"/>
    <mergeCell ref="A3:B3"/>
    <mergeCell ref="C3:F3"/>
    <mergeCell ref="A4:B4"/>
    <mergeCell ref="C4:F4"/>
    <mergeCell ref="A5:B5"/>
    <mergeCell ref="C5:F5"/>
    <mergeCell ref="A6:B6"/>
    <mergeCell ref="C6:F6"/>
    <mergeCell ref="A7:B7"/>
    <mergeCell ref="C7:F7"/>
    <mergeCell ref="A8:B8"/>
    <mergeCell ref="C8:F8"/>
    <mergeCell ref="A10:G10"/>
    <mergeCell ref="B18:G18"/>
    <mergeCell ref="B19:E19"/>
    <mergeCell ref="F19:G19"/>
    <mergeCell ref="B20:G20"/>
    <mergeCell ref="B21:G21"/>
  </mergeCells>
  <pageMargins left="0.75" right="0.75" top="1" bottom="1" header="0.5" footer="0.5"/>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2"/>
  <sheetViews>
    <sheetView workbookViewId="0">
      <pane xSplit="1" ySplit="13" topLeftCell="B14" activePane="bottomRight" state="frozen"/>
      <selection/>
      <selection pane="topRight"/>
      <selection pane="bottomLeft"/>
      <selection pane="bottomRight" activeCell="A1" sqref="A1:F1"/>
    </sheetView>
  </sheetViews>
  <sheetFormatPr defaultColWidth="9" defaultRowHeight="15" outlineLevelCol="5"/>
  <cols>
    <col min="1" max="1" width="57.7142857142857" customWidth="1"/>
    <col min="2" max="2" width="11.1428571428571" customWidth="1"/>
    <col min="3" max="3" width="13.5714285714286" customWidth="1"/>
    <col min="4" max="4" width="13" customWidth="1"/>
    <col min="5" max="5" width="38.5714285714286" customWidth="1"/>
    <col min="6" max="6" width="13" customWidth="1"/>
  </cols>
  <sheetData>
    <row r="1" ht="24" customHeight="1" spans="1:6">
      <c r="A1" s="144" t="s">
        <v>69</v>
      </c>
    </row>
    <row r="3" customHeight="1" spans="1:6">
      <c r="A3" s="145" t="s">
        <v>226</v>
      </c>
      <c r="B3" s="146" t="s">
        <v>227</v>
      </c>
      <c r="C3" s="147"/>
      <c r="D3" s="147"/>
      <c r="E3" s="147"/>
      <c r="F3" s="147"/>
    </row>
    <row r="4" customHeight="1" spans="1:6">
      <c r="A4" s="145" t="s">
        <v>528</v>
      </c>
      <c r="B4" s="146" t="s">
        <v>231</v>
      </c>
      <c r="C4" s="147"/>
      <c r="D4" s="147"/>
      <c r="E4" s="147"/>
      <c r="F4" s="147"/>
    </row>
    <row r="5" customHeight="1" spans="1:6">
      <c r="A5" s="145" t="s">
        <v>529</v>
      </c>
      <c r="B5" s="146" t="s">
        <v>54</v>
      </c>
      <c r="C5" s="147"/>
      <c r="D5" s="147"/>
      <c r="E5" s="147"/>
      <c r="F5" s="147"/>
    </row>
    <row r="6" customHeight="1" spans="1:6">
      <c r="A6" s="145" t="s">
        <v>422</v>
      </c>
      <c r="B6" s="146" t="s">
        <v>60</v>
      </c>
      <c r="C6" s="147"/>
      <c r="D6" s="147"/>
      <c r="E6" s="147"/>
      <c r="F6" s="147"/>
    </row>
    <row r="7" customHeight="1" spans="1:6">
      <c r="A7" s="145" t="s">
        <v>238</v>
      </c>
      <c r="B7" s="146" t="s">
        <v>7</v>
      </c>
      <c r="C7" s="147"/>
      <c r="D7" s="147"/>
      <c r="E7" s="147"/>
      <c r="F7" s="147"/>
    </row>
    <row r="8" customHeight="1" spans="1:6">
      <c r="A8" s="145" t="s">
        <v>421</v>
      </c>
      <c r="B8" s="146" t="s">
        <v>233</v>
      </c>
      <c r="C8" s="147"/>
      <c r="D8" s="147"/>
      <c r="E8" s="147"/>
      <c r="F8" s="147"/>
    </row>
    <row r="9" ht="45" customHeight="1" spans="1:6">
      <c r="A9" s="145" t="s">
        <v>423</v>
      </c>
      <c r="B9" s="148" t="s">
        <v>7168</v>
      </c>
      <c r="C9" s="147"/>
      <c r="D9" s="147"/>
      <c r="E9" s="147"/>
      <c r="F9" s="147"/>
    </row>
    <row r="10" customHeight="1" spans="1:6">
      <c r="A10" s="145" t="s">
        <v>532</v>
      </c>
      <c r="B10" s="146" t="s">
        <v>103</v>
      </c>
      <c r="C10" s="147"/>
      <c r="D10" s="147"/>
      <c r="E10" s="147"/>
      <c r="F10" s="147"/>
    </row>
    <row r="11" ht="105" customHeight="1" spans="1:6">
      <c r="A11" s="145" t="s">
        <v>935</v>
      </c>
      <c r="B11" s="148" t="s">
        <v>7169</v>
      </c>
      <c r="C11" s="147"/>
      <c r="D11" s="147"/>
      <c r="E11" s="147"/>
      <c r="F11" s="147"/>
    </row>
    <row r="13" spans="1:6">
      <c r="A13" s="149" t="s">
        <v>426</v>
      </c>
      <c r="B13" s="150" t="s">
        <v>427</v>
      </c>
      <c r="C13" s="150" t="s">
        <v>428</v>
      </c>
      <c r="D13" s="150" t="s">
        <v>429</v>
      </c>
      <c r="E13" s="150" t="s">
        <v>430</v>
      </c>
      <c r="F13" s="150" t="s">
        <v>431</v>
      </c>
    </row>
    <row r="14" spans="1:6">
      <c r="A14" s="149" t="s">
        <v>432</v>
      </c>
      <c r="B14" s="149"/>
      <c r="C14" s="149"/>
      <c r="D14" s="149"/>
      <c r="E14" s="149"/>
      <c r="F14" s="149"/>
    </row>
    <row r="15" ht="90" customHeight="1" spans="1:6">
      <c r="A15" s="151" t="s">
        <v>433</v>
      </c>
      <c r="B15" s="152"/>
      <c r="C15" s="152" t="s">
        <v>434</v>
      </c>
      <c r="D15" s="152"/>
      <c r="E15" s="151" t="s">
        <v>7170</v>
      </c>
      <c r="F15" s="152" t="s">
        <v>436</v>
      </c>
    </row>
    <row r="16" ht="45" customHeight="1" spans="1:6">
      <c r="A16" s="151" t="s">
        <v>437</v>
      </c>
      <c r="B16" s="152"/>
      <c r="C16" s="152" t="s">
        <v>434</v>
      </c>
      <c r="D16" s="152"/>
      <c r="E16" s="151" t="s">
        <v>7171</v>
      </c>
      <c r="F16" s="152" t="s">
        <v>436</v>
      </c>
    </row>
    <row r="17" ht="60" customHeight="1" spans="1:6">
      <c r="A17" s="151" t="s">
        <v>535</v>
      </c>
      <c r="B17" s="152"/>
      <c r="C17" s="152" t="s">
        <v>434</v>
      </c>
      <c r="D17" s="152"/>
      <c r="E17" s="151" t="s">
        <v>7172</v>
      </c>
      <c r="F17" s="152" t="s">
        <v>436</v>
      </c>
    </row>
    <row r="18" ht="30" customHeight="1" spans="1:6">
      <c r="A18" s="151" t="s">
        <v>537</v>
      </c>
      <c r="B18" s="152"/>
      <c r="C18" s="152" t="s">
        <v>434</v>
      </c>
      <c r="D18" s="152"/>
      <c r="E18" s="151" t="s">
        <v>677</v>
      </c>
      <c r="F18" s="152" t="s">
        <v>436</v>
      </c>
    </row>
    <row r="19" ht="30" customHeight="1" spans="1:6">
      <c r="A19" s="151" t="s">
        <v>539</v>
      </c>
      <c r="B19" s="152"/>
      <c r="C19" s="152" t="s">
        <v>434</v>
      </c>
      <c r="D19" s="152"/>
      <c r="E19" s="151" t="s">
        <v>678</v>
      </c>
      <c r="F19" s="152" t="s">
        <v>436</v>
      </c>
    </row>
    <row r="20" ht="30" customHeight="1" spans="1:6">
      <c r="A20" s="151" t="s">
        <v>541</v>
      </c>
      <c r="B20" s="152"/>
      <c r="C20" s="152" t="s">
        <v>434</v>
      </c>
      <c r="D20" s="152"/>
      <c r="E20" s="151" t="s">
        <v>680</v>
      </c>
      <c r="F20" s="152" t="s">
        <v>436</v>
      </c>
    </row>
    <row r="21" ht="60" customHeight="1" spans="1:6">
      <c r="A21" s="151" t="s">
        <v>543</v>
      </c>
      <c r="B21" s="152"/>
      <c r="C21" s="152" t="s">
        <v>434</v>
      </c>
      <c r="D21" s="152"/>
      <c r="E21" s="151" t="s">
        <v>7173</v>
      </c>
      <c r="F21" s="152" t="s">
        <v>436</v>
      </c>
    </row>
    <row r="22" ht="60" customHeight="1" spans="1:6">
      <c r="A22" s="151" t="s">
        <v>449</v>
      </c>
      <c r="B22" s="152"/>
      <c r="C22" s="152"/>
      <c r="D22" s="152" t="s">
        <v>434</v>
      </c>
      <c r="E22" s="151" t="s">
        <v>7174</v>
      </c>
      <c r="F22" s="152" t="s">
        <v>436</v>
      </c>
    </row>
    <row r="23" ht="30" customHeight="1" spans="1:6">
      <c r="A23" s="151" t="s">
        <v>451</v>
      </c>
      <c r="B23" s="152"/>
      <c r="C23" s="152"/>
      <c r="D23" s="152" t="s">
        <v>434</v>
      </c>
      <c r="E23" s="151" t="s">
        <v>6555</v>
      </c>
      <c r="F23" s="152" t="s">
        <v>436</v>
      </c>
    </row>
    <row r="24" spans="1:6">
      <c r="A24" s="149" t="s">
        <v>547</v>
      </c>
      <c r="B24" s="149"/>
      <c r="C24" s="149"/>
      <c r="D24" s="149"/>
      <c r="E24" s="149"/>
      <c r="F24" s="149"/>
    </row>
    <row r="25" ht="45" customHeight="1" spans="1:6">
      <c r="A25" s="151" t="s">
        <v>548</v>
      </c>
      <c r="B25" s="152" t="s">
        <v>434</v>
      </c>
      <c r="C25" s="152"/>
      <c r="D25" s="152"/>
      <c r="E25" s="151" t="s">
        <v>7175</v>
      </c>
      <c r="F25" s="152" t="s">
        <v>436</v>
      </c>
    </row>
    <row r="26" ht="60" customHeight="1" spans="1:6">
      <c r="A26" s="151" t="s">
        <v>550</v>
      </c>
      <c r="B26" s="152" t="s">
        <v>434</v>
      </c>
      <c r="C26" s="152"/>
      <c r="D26" s="152"/>
      <c r="E26" s="151" t="s">
        <v>7176</v>
      </c>
      <c r="F26" s="152" t="s">
        <v>436</v>
      </c>
    </row>
    <row r="27" ht="60" customHeight="1" spans="1:6">
      <c r="A27" s="151" t="s">
        <v>552</v>
      </c>
      <c r="B27" s="152"/>
      <c r="C27" s="152" t="s">
        <v>434</v>
      </c>
      <c r="D27" s="152"/>
      <c r="E27" s="151" t="s">
        <v>7177</v>
      </c>
      <c r="F27" s="152" t="s">
        <v>436</v>
      </c>
    </row>
    <row r="28" ht="45" customHeight="1" spans="1:6">
      <c r="A28" s="151" t="s">
        <v>554</v>
      </c>
      <c r="B28" s="152" t="s">
        <v>434</v>
      </c>
      <c r="C28" s="152"/>
      <c r="D28" s="152"/>
      <c r="E28" s="151" t="s">
        <v>7178</v>
      </c>
      <c r="F28" s="152" t="s">
        <v>436</v>
      </c>
    </row>
    <row r="29" ht="30" customHeight="1" spans="1:6">
      <c r="A29" s="151" t="s">
        <v>556</v>
      </c>
      <c r="B29" s="152"/>
      <c r="C29" s="152" t="s">
        <v>434</v>
      </c>
      <c r="D29" s="152"/>
      <c r="E29" s="151" t="s">
        <v>7179</v>
      </c>
      <c r="F29" s="152" t="s">
        <v>7</v>
      </c>
    </row>
    <row r="30" ht="30" customHeight="1" spans="1:6">
      <c r="A30" s="151" t="s">
        <v>224</v>
      </c>
      <c r="B30" s="152" t="s">
        <v>434</v>
      </c>
      <c r="C30" s="152"/>
      <c r="D30" s="152"/>
      <c r="E30" s="151" t="s">
        <v>7180</v>
      </c>
      <c r="F30" s="152" t="s">
        <v>7</v>
      </c>
    </row>
    <row r="31" customHeight="1" spans="1:6">
      <c r="A31" s="151" t="s">
        <v>558</v>
      </c>
      <c r="B31" s="152"/>
      <c r="C31" s="152" t="s">
        <v>434</v>
      </c>
      <c r="D31" s="152"/>
      <c r="E31" s="151" t="s">
        <v>7181</v>
      </c>
      <c r="F31" s="152" t="s">
        <v>7</v>
      </c>
    </row>
    <row r="32" ht="30" customHeight="1" spans="1:6">
      <c r="A32" s="151" t="s">
        <v>246</v>
      </c>
      <c r="B32" s="152" t="s">
        <v>434</v>
      </c>
      <c r="C32" s="152"/>
      <c r="D32" s="152"/>
      <c r="E32" s="151" t="s">
        <v>7182</v>
      </c>
      <c r="F32" s="152" t="s">
        <v>7</v>
      </c>
    </row>
    <row r="33" ht="60" customHeight="1" spans="1:6">
      <c r="A33" s="151" t="s">
        <v>559</v>
      </c>
      <c r="B33" s="152" t="s">
        <v>434</v>
      </c>
      <c r="C33" s="152"/>
      <c r="D33" s="152"/>
      <c r="E33" s="151" t="s">
        <v>7183</v>
      </c>
      <c r="F33" s="152" t="s">
        <v>436</v>
      </c>
    </row>
    <row r="34" customHeight="1" spans="1:6">
      <c r="A34" s="151" t="s">
        <v>561</v>
      </c>
      <c r="B34" s="152"/>
      <c r="C34" s="152" t="s">
        <v>434</v>
      </c>
      <c r="D34" s="152"/>
      <c r="E34" s="151" t="s">
        <v>7184</v>
      </c>
      <c r="F34" s="152" t="s">
        <v>436</v>
      </c>
    </row>
    <row r="35" spans="1:6">
      <c r="A35" s="149" t="s">
        <v>563</v>
      </c>
      <c r="B35" s="149"/>
      <c r="C35" s="149"/>
      <c r="D35" s="149"/>
      <c r="E35" s="149"/>
      <c r="F35" s="149"/>
    </row>
    <row r="36" ht="60" customHeight="1" spans="1:6">
      <c r="A36" s="151" t="s">
        <v>564</v>
      </c>
      <c r="B36" s="152" t="s">
        <v>434</v>
      </c>
      <c r="C36" s="152"/>
      <c r="D36" s="152"/>
      <c r="E36" s="151" t="s">
        <v>7185</v>
      </c>
      <c r="F36" s="152" t="s">
        <v>436</v>
      </c>
    </row>
    <row r="37" ht="45" customHeight="1" spans="1:6">
      <c r="A37" s="151" t="s">
        <v>566</v>
      </c>
      <c r="B37" s="152" t="s">
        <v>434</v>
      </c>
      <c r="C37" s="152"/>
      <c r="D37" s="152"/>
      <c r="E37" s="151" t="s">
        <v>7186</v>
      </c>
      <c r="F37" s="152" t="s">
        <v>436</v>
      </c>
    </row>
    <row r="38" ht="30" customHeight="1" spans="1:6">
      <c r="A38" s="151" t="s">
        <v>568</v>
      </c>
      <c r="B38" s="152"/>
      <c r="C38" s="152" t="s">
        <v>434</v>
      </c>
      <c r="D38" s="152"/>
      <c r="E38" s="151" t="s">
        <v>6568</v>
      </c>
      <c r="F38" s="152" t="s">
        <v>436</v>
      </c>
    </row>
    <row r="39" ht="45" customHeight="1" spans="1:6">
      <c r="A39" s="151" t="s">
        <v>570</v>
      </c>
      <c r="B39" s="152" t="s">
        <v>434</v>
      </c>
      <c r="C39" s="152"/>
      <c r="D39" s="152"/>
      <c r="E39" s="151" t="s">
        <v>7187</v>
      </c>
      <c r="F39" s="152" t="s">
        <v>436</v>
      </c>
    </row>
    <row r="40" ht="135" customHeight="1" spans="1:6">
      <c r="A40" s="151" t="s">
        <v>572</v>
      </c>
      <c r="B40" s="152"/>
      <c r="C40" s="152" t="s">
        <v>434</v>
      </c>
      <c r="D40" s="152"/>
      <c r="E40" s="151" t="s">
        <v>7188</v>
      </c>
      <c r="F40" s="152" t="s">
        <v>436</v>
      </c>
    </row>
    <row r="41" ht="75" customHeight="1" spans="1:6">
      <c r="A41" s="151" t="s">
        <v>574</v>
      </c>
      <c r="B41" s="152" t="s">
        <v>434</v>
      </c>
      <c r="C41" s="152"/>
      <c r="D41" s="152"/>
      <c r="E41" s="151" t="s">
        <v>7189</v>
      </c>
      <c r="F41" s="152" t="s">
        <v>7</v>
      </c>
    </row>
    <row r="42" ht="45" customHeight="1" spans="1:6">
      <c r="A42" s="151" t="s">
        <v>576</v>
      </c>
      <c r="B42" s="152" t="s">
        <v>434</v>
      </c>
      <c r="C42" s="152"/>
      <c r="D42" s="152"/>
      <c r="E42" s="151" t="s">
        <v>7190</v>
      </c>
      <c r="F42" s="152" t="s">
        <v>7</v>
      </c>
    </row>
    <row r="43" ht="60" customHeight="1" spans="1:6">
      <c r="A43" s="151" t="s">
        <v>578</v>
      </c>
      <c r="B43" s="152" t="s">
        <v>434</v>
      </c>
      <c r="C43" s="152"/>
      <c r="D43" s="152"/>
      <c r="E43" s="151" t="s">
        <v>7191</v>
      </c>
      <c r="F43" s="152" t="s">
        <v>7</v>
      </c>
    </row>
    <row r="44" ht="30" customHeight="1" spans="1:6">
      <c r="A44" s="151" t="s">
        <v>580</v>
      </c>
      <c r="B44" s="152"/>
      <c r="C44" s="152" t="s">
        <v>434</v>
      </c>
      <c r="D44" s="152"/>
      <c r="E44" s="151" t="s">
        <v>7192</v>
      </c>
      <c r="F44" s="152" t="s">
        <v>436</v>
      </c>
    </row>
    <row r="45" ht="75" customHeight="1" spans="1:6">
      <c r="A45" s="151" t="s">
        <v>582</v>
      </c>
      <c r="B45" s="152" t="s">
        <v>434</v>
      </c>
      <c r="C45" s="152"/>
      <c r="D45" s="152"/>
      <c r="E45" s="151" t="s">
        <v>7193</v>
      </c>
      <c r="F45" s="152" t="s">
        <v>7</v>
      </c>
    </row>
    <row r="46" ht="75" customHeight="1" spans="1:6">
      <c r="A46" s="151" t="s">
        <v>584</v>
      </c>
      <c r="B46" s="152" t="s">
        <v>434</v>
      </c>
      <c r="C46" s="152"/>
      <c r="D46" s="152"/>
      <c r="E46" s="151" t="s">
        <v>7194</v>
      </c>
      <c r="F46" s="152" t="s">
        <v>7</v>
      </c>
    </row>
    <row r="47" spans="1:6">
      <c r="A47" s="153" t="s">
        <v>586</v>
      </c>
      <c r="B47" s="149"/>
      <c r="C47" s="149"/>
      <c r="D47" s="149"/>
      <c r="E47" s="149"/>
      <c r="F47" s="149"/>
    </row>
    <row r="48" ht="30" customHeight="1" spans="1:6">
      <c r="A48" s="151" t="s">
        <v>962</v>
      </c>
      <c r="B48" s="152"/>
      <c r="C48" s="152" t="s">
        <v>434</v>
      </c>
      <c r="D48" s="152"/>
      <c r="E48" s="151" t="s">
        <v>7195</v>
      </c>
      <c r="F48" s="152" t="s">
        <v>436</v>
      </c>
    </row>
    <row r="49" ht="120" customHeight="1" spans="1:6">
      <c r="A49" s="151" t="s">
        <v>589</v>
      </c>
      <c r="B49" s="152"/>
      <c r="C49" s="152" t="s">
        <v>434</v>
      </c>
      <c r="D49" s="152"/>
      <c r="E49" s="151" t="s">
        <v>7196</v>
      </c>
      <c r="F49" s="152" t="s">
        <v>436</v>
      </c>
    </row>
    <row r="50" ht="30" customHeight="1" spans="1:6">
      <c r="A50" s="151" t="s">
        <v>591</v>
      </c>
      <c r="B50" s="152"/>
      <c r="C50" s="152" t="s">
        <v>434</v>
      </c>
      <c r="D50" s="152"/>
      <c r="E50" s="151" t="s">
        <v>7197</v>
      </c>
      <c r="F50" s="152" t="s">
        <v>436</v>
      </c>
    </row>
    <row r="51" ht="30" customHeight="1" spans="1:6">
      <c r="A51" s="151" t="s">
        <v>593</v>
      </c>
      <c r="B51" s="152"/>
      <c r="C51" s="152" t="s">
        <v>434</v>
      </c>
      <c r="D51" s="152"/>
      <c r="E51" s="151" t="s">
        <v>7198</v>
      </c>
      <c r="F51" s="152" t="s">
        <v>436</v>
      </c>
    </row>
    <row r="52" ht="60" customHeight="1" spans="1:6">
      <c r="A52" s="151" t="s">
        <v>595</v>
      </c>
      <c r="B52" s="152"/>
      <c r="C52" s="152" t="s">
        <v>434</v>
      </c>
      <c r="D52" s="152"/>
      <c r="E52" s="151" t="s">
        <v>7199</v>
      </c>
      <c r="F52" s="152" t="s">
        <v>7</v>
      </c>
    </row>
    <row r="53" ht="60" customHeight="1" spans="1:6">
      <c r="A53" s="151" t="s">
        <v>597</v>
      </c>
      <c r="B53" s="152"/>
      <c r="C53" s="152" t="s">
        <v>434</v>
      </c>
      <c r="D53" s="152"/>
      <c r="E53" s="151" t="s">
        <v>7200</v>
      </c>
      <c r="F53" s="152" t="s">
        <v>436</v>
      </c>
    </row>
    <row r="54" ht="60" customHeight="1" spans="1:6">
      <c r="A54" s="151" t="s">
        <v>599</v>
      </c>
      <c r="B54" s="152"/>
      <c r="C54" s="152" t="s">
        <v>434</v>
      </c>
      <c r="D54" s="152"/>
      <c r="E54" s="151" t="s">
        <v>7201</v>
      </c>
      <c r="F54" s="152" t="s">
        <v>7</v>
      </c>
    </row>
    <row r="55" ht="75" customHeight="1" spans="1:6">
      <c r="A55" s="151" t="s">
        <v>601</v>
      </c>
      <c r="B55" s="152" t="s">
        <v>434</v>
      </c>
      <c r="C55" s="152"/>
      <c r="D55" s="152"/>
      <c r="E55" s="151" t="s">
        <v>7202</v>
      </c>
      <c r="F55" s="152" t="s">
        <v>7</v>
      </c>
    </row>
    <row r="56" ht="60" customHeight="1" spans="1:6">
      <c r="A56" s="151" t="s">
        <v>603</v>
      </c>
      <c r="B56" s="152"/>
      <c r="C56" s="152" t="s">
        <v>434</v>
      </c>
      <c r="D56" s="152"/>
      <c r="E56" s="151" t="s">
        <v>7203</v>
      </c>
      <c r="F56" s="152" t="s">
        <v>7</v>
      </c>
    </row>
    <row r="57" ht="45" customHeight="1" spans="1:6">
      <c r="A57" s="151" t="s">
        <v>605</v>
      </c>
      <c r="B57" s="152" t="s">
        <v>434</v>
      </c>
      <c r="C57" s="152"/>
      <c r="D57" s="152"/>
      <c r="E57" s="151" t="s">
        <v>7204</v>
      </c>
      <c r="F57" s="152" t="s">
        <v>7</v>
      </c>
    </row>
    <row r="58" ht="60" customHeight="1" spans="1:6">
      <c r="A58" s="151" t="s">
        <v>607</v>
      </c>
      <c r="B58" s="152"/>
      <c r="C58" s="152" t="s">
        <v>434</v>
      </c>
      <c r="D58" s="152"/>
      <c r="E58" s="151" t="s">
        <v>7205</v>
      </c>
      <c r="F58" s="152" t="s">
        <v>7</v>
      </c>
    </row>
    <row r="59" ht="75" customHeight="1" spans="1:6">
      <c r="A59" s="151" t="s">
        <v>609</v>
      </c>
      <c r="B59" s="152" t="s">
        <v>434</v>
      </c>
      <c r="C59" s="152"/>
      <c r="D59" s="152"/>
      <c r="E59" s="151" t="s">
        <v>7206</v>
      </c>
      <c r="F59" s="152" t="s">
        <v>7</v>
      </c>
    </row>
    <row r="60" spans="1:6">
      <c r="A60" s="153" t="s">
        <v>611</v>
      </c>
      <c r="B60" s="149"/>
      <c r="C60" s="149"/>
      <c r="D60" s="149"/>
      <c r="E60" s="149"/>
      <c r="F60" s="149"/>
    </row>
    <row r="61" ht="60" customHeight="1" spans="1:6">
      <c r="A61" s="151" t="s">
        <v>612</v>
      </c>
      <c r="B61" s="152" t="s">
        <v>434</v>
      </c>
      <c r="C61" s="152"/>
      <c r="D61" s="152"/>
      <c r="E61" s="151" t="s">
        <v>7207</v>
      </c>
      <c r="F61" s="152" t="s">
        <v>436</v>
      </c>
    </row>
    <row r="62" ht="75" customHeight="1" spans="1:6">
      <c r="A62" s="151" t="s">
        <v>614</v>
      </c>
      <c r="B62" s="152"/>
      <c r="C62" s="152" t="s">
        <v>434</v>
      </c>
      <c r="D62" s="152"/>
      <c r="E62" s="151" t="s">
        <v>7208</v>
      </c>
      <c r="F62" s="152" t="s">
        <v>436</v>
      </c>
    </row>
    <row r="63" ht="60" customHeight="1" spans="1:6">
      <c r="A63" s="151" t="s">
        <v>616</v>
      </c>
      <c r="B63" s="152" t="s">
        <v>434</v>
      </c>
      <c r="C63" s="152"/>
      <c r="D63" s="152"/>
      <c r="E63" s="151" t="s">
        <v>7209</v>
      </c>
      <c r="F63" s="152" t="s">
        <v>7</v>
      </c>
    </row>
    <row r="64" ht="45" customHeight="1" spans="1:6">
      <c r="A64" s="151" t="s">
        <v>978</v>
      </c>
      <c r="B64" s="152" t="s">
        <v>434</v>
      </c>
      <c r="C64" s="152"/>
      <c r="D64" s="152"/>
      <c r="E64" s="151" t="s">
        <v>7210</v>
      </c>
      <c r="F64" s="152" t="s">
        <v>436</v>
      </c>
    </row>
    <row r="65" ht="75" customHeight="1" spans="1:6">
      <c r="A65" s="151" t="s">
        <v>620</v>
      </c>
      <c r="B65" s="152"/>
      <c r="C65" s="152" t="s">
        <v>434</v>
      </c>
      <c r="D65" s="152"/>
      <c r="E65" s="151" t="s">
        <v>7211</v>
      </c>
      <c r="F65" s="152" t="s">
        <v>7</v>
      </c>
    </row>
    <row r="66" ht="60" customHeight="1" spans="1:6">
      <c r="A66" s="151" t="s">
        <v>622</v>
      </c>
      <c r="B66" s="152"/>
      <c r="C66" s="152" t="s">
        <v>434</v>
      </c>
      <c r="D66" s="152"/>
      <c r="E66" s="151" t="s">
        <v>7212</v>
      </c>
      <c r="F66" s="152" t="s">
        <v>7</v>
      </c>
    </row>
    <row r="67" ht="25.5" spans="1:6">
      <c r="A67" s="153" t="s">
        <v>624</v>
      </c>
      <c r="B67" s="149"/>
      <c r="C67" s="149"/>
      <c r="D67" s="149"/>
      <c r="E67" s="149"/>
      <c r="F67" s="149"/>
    </row>
    <row r="68" ht="90" customHeight="1" spans="1:6">
      <c r="A68" s="151" t="s">
        <v>625</v>
      </c>
      <c r="B68" s="152" t="s">
        <v>434</v>
      </c>
      <c r="C68" s="152"/>
      <c r="D68" s="152"/>
      <c r="E68" s="151" t="s">
        <v>7213</v>
      </c>
      <c r="F68" s="152" t="s">
        <v>436</v>
      </c>
    </row>
    <row r="69" ht="45" customHeight="1" spans="1:6">
      <c r="A69" s="151" t="s">
        <v>627</v>
      </c>
      <c r="B69" s="152" t="s">
        <v>434</v>
      </c>
      <c r="C69" s="152"/>
      <c r="D69" s="152"/>
      <c r="E69" s="151" t="s">
        <v>7214</v>
      </c>
      <c r="F69" s="152" t="s">
        <v>7</v>
      </c>
    </row>
    <row r="70" ht="45" customHeight="1" spans="1:6">
      <c r="A70" s="151" t="s">
        <v>629</v>
      </c>
      <c r="B70" s="152"/>
      <c r="C70" s="152" t="s">
        <v>434</v>
      </c>
      <c r="D70" s="152"/>
      <c r="E70" s="151" t="s">
        <v>7215</v>
      </c>
      <c r="F70" s="152" t="s">
        <v>7</v>
      </c>
    </row>
    <row r="71" ht="45" customHeight="1" spans="1:6">
      <c r="A71" s="151" t="s">
        <v>631</v>
      </c>
      <c r="B71" s="152"/>
      <c r="C71" s="152" t="s">
        <v>434</v>
      </c>
      <c r="D71" s="152"/>
      <c r="E71" s="151" t="s">
        <v>7216</v>
      </c>
      <c r="F71" s="152" t="s">
        <v>7</v>
      </c>
    </row>
    <row r="72" ht="30" customHeight="1" spans="1:6">
      <c r="A72" s="151" t="s">
        <v>633</v>
      </c>
      <c r="B72" s="152"/>
      <c r="C72" s="152" t="s">
        <v>434</v>
      </c>
      <c r="D72" s="152"/>
      <c r="E72" s="151" t="s">
        <v>7217</v>
      </c>
      <c r="F72" s="152" t="s">
        <v>7</v>
      </c>
    </row>
    <row r="73" ht="60" customHeight="1" spans="1:6">
      <c r="A73" s="151" t="s">
        <v>635</v>
      </c>
      <c r="B73" s="152" t="s">
        <v>434</v>
      </c>
      <c r="C73" s="152"/>
      <c r="D73" s="152"/>
      <c r="E73" s="151" t="s">
        <v>7218</v>
      </c>
      <c r="F73" s="152" t="s">
        <v>7</v>
      </c>
    </row>
    <row r="74" ht="30" customHeight="1" spans="1:6">
      <c r="A74" s="151" t="s">
        <v>637</v>
      </c>
      <c r="B74" s="152"/>
      <c r="C74" s="152" t="s">
        <v>434</v>
      </c>
      <c r="D74" s="152"/>
      <c r="E74" s="151" t="s">
        <v>7219</v>
      </c>
      <c r="F74" s="152" t="s">
        <v>436</v>
      </c>
    </row>
    <row r="75" ht="45" customHeight="1" spans="1:6">
      <c r="A75" s="151" t="s">
        <v>639</v>
      </c>
      <c r="B75" s="152" t="s">
        <v>434</v>
      </c>
      <c r="C75" s="152"/>
      <c r="D75" s="152"/>
      <c r="E75" s="151" t="s">
        <v>7220</v>
      </c>
      <c r="F75" s="152" t="s">
        <v>7</v>
      </c>
    </row>
    <row r="76" ht="60" customHeight="1" spans="1:6">
      <c r="A76" s="151" t="s">
        <v>641</v>
      </c>
      <c r="B76" s="152" t="s">
        <v>434</v>
      </c>
      <c r="C76" s="152"/>
      <c r="D76" s="152"/>
      <c r="E76" s="151" t="s">
        <v>7221</v>
      </c>
      <c r="F76" s="152" t="s">
        <v>436</v>
      </c>
    </row>
    <row r="77" ht="45" customHeight="1" spans="1:6">
      <c r="A77" s="151" t="s">
        <v>643</v>
      </c>
      <c r="B77" s="152" t="s">
        <v>434</v>
      </c>
      <c r="C77" s="152"/>
      <c r="D77" s="152"/>
      <c r="E77" s="151" t="s">
        <v>7222</v>
      </c>
      <c r="F77" s="152" t="s">
        <v>7</v>
      </c>
    </row>
    <row r="78" ht="60" customHeight="1" spans="1:6">
      <c r="A78" s="151" t="s">
        <v>645</v>
      </c>
      <c r="B78" s="152" t="s">
        <v>434</v>
      </c>
      <c r="C78" s="152"/>
      <c r="D78" s="152"/>
      <c r="E78" s="151" t="s">
        <v>7223</v>
      </c>
      <c r="F78" s="152" t="s">
        <v>436</v>
      </c>
    </row>
    <row r="79" customHeight="1" spans="1:6">
      <c r="A79" s="151" t="s">
        <v>647</v>
      </c>
      <c r="B79" s="152"/>
      <c r="C79" s="152"/>
      <c r="D79" s="152" t="s">
        <v>434</v>
      </c>
      <c r="E79" s="151" t="s">
        <v>3752</v>
      </c>
      <c r="F79" s="152" t="s">
        <v>7</v>
      </c>
    </row>
    <row r="80" customHeight="1" spans="1:6">
      <c r="A80" s="151" t="s">
        <v>649</v>
      </c>
      <c r="B80" s="152" t="s">
        <v>434</v>
      </c>
      <c r="C80" s="152"/>
      <c r="D80" s="152"/>
      <c r="E80" s="151" t="s">
        <v>6606</v>
      </c>
      <c r="F80" s="152" t="s">
        <v>7</v>
      </c>
    </row>
    <row r="81" ht="30" customHeight="1" spans="1:6">
      <c r="A81" s="151" t="s">
        <v>650</v>
      </c>
      <c r="B81" s="152" t="s">
        <v>434</v>
      </c>
      <c r="C81" s="152"/>
      <c r="D81" s="152"/>
      <c r="E81" s="151" t="s">
        <v>7224</v>
      </c>
      <c r="F81" s="152" t="s">
        <v>436</v>
      </c>
    </row>
    <row r="82" ht="75" customHeight="1" spans="1:6">
      <c r="A82" s="151" t="s">
        <v>652</v>
      </c>
      <c r="B82" s="152" t="s">
        <v>434</v>
      </c>
      <c r="C82" s="152"/>
      <c r="D82" s="152"/>
      <c r="E82" s="151" t="s">
        <v>7225</v>
      </c>
      <c r="F82" s="152" t="s">
        <v>436</v>
      </c>
    </row>
    <row r="83" ht="45" customHeight="1" spans="1:6">
      <c r="A83" s="151" t="s">
        <v>654</v>
      </c>
      <c r="B83" s="152" t="s">
        <v>434</v>
      </c>
      <c r="C83" s="152"/>
      <c r="D83" s="152"/>
      <c r="E83" s="151" t="s">
        <v>7226</v>
      </c>
      <c r="F83" s="152" t="s">
        <v>7</v>
      </c>
    </row>
    <row r="84" ht="30" customHeight="1" spans="1:6">
      <c r="A84" s="151" t="s">
        <v>656</v>
      </c>
      <c r="B84" s="152"/>
      <c r="C84" s="152" t="s">
        <v>434</v>
      </c>
      <c r="D84" s="152"/>
      <c r="E84" s="151" t="s">
        <v>7197</v>
      </c>
      <c r="F84" s="152" t="s">
        <v>7</v>
      </c>
    </row>
    <row r="85" ht="45" customHeight="1" spans="1:6">
      <c r="A85" s="151" t="s">
        <v>658</v>
      </c>
      <c r="B85" s="152" t="s">
        <v>434</v>
      </c>
      <c r="C85" s="152"/>
      <c r="D85" s="152"/>
      <c r="E85" s="151" t="s">
        <v>7227</v>
      </c>
      <c r="F85" s="152" t="s">
        <v>7</v>
      </c>
    </row>
    <row r="86" ht="60" customHeight="1" spans="1:6">
      <c r="A86" s="151" t="s">
        <v>660</v>
      </c>
      <c r="B86" s="152"/>
      <c r="C86" s="152" t="s">
        <v>434</v>
      </c>
      <c r="D86" s="152"/>
      <c r="E86" s="151" t="s">
        <v>7228</v>
      </c>
      <c r="F86" s="152" t="s">
        <v>436</v>
      </c>
    </row>
    <row r="87" ht="75" customHeight="1" spans="1:6">
      <c r="A87" s="151" t="s">
        <v>662</v>
      </c>
      <c r="B87" s="152" t="s">
        <v>434</v>
      </c>
      <c r="C87" s="152"/>
      <c r="D87" s="152"/>
      <c r="E87" s="151" t="s">
        <v>7229</v>
      </c>
      <c r="F87" s="152" t="s">
        <v>7</v>
      </c>
    </row>
    <row r="88" ht="45" customHeight="1" spans="1:6">
      <c r="A88" s="151" t="s">
        <v>660</v>
      </c>
      <c r="B88" s="152"/>
      <c r="C88" s="152" t="s">
        <v>434</v>
      </c>
      <c r="D88" s="152"/>
      <c r="E88" s="151" t="s">
        <v>7230</v>
      </c>
      <c r="F88" s="152" t="s">
        <v>436</v>
      </c>
    </row>
    <row r="89" ht="30" customHeight="1" spans="1:6">
      <c r="A89" s="151" t="s">
        <v>665</v>
      </c>
      <c r="B89" s="152"/>
      <c r="C89" s="152" t="s">
        <v>434</v>
      </c>
      <c r="D89" s="152"/>
      <c r="E89" s="151" t="s">
        <v>6615</v>
      </c>
      <c r="F89" s="152" t="s">
        <v>7</v>
      </c>
    </row>
    <row r="90" customHeight="1" spans="1:6">
      <c r="A90" s="151" t="s">
        <v>660</v>
      </c>
      <c r="B90" s="152"/>
      <c r="C90" s="152"/>
      <c r="D90" s="152" t="s">
        <v>434</v>
      </c>
      <c r="E90" s="151" t="s">
        <v>1985</v>
      </c>
      <c r="F90" s="152" t="s">
        <v>436</v>
      </c>
    </row>
    <row r="91" spans="1:6">
      <c r="A91" s="149" t="s">
        <v>6616</v>
      </c>
      <c r="B91" s="149"/>
      <c r="C91" s="149"/>
      <c r="D91" s="149"/>
      <c r="E91" s="149"/>
      <c r="F91" s="149"/>
    </row>
    <row r="92" ht="90" customHeight="1" spans="1:6">
      <c r="A92" s="151" t="s">
        <v>6617</v>
      </c>
      <c r="B92" s="152"/>
      <c r="C92" s="152" t="s">
        <v>434</v>
      </c>
      <c r="D92" s="152"/>
      <c r="E92" s="151" t="s">
        <v>7231</v>
      </c>
      <c r="F92" s="152" t="s">
        <v>7</v>
      </c>
    </row>
    <row r="93" ht="75" customHeight="1" spans="1:6">
      <c r="A93" s="151" t="s">
        <v>7232</v>
      </c>
      <c r="B93" s="152"/>
      <c r="C93" s="152" t="s">
        <v>434</v>
      </c>
      <c r="D93" s="152"/>
      <c r="E93" s="151" t="s">
        <v>7233</v>
      </c>
      <c r="F93" s="152" t="s">
        <v>7</v>
      </c>
    </row>
    <row r="94" spans="1:6">
      <c r="A94" s="149" t="s">
        <v>519</v>
      </c>
      <c r="B94" s="150">
        <f>COUNTIF(B14:B93,"x")</f>
        <v>33</v>
      </c>
      <c r="C94" s="150">
        <f>COUNTIF(C14:C93,"x")</f>
        <v>36</v>
      </c>
      <c r="D94" s="150">
        <f>COUNTIF(D14:D93,"x")</f>
        <v>4</v>
      </c>
    </row>
    <row r="96" spans="1:6">
      <c r="A96" s="149" t="s">
        <v>1004</v>
      </c>
      <c r="B96" s="154"/>
      <c r="C96" s="154"/>
      <c r="D96" s="154"/>
      <c r="E96" s="154"/>
      <c r="F96" s="155"/>
    </row>
    <row r="97" ht="75" customHeight="1" spans="1:6">
      <c r="A97" s="151" t="s">
        <v>7234</v>
      </c>
      <c r="B97" s="156"/>
      <c r="C97" s="156"/>
      <c r="D97" s="156"/>
      <c r="E97" s="156"/>
      <c r="F97" s="157"/>
    </row>
    <row r="98" spans="1:6">
      <c r="A98" s="149" t="s">
        <v>522</v>
      </c>
      <c r="B98" s="154"/>
      <c r="C98" s="154"/>
      <c r="D98" s="154"/>
      <c r="E98" s="154"/>
      <c r="F98" s="155"/>
    </row>
    <row r="99" ht="120" customHeight="1" spans="1:6">
      <c r="A99" s="151" t="s">
        <v>7235</v>
      </c>
      <c r="B99" s="156"/>
      <c r="C99" s="156"/>
      <c r="D99" s="156"/>
      <c r="E99" s="156"/>
      <c r="F99" s="157"/>
    </row>
    <row r="100" spans="1:6">
      <c r="A100" s="158" t="s">
        <v>524</v>
      </c>
      <c r="B100" s="156"/>
      <c r="C100" s="156"/>
      <c r="D100" s="156"/>
      <c r="E100" s="156"/>
      <c r="F100" s="157"/>
    </row>
    <row r="101" spans="1:6">
      <c r="A101" s="158" t="s">
        <v>525</v>
      </c>
      <c r="B101" s="156"/>
      <c r="C101" s="156"/>
      <c r="D101" s="156"/>
      <c r="E101" s="156"/>
      <c r="F101" s="157"/>
    </row>
    <row r="102" spans="1:6">
      <c r="A102" s="158" t="s">
        <v>526</v>
      </c>
      <c r="B102" s="156"/>
      <c r="C102" s="156"/>
      <c r="D102" s="156"/>
      <c r="E102" s="156"/>
      <c r="F102" s="157"/>
    </row>
  </sheetData>
  <mergeCells count="17">
    <mergeCell ref="A1:F1"/>
    <mergeCell ref="B3:F3"/>
    <mergeCell ref="B4:F4"/>
    <mergeCell ref="B5:F5"/>
    <mergeCell ref="B6:F6"/>
    <mergeCell ref="B7:F7"/>
    <mergeCell ref="B8:F8"/>
    <mergeCell ref="B9:F9"/>
    <mergeCell ref="B10:F10"/>
    <mergeCell ref="B11:F11"/>
    <mergeCell ref="A96:F96"/>
    <mergeCell ref="A97:F97"/>
    <mergeCell ref="A98:F98"/>
    <mergeCell ref="A99:F99"/>
    <mergeCell ref="A100:F100"/>
    <mergeCell ref="A101:F101"/>
    <mergeCell ref="A102:F102"/>
  </mergeCells>
  <pageMargins left="0.75" right="0.75" top="1" bottom="1" header="0.5" footer="0.5"/>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9"/>
  <sheetViews>
    <sheetView workbookViewId="0">
      <pane xSplit="1" ySplit="12" topLeftCell="B13" activePane="bottomRight" state="frozen"/>
      <selection/>
      <selection pane="topRight"/>
      <selection pane="bottomLeft"/>
      <selection pane="bottomRight" activeCell="A1" sqref="A1:F1"/>
    </sheetView>
  </sheetViews>
  <sheetFormatPr defaultColWidth="9" defaultRowHeight="15" outlineLevelCol="5"/>
  <cols>
    <col min="1" max="1" width="64.2857142857143" customWidth="1"/>
    <col min="2" max="2" width="7.42857142857143" customWidth="1"/>
    <col min="3" max="3" width="6.71428571428571" customWidth="1"/>
    <col min="4" max="4" width="4" customWidth="1"/>
    <col min="5" max="5" width="53.8571428571429" customWidth="1"/>
    <col min="6" max="6" width="9.14285714285714" customWidth="1"/>
  </cols>
  <sheetData>
    <row r="1" ht="24" customHeight="1" spans="1:6">
      <c r="A1" s="128" t="s">
        <v>1007</v>
      </c>
      <c r="B1" s="129"/>
      <c r="C1" s="129"/>
      <c r="D1" s="129"/>
      <c r="E1" s="129"/>
      <c r="F1" s="130"/>
    </row>
    <row r="3" customHeight="1" spans="1:6">
      <c r="A3" s="131" t="s">
        <v>1008</v>
      </c>
      <c r="B3" s="132" t="s">
        <v>227</v>
      </c>
      <c r="C3" s="133"/>
      <c r="D3" s="133"/>
      <c r="E3" s="133"/>
      <c r="F3" s="134"/>
    </row>
    <row r="4" ht="30" customHeight="1" spans="1:6">
      <c r="A4" s="131" t="s">
        <v>1009</v>
      </c>
      <c r="B4" s="135" t="s">
        <v>7236</v>
      </c>
      <c r="C4" s="133"/>
      <c r="D4" s="133"/>
      <c r="E4" s="133"/>
      <c r="F4" s="134"/>
    </row>
    <row r="5" customHeight="1" spans="1:6">
      <c r="A5" s="131" t="s">
        <v>1011</v>
      </c>
      <c r="B5" s="132" t="s">
        <v>231</v>
      </c>
      <c r="C5" s="133"/>
      <c r="D5" s="133"/>
      <c r="E5" s="133"/>
      <c r="F5" s="134"/>
    </row>
    <row r="6" customHeight="1" spans="1:6">
      <c r="A6" s="131" t="s">
        <v>1012</v>
      </c>
      <c r="B6" s="132" t="s">
        <v>60</v>
      </c>
      <c r="C6" s="133"/>
      <c r="D6" s="133"/>
      <c r="E6" s="133"/>
      <c r="F6" s="134"/>
    </row>
    <row r="7" customHeight="1" spans="1:6">
      <c r="A7" s="131" t="s">
        <v>1013</v>
      </c>
      <c r="B7" s="132" t="s">
        <v>7</v>
      </c>
      <c r="C7" s="133"/>
      <c r="D7" s="133"/>
      <c r="E7" s="133"/>
      <c r="F7" s="134"/>
    </row>
    <row r="8" customHeight="1" spans="1:6">
      <c r="A8" s="131" t="s">
        <v>1014</v>
      </c>
      <c r="B8" s="132" t="s">
        <v>233</v>
      </c>
      <c r="C8" s="133"/>
      <c r="D8" s="133"/>
      <c r="E8" s="133"/>
      <c r="F8" s="134"/>
    </row>
    <row r="9" ht="105" customHeight="1" spans="1:6">
      <c r="A9" s="131" t="s">
        <v>1015</v>
      </c>
      <c r="B9" s="135" t="s">
        <v>7237</v>
      </c>
      <c r="C9" s="133"/>
      <c r="D9" s="133"/>
      <c r="E9" s="133"/>
      <c r="F9" s="134"/>
    </row>
    <row r="10" customHeight="1" spans="1:6">
      <c r="A10" s="131" t="s">
        <v>1017</v>
      </c>
      <c r="B10" s="132" t="s">
        <v>103</v>
      </c>
      <c r="C10" s="133"/>
      <c r="D10" s="133"/>
      <c r="E10" s="133"/>
      <c r="F10" s="134"/>
    </row>
    <row r="12" spans="1:6">
      <c r="A12" s="136" t="s">
        <v>426</v>
      </c>
      <c r="B12" s="137" t="s">
        <v>427</v>
      </c>
      <c r="C12" s="137" t="s">
        <v>428</v>
      </c>
      <c r="D12" s="137" t="s">
        <v>429</v>
      </c>
      <c r="E12" s="137" t="s">
        <v>430</v>
      </c>
    </row>
    <row r="13" spans="1:6">
      <c r="A13" s="136" t="s">
        <v>1018</v>
      </c>
      <c r="B13" s="136"/>
      <c r="C13" s="136"/>
      <c r="D13" s="136"/>
      <c r="E13" s="136"/>
    </row>
    <row r="14" ht="90" customHeight="1" spans="1:6">
      <c r="A14" s="138" t="s">
        <v>1019</v>
      </c>
      <c r="B14" s="139" t="s">
        <v>434</v>
      </c>
      <c r="C14" s="139"/>
      <c r="D14" s="139"/>
      <c r="E14" s="138" t="s">
        <v>7238</v>
      </c>
    </row>
    <row r="15" spans="1:6">
      <c r="A15" s="136" t="s">
        <v>1021</v>
      </c>
      <c r="B15" s="136"/>
      <c r="C15" s="136"/>
      <c r="D15" s="136"/>
      <c r="E15" s="136"/>
    </row>
    <row r="16" ht="90" customHeight="1" spans="1:6">
      <c r="A16" s="138" t="s">
        <v>1022</v>
      </c>
      <c r="B16" s="139" t="s">
        <v>434</v>
      </c>
      <c r="C16" s="139"/>
      <c r="D16" s="139"/>
      <c r="E16" s="138" t="s">
        <v>7239</v>
      </c>
    </row>
    <row r="17" ht="45" customHeight="1" spans="1:5">
      <c r="A17" s="138" t="s">
        <v>1024</v>
      </c>
      <c r="B17" s="139" t="s">
        <v>434</v>
      </c>
      <c r="C17" s="139"/>
      <c r="D17" s="139"/>
      <c r="E17" s="138" t="s">
        <v>7240</v>
      </c>
    </row>
    <row r="18" ht="45" customHeight="1" spans="1:5">
      <c r="A18" s="138" t="s">
        <v>1026</v>
      </c>
      <c r="B18" s="139" t="s">
        <v>434</v>
      </c>
      <c r="C18" s="139"/>
      <c r="D18" s="139"/>
      <c r="E18" s="138" t="s">
        <v>7241</v>
      </c>
    </row>
    <row r="19" customHeight="1" spans="1:5">
      <c r="A19" s="138" t="s">
        <v>1028</v>
      </c>
      <c r="B19" s="139" t="s">
        <v>434</v>
      </c>
      <c r="C19" s="139"/>
      <c r="D19" s="139"/>
      <c r="E19" s="138" t="s">
        <v>7242</v>
      </c>
    </row>
    <row r="20" ht="30" customHeight="1" spans="1:5">
      <c r="A20" s="138" t="s">
        <v>1030</v>
      </c>
      <c r="B20" s="139"/>
      <c r="C20" s="139" t="s">
        <v>434</v>
      </c>
      <c r="D20" s="139"/>
      <c r="E20" s="138" t="s">
        <v>7243</v>
      </c>
    </row>
    <row r="21" ht="60" customHeight="1" spans="1:5">
      <c r="A21" s="138" t="s">
        <v>1032</v>
      </c>
      <c r="B21" s="139" t="s">
        <v>434</v>
      </c>
      <c r="C21" s="139"/>
      <c r="D21" s="139"/>
      <c r="E21" s="138" t="s">
        <v>7244</v>
      </c>
    </row>
    <row r="22" ht="75" customHeight="1" spans="1:5">
      <c r="A22" s="138" t="s">
        <v>1034</v>
      </c>
      <c r="B22" s="139"/>
      <c r="C22" s="139" t="s">
        <v>434</v>
      </c>
      <c r="D22" s="139"/>
      <c r="E22" s="138" t="s">
        <v>7245</v>
      </c>
    </row>
    <row r="23" ht="75" customHeight="1" spans="1:5">
      <c r="A23" s="138" t="s">
        <v>1036</v>
      </c>
      <c r="B23" s="139"/>
      <c r="C23" s="139" t="s">
        <v>434</v>
      </c>
      <c r="D23" s="139"/>
      <c r="E23" s="138" t="s">
        <v>7246</v>
      </c>
    </row>
    <row r="24" ht="60" customHeight="1" spans="1:5">
      <c r="A24" s="138" t="s">
        <v>1038</v>
      </c>
      <c r="B24" s="139" t="s">
        <v>434</v>
      </c>
      <c r="C24" s="139"/>
      <c r="D24" s="139"/>
      <c r="E24" s="138" t="s">
        <v>7247</v>
      </c>
    </row>
    <row r="25" ht="45" customHeight="1" spans="1:5">
      <c r="A25" s="138" t="s">
        <v>1040</v>
      </c>
      <c r="B25" s="139" t="s">
        <v>434</v>
      </c>
      <c r="C25" s="139"/>
      <c r="D25" s="139"/>
      <c r="E25" s="138" t="s">
        <v>7248</v>
      </c>
    </row>
    <row r="26" ht="105" customHeight="1" spans="1:5">
      <c r="A26" s="138" t="s">
        <v>1042</v>
      </c>
      <c r="B26" s="139"/>
      <c r="C26" s="139" t="s">
        <v>434</v>
      </c>
      <c r="D26" s="139"/>
      <c r="E26" s="138" t="s">
        <v>7249</v>
      </c>
    </row>
    <row r="27" ht="75" customHeight="1" spans="1:5">
      <c r="A27" s="138" t="s">
        <v>1044</v>
      </c>
      <c r="B27" s="139"/>
      <c r="C27" s="139" t="s">
        <v>434</v>
      </c>
      <c r="D27" s="139"/>
      <c r="E27" s="138" t="s">
        <v>7250</v>
      </c>
    </row>
    <row r="28" ht="60" customHeight="1" spans="1:5">
      <c r="A28" s="138" t="s">
        <v>1046</v>
      </c>
      <c r="B28" s="139" t="s">
        <v>434</v>
      </c>
      <c r="C28" s="139"/>
      <c r="D28" s="139"/>
      <c r="E28" s="138" t="s">
        <v>7251</v>
      </c>
    </row>
    <row r="29" ht="60" customHeight="1" spans="1:5">
      <c r="A29" s="138" t="s">
        <v>1048</v>
      </c>
      <c r="B29" s="139" t="s">
        <v>434</v>
      </c>
      <c r="C29" s="139"/>
      <c r="D29" s="139"/>
      <c r="E29" s="138" t="s">
        <v>7252</v>
      </c>
    </row>
    <row r="30" spans="1:5">
      <c r="A30" s="136" t="s">
        <v>1050</v>
      </c>
      <c r="B30" s="136"/>
      <c r="C30" s="136"/>
      <c r="D30" s="136"/>
      <c r="E30" s="136"/>
    </row>
    <row r="31" ht="105" customHeight="1" spans="1:5">
      <c r="A31" s="138" t="s">
        <v>1051</v>
      </c>
      <c r="B31" s="139"/>
      <c r="C31" s="139" t="s">
        <v>434</v>
      </c>
      <c r="D31" s="139"/>
      <c r="E31" s="138" t="s">
        <v>7253</v>
      </c>
    </row>
    <row r="32" ht="75" customHeight="1" spans="1:5">
      <c r="A32" s="138" t="s">
        <v>1053</v>
      </c>
      <c r="B32" s="139" t="s">
        <v>434</v>
      </c>
      <c r="C32" s="139"/>
      <c r="D32" s="139"/>
      <c r="E32" s="138" t="s">
        <v>7254</v>
      </c>
    </row>
    <row r="33" ht="75" customHeight="1" spans="1:5">
      <c r="A33" s="138" t="s">
        <v>1055</v>
      </c>
      <c r="B33" s="139"/>
      <c r="C33" s="139" t="s">
        <v>434</v>
      </c>
      <c r="D33" s="139"/>
      <c r="E33" s="138" t="s">
        <v>7255</v>
      </c>
    </row>
    <row r="34" spans="1:5">
      <c r="A34" s="136" t="s">
        <v>1057</v>
      </c>
      <c r="B34" s="136"/>
      <c r="C34" s="136"/>
      <c r="D34" s="136"/>
      <c r="E34" s="136"/>
    </row>
    <row r="35" ht="60" customHeight="1" spans="1:5">
      <c r="A35" s="138" t="s">
        <v>1058</v>
      </c>
      <c r="B35" s="139" t="s">
        <v>434</v>
      </c>
      <c r="C35" s="139"/>
      <c r="D35" s="139"/>
      <c r="E35" s="138" t="s">
        <v>7256</v>
      </c>
    </row>
    <row r="36" ht="90" customHeight="1" spans="1:5">
      <c r="A36" s="138" t="s">
        <v>1060</v>
      </c>
      <c r="B36" s="139"/>
      <c r="C36" s="139" t="s">
        <v>434</v>
      </c>
      <c r="D36" s="139"/>
      <c r="E36" s="138" t="s">
        <v>7257</v>
      </c>
    </row>
    <row r="37" ht="30" customHeight="1" spans="1:5">
      <c r="A37" s="138" t="s">
        <v>1062</v>
      </c>
      <c r="B37" s="139"/>
      <c r="C37" s="139" t="s">
        <v>434</v>
      </c>
      <c r="D37" s="139"/>
      <c r="E37" s="138" t="s">
        <v>7258</v>
      </c>
    </row>
    <row r="38" spans="1:5">
      <c r="A38" s="136" t="s">
        <v>1064</v>
      </c>
      <c r="B38" s="136"/>
      <c r="C38" s="136"/>
      <c r="D38" s="136"/>
      <c r="E38" s="136"/>
    </row>
    <row r="39" ht="75" customHeight="1" spans="1:5">
      <c r="A39" s="138" t="s">
        <v>1065</v>
      </c>
      <c r="B39" s="139"/>
      <c r="C39" s="139" t="s">
        <v>434</v>
      </c>
      <c r="D39" s="139"/>
      <c r="E39" s="138" t="s">
        <v>7259</v>
      </c>
    </row>
    <row r="40" ht="135" customHeight="1" spans="1:5">
      <c r="A40" s="138" t="s">
        <v>1067</v>
      </c>
      <c r="B40" s="139"/>
      <c r="C40" s="139" t="s">
        <v>434</v>
      </c>
      <c r="D40" s="139"/>
      <c r="E40" s="138" t="s">
        <v>7260</v>
      </c>
    </row>
    <row r="41" customHeight="1" spans="1:5">
      <c r="A41" s="138" t="s">
        <v>1069</v>
      </c>
      <c r="B41" s="139"/>
      <c r="C41" s="139"/>
      <c r="D41" s="139" t="s">
        <v>434</v>
      </c>
      <c r="E41" s="138" t="s">
        <v>7261</v>
      </c>
    </row>
    <row r="42" ht="90" customHeight="1" spans="1:5">
      <c r="A42" s="138" t="s">
        <v>1071</v>
      </c>
      <c r="B42" s="139" t="s">
        <v>434</v>
      </c>
      <c r="C42" s="139"/>
      <c r="D42" s="139"/>
      <c r="E42" s="138" t="s">
        <v>7262</v>
      </c>
    </row>
    <row r="43" spans="1:5">
      <c r="A43" s="136" t="s">
        <v>1073</v>
      </c>
      <c r="B43" s="136"/>
      <c r="C43" s="136"/>
      <c r="D43" s="136"/>
      <c r="E43" s="136"/>
    </row>
    <row r="44" ht="45" customHeight="1" spans="1:5">
      <c r="A44" s="138" t="s">
        <v>1074</v>
      </c>
      <c r="B44" s="139" t="s">
        <v>434</v>
      </c>
      <c r="C44" s="139"/>
      <c r="D44" s="139"/>
      <c r="E44" s="138" t="s">
        <v>7263</v>
      </c>
    </row>
    <row r="45" customHeight="1" spans="1:5">
      <c r="A45" s="138" t="s">
        <v>1076</v>
      </c>
      <c r="B45" s="139"/>
      <c r="C45" s="139" t="s">
        <v>434</v>
      </c>
      <c r="D45" s="139"/>
      <c r="E45" s="138" t="s">
        <v>7264</v>
      </c>
    </row>
    <row r="46" ht="30" customHeight="1" spans="1:5">
      <c r="A46" s="138" t="s">
        <v>1078</v>
      </c>
      <c r="B46" s="139" t="s">
        <v>434</v>
      </c>
      <c r="C46" s="139"/>
      <c r="D46" s="139"/>
      <c r="E46" s="138" t="s">
        <v>7265</v>
      </c>
    </row>
    <row r="47" spans="1:5">
      <c r="A47" s="136" t="s">
        <v>1080</v>
      </c>
      <c r="B47" s="136"/>
      <c r="C47" s="136"/>
      <c r="D47" s="136"/>
      <c r="E47" s="136"/>
    </row>
    <row r="48" ht="30" customHeight="1" spans="1:5">
      <c r="A48" s="138" t="s">
        <v>1081</v>
      </c>
      <c r="B48" s="139"/>
      <c r="C48" s="139" t="s">
        <v>434</v>
      </c>
      <c r="D48" s="139"/>
      <c r="E48" s="138" t="s">
        <v>7266</v>
      </c>
    </row>
    <row r="49" ht="105" customHeight="1" spans="1:6">
      <c r="A49" s="138" t="s">
        <v>1083</v>
      </c>
      <c r="B49" s="139" t="s">
        <v>434</v>
      </c>
      <c r="C49" s="139"/>
      <c r="D49" s="139"/>
      <c r="E49" s="138" t="s">
        <v>7267</v>
      </c>
    </row>
    <row r="50" ht="90" customHeight="1" spans="1:6">
      <c r="A50" s="138" t="s">
        <v>1085</v>
      </c>
      <c r="B50" s="139"/>
      <c r="C50" s="139" t="s">
        <v>434</v>
      </c>
      <c r="D50" s="139"/>
      <c r="E50" s="138" t="s">
        <v>7268</v>
      </c>
    </row>
    <row r="51" spans="1:6">
      <c r="A51" s="136" t="s">
        <v>1087</v>
      </c>
      <c r="B51" s="136"/>
      <c r="C51" s="136"/>
      <c r="D51" s="136"/>
      <c r="E51" s="136"/>
    </row>
    <row r="52" ht="90" customHeight="1" spans="1:6">
      <c r="A52" s="138" t="s">
        <v>1088</v>
      </c>
      <c r="B52" s="139"/>
      <c r="C52" s="139" t="s">
        <v>434</v>
      </c>
      <c r="D52" s="139"/>
      <c r="E52" s="138" t="s">
        <v>7269</v>
      </c>
    </row>
    <row r="53" ht="45" customHeight="1" spans="1:6">
      <c r="A53" s="138" t="s">
        <v>1090</v>
      </c>
      <c r="B53" s="139" t="s">
        <v>434</v>
      </c>
      <c r="C53" s="139"/>
      <c r="D53" s="139"/>
      <c r="E53" s="138" t="s">
        <v>7270</v>
      </c>
    </row>
    <row r="54" ht="45" customHeight="1" spans="1:6">
      <c r="A54" s="138" t="s">
        <v>1092</v>
      </c>
      <c r="B54" s="139" t="s">
        <v>434</v>
      </c>
      <c r="C54" s="139"/>
      <c r="D54" s="139"/>
      <c r="E54" s="138" t="s">
        <v>7271</v>
      </c>
    </row>
    <row r="55" ht="60" customHeight="1" spans="1:6">
      <c r="A55" s="138" t="s">
        <v>1094</v>
      </c>
      <c r="B55" s="139" t="s">
        <v>434</v>
      </c>
      <c r="C55" s="139"/>
      <c r="D55" s="139"/>
      <c r="E55" s="138" t="s">
        <v>7272</v>
      </c>
    </row>
    <row r="56" ht="120" customHeight="1" spans="1:6">
      <c r="A56" s="138" t="s">
        <v>7273</v>
      </c>
      <c r="B56" s="139"/>
      <c r="C56" s="139" t="s">
        <v>434</v>
      </c>
      <c r="D56" s="139"/>
      <c r="E56" s="138" t="s">
        <v>7274</v>
      </c>
    </row>
    <row r="57" ht="75" customHeight="1" spans="1:6">
      <c r="A57" s="138" t="s">
        <v>7275</v>
      </c>
      <c r="B57" s="139"/>
      <c r="C57" s="139" t="s">
        <v>434</v>
      </c>
      <c r="D57" s="139"/>
      <c r="E57" s="138" t="s">
        <v>7276</v>
      </c>
    </row>
    <row r="58" ht="75" customHeight="1" spans="1:6">
      <c r="A58" s="138" t="s">
        <v>7277</v>
      </c>
      <c r="B58" s="139"/>
      <c r="C58" s="139" t="s">
        <v>434</v>
      </c>
      <c r="D58" s="139"/>
      <c r="E58" s="138" t="s">
        <v>7278</v>
      </c>
    </row>
    <row r="59" ht="60" customHeight="1" spans="1:6">
      <c r="A59" s="138" t="s">
        <v>7279</v>
      </c>
      <c r="B59" s="139"/>
      <c r="C59" s="139" t="s">
        <v>434</v>
      </c>
      <c r="D59" s="139"/>
      <c r="E59" s="138" t="s">
        <v>7280</v>
      </c>
    </row>
    <row r="60" ht="45" customHeight="1" spans="1:6">
      <c r="A60" s="138" t="s">
        <v>7281</v>
      </c>
      <c r="B60" s="139"/>
      <c r="C60" s="139" t="s">
        <v>434</v>
      </c>
      <c r="D60" s="139"/>
      <c r="E60" s="138" t="s">
        <v>7282</v>
      </c>
    </row>
    <row r="61" spans="1:6">
      <c r="A61" s="136" t="s">
        <v>519</v>
      </c>
      <c r="B61" s="137">
        <f>COUNTIF(B13:B60,"x")</f>
        <v>19</v>
      </c>
      <c r="C61" s="137">
        <f>COUNTIF(C13:C60,"x")</f>
        <v>20</v>
      </c>
      <c r="D61" s="137">
        <f>COUNTIF(D13:D60,"x")</f>
        <v>1</v>
      </c>
    </row>
    <row r="63" spans="1:6">
      <c r="A63" s="136" t="s">
        <v>1004</v>
      </c>
      <c r="B63" s="140"/>
      <c r="C63" s="140"/>
      <c r="D63" s="140"/>
      <c r="E63" s="140"/>
      <c r="F63" s="141"/>
    </row>
    <row r="64" ht="90" customHeight="1" spans="1:6">
      <c r="A64" s="138" t="s">
        <v>7283</v>
      </c>
      <c r="B64" s="140"/>
      <c r="C64" s="140"/>
      <c r="D64" s="140"/>
      <c r="E64" s="140"/>
      <c r="F64" s="142"/>
    </row>
    <row r="65" spans="1:6">
      <c r="A65" s="136" t="s">
        <v>522</v>
      </c>
      <c r="B65" s="140"/>
      <c r="C65" s="140"/>
      <c r="D65" s="140"/>
      <c r="E65" s="140"/>
      <c r="F65" s="141"/>
    </row>
    <row r="66" ht="180" customHeight="1" spans="1:6">
      <c r="A66" s="138" t="s">
        <v>7284</v>
      </c>
      <c r="B66" s="140"/>
      <c r="C66" s="140"/>
      <c r="D66" s="140"/>
      <c r="E66" s="140"/>
      <c r="F66" s="142"/>
    </row>
    <row r="67" spans="1:6">
      <c r="A67" s="143" t="s">
        <v>524</v>
      </c>
      <c r="B67" s="140"/>
      <c r="C67" s="140"/>
      <c r="D67" s="140"/>
      <c r="E67" s="140"/>
      <c r="F67" s="142"/>
    </row>
    <row r="68" spans="1:6">
      <c r="A68" s="143" t="s">
        <v>525</v>
      </c>
      <c r="B68" s="140"/>
      <c r="C68" s="140"/>
      <c r="D68" s="140"/>
      <c r="E68" s="140"/>
      <c r="F68" s="142"/>
    </row>
    <row r="69" spans="1:6">
      <c r="A69" s="143" t="s">
        <v>526</v>
      </c>
      <c r="B69" s="140"/>
      <c r="C69" s="140"/>
      <c r="D69" s="140"/>
      <c r="E69" s="140"/>
      <c r="F69" s="142"/>
    </row>
  </sheetData>
  <mergeCells count="16">
    <mergeCell ref="A1:F1"/>
    <mergeCell ref="B3:F3"/>
    <mergeCell ref="B4:F4"/>
    <mergeCell ref="B5:F5"/>
    <mergeCell ref="B6:F6"/>
    <mergeCell ref="B7:F7"/>
    <mergeCell ref="B8:F8"/>
    <mergeCell ref="B9:F9"/>
    <mergeCell ref="B10:F10"/>
    <mergeCell ref="A63:F63"/>
    <mergeCell ref="A64:F64"/>
    <mergeCell ref="A65:F65"/>
    <mergeCell ref="A66:F66"/>
    <mergeCell ref="A67:F67"/>
    <mergeCell ref="A68:F68"/>
    <mergeCell ref="A69:F69"/>
  </mergeCells>
  <pageMargins left="0.75" right="0.75" top="1" bottom="1" header="0.5" footer="0.5"/>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5"/>
  <sheetViews>
    <sheetView workbookViewId="0">
      <selection activeCell="A1" sqref="A1:C1"/>
    </sheetView>
  </sheetViews>
  <sheetFormatPr defaultColWidth="9" defaultRowHeight="15"/>
  <cols>
    <col min="1" max="1" width="18" customWidth="1"/>
    <col min="2" max="2" width="34" customWidth="1"/>
    <col min="3" max="3" width="13" customWidth="1"/>
    <col min="4" max="4" width="26" customWidth="1"/>
    <col min="5" max="6" width="40" customWidth="1"/>
    <col min="7" max="7" width="10" customWidth="1"/>
    <col min="8" max="8" width="9" customWidth="1"/>
    <col min="9" max="9" width="36" customWidth="1"/>
  </cols>
  <sheetData>
    <row r="1" spans="1:14">
      <c r="A1" s="107" t="s">
        <v>1108</v>
      </c>
      <c r="B1" s="16"/>
      <c r="C1" s="17"/>
    </row>
    <row r="2" ht="15.75" spans="1:14">
      <c r="A2" s="108" t="s">
        <v>1109</v>
      </c>
      <c r="B2" s="108" t="s">
        <v>13</v>
      </c>
      <c r="C2" s="108" t="s">
        <v>1110</v>
      </c>
    </row>
    <row r="3" ht="15.75" spans="1:14">
      <c r="A3" s="109" t="s">
        <v>7285</v>
      </c>
      <c r="B3" s="16"/>
      <c r="C3" s="17"/>
    </row>
    <row r="4" ht="135" customHeight="1" spans="1:14">
      <c r="A4" s="110" t="s">
        <v>1112</v>
      </c>
      <c r="B4" s="110" t="s">
        <v>7286</v>
      </c>
      <c r="C4" s="111" t="s">
        <v>7287</v>
      </c>
    </row>
    <row r="5" ht="120" customHeight="1" spans="1:14">
      <c r="A5" s="110" t="s">
        <v>1115</v>
      </c>
      <c r="B5" s="110" t="s">
        <v>7288</v>
      </c>
      <c r="C5" s="111" t="s">
        <v>7289</v>
      </c>
    </row>
    <row r="8" ht="15.75" spans="1:14">
      <c r="A8" s="112" t="s">
        <v>1124</v>
      </c>
      <c r="B8" s="16"/>
      <c r="C8" s="16"/>
      <c r="D8" s="16"/>
      <c r="E8" s="16"/>
      <c r="F8" s="16"/>
      <c r="G8" s="16"/>
      <c r="H8" s="16"/>
      <c r="I8" s="16"/>
      <c r="J8" s="16"/>
      <c r="K8" s="16"/>
      <c r="L8" s="16"/>
      <c r="M8" s="16"/>
      <c r="N8" s="17"/>
    </row>
    <row r="9" ht="45" customHeight="1" spans="1:14">
      <c r="A9" s="113" t="s">
        <v>1125</v>
      </c>
      <c r="B9" s="113" t="s">
        <v>1126</v>
      </c>
      <c r="C9" s="113" t="s">
        <v>1127</v>
      </c>
      <c r="D9" s="113" t="s">
        <v>1128</v>
      </c>
      <c r="E9" s="113" t="s">
        <v>1129</v>
      </c>
      <c r="F9" s="113" t="s">
        <v>1130</v>
      </c>
      <c r="G9" s="113" t="s">
        <v>1131</v>
      </c>
      <c r="H9" s="113" t="s">
        <v>1132</v>
      </c>
      <c r="I9" s="113" t="s">
        <v>1133</v>
      </c>
      <c r="J9" s="113" t="s">
        <v>1134</v>
      </c>
      <c r="K9" s="113" t="s">
        <v>1135</v>
      </c>
      <c r="L9" s="113" t="s">
        <v>1136</v>
      </c>
      <c r="M9" s="113" t="s">
        <v>1137</v>
      </c>
      <c r="N9" s="113" t="s">
        <v>1138</v>
      </c>
    </row>
    <row r="10" customHeight="1" spans="1:14">
      <c r="A10" s="114" t="s">
        <v>1112</v>
      </c>
      <c r="B10" s="114" t="s">
        <v>7286</v>
      </c>
      <c r="C10" s="115">
        <f>COUNTIF($A$42:$A$65,"UI_PH10_FR01_*")</f>
        <v>14</v>
      </c>
      <c r="D10" s="115">
        <f>COUNTIFS($A$42:$A$65,"UI_PH10_FR01_*",$G$42:$G$65,"Pending")</f>
        <v>0</v>
      </c>
      <c r="E10" s="115">
        <f>COUNTIFS($A$42:$A$65,"UI_PH10_FR01_*",$G$42:$G$65,"Pass")</f>
        <v>9</v>
      </c>
      <c r="F10" s="115">
        <f>COUNTIFS($A$42:$A$65,"UI_PH10_FR01_*",$G$42:$G$65,"Fail")</f>
        <v>5</v>
      </c>
      <c r="G10" s="115">
        <f>SUMIFS($H$42:$H$65,$A$42:$A$65,"UI_PH10_FR01_*")</f>
        <v>5</v>
      </c>
      <c r="H10" s="116">
        <f>IFERROR(E10/C10,0)</f>
        <v>0.642857142857143</v>
      </c>
      <c r="I10" s="115">
        <f>COUNTIFS($A$42:$A$65,"UI_PH10_FR01_*",$C$42:$C$65,"UI/UX")</f>
        <v>2</v>
      </c>
      <c r="J10" s="115">
        <f>COUNTIFS($A$42:$A$65,"UI_PH10_FR01_*",$C$42:$C$65,"Function")</f>
        <v>8</v>
      </c>
      <c r="K10" s="115">
        <f>COUNTIFS($A$42:$A$65,"UI_PH10_FR01_*",$C$42:$C$65,"Negative")</f>
        <v>4</v>
      </c>
      <c r="L10" s="115">
        <f>SUMIFS($H$42:$H$65,$A$42:$A$65,"UI_PH10_FR01_*",$C$42:$C$65,"UI/UX")</f>
        <v>0</v>
      </c>
      <c r="M10" s="115">
        <f>SUMIFS($H$42:$H$65,$A$42:$A$65,"UI_PH10_FR01_*",$C$42:$C$65,"Function")</f>
        <v>5</v>
      </c>
      <c r="N10" s="115">
        <f>SUMIFS($H$42:$H$65,$A$42:$A$65,"UI_PH10_FR01_*",$C$42:$C$65,"Negative")</f>
        <v>0</v>
      </c>
    </row>
    <row r="11" customHeight="1" spans="1:14">
      <c r="A11" s="114" t="s">
        <v>1115</v>
      </c>
      <c r="B11" s="114" t="s">
        <v>7288</v>
      </c>
      <c r="C11" s="115">
        <f>COUNTIF($A$42:$A$65,"UI_PH10_FR02_*")</f>
        <v>8</v>
      </c>
      <c r="D11" s="115">
        <f>COUNTIFS($A$42:$A$65,"UI_PH10_FR02_*",$G$42:$G$65,"Pending")</f>
        <v>0</v>
      </c>
      <c r="E11" s="115">
        <f>COUNTIFS($A$42:$A$65,"UI_PH10_FR02_*",$G$42:$G$65,"Pass")</f>
        <v>7</v>
      </c>
      <c r="F11" s="115">
        <f>COUNTIFS($A$42:$A$65,"UI_PH10_FR02_*",$G$42:$G$65,"Fail")</f>
        <v>1</v>
      </c>
      <c r="G11" s="115">
        <f>SUMIFS($H$42:$H$65,$A$42:$A$65,"UI_PH10_FR02_*")</f>
        <v>1</v>
      </c>
      <c r="H11" s="116">
        <f>IFERROR(E11/C11,0)</f>
        <v>0.875</v>
      </c>
      <c r="I11" s="115">
        <f>COUNTIFS($A$42:$A$65,"UI_PH10_FR02_*",$C$42:$C$65,"UI/UX")</f>
        <v>1</v>
      </c>
      <c r="J11" s="115">
        <f>COUNTIFS($A$42:$A$65,"UI_PH10_FR02_*",$C$42:$C$65,"Function")</f>
        <v>5</v>
      </c>
      <c r="K11" s="115">
        <f>COUNTIFS($A$42:$A$65,"UI_PH10_FR02_*",$C$42:$C$65,"Negative")</f>
        <v>2</v>
      </c>
      <c r="L11" s="115">
        <f>SUMIFS($H$42:$H$65,$A$42:$A$65,"UI_PH10_FR02_*",$C$42:$C$65,"UI/UX")</f>
        <v>0</v>
      </c>
      <c r="M11" s="115">
        <f>SUMIFS($H$42:$H$65,$A$42:$A$65,"UI_PH10_FR02_*",$C$42:$C$65,"Function")</f>
        <v>1</v>
      </c>
      <c r="N11" s="115">
        <f>SUMIFS($H$42:$H$65,$A$42:$A$65,"UI_PH10_FR02_*",$C$42:$C$65,"Negative")</f>
        <v>0</v>
      </c>
    </row>
    <row r="12" ht="15.75" spans="1:14">
      <c r="A12" s="117" t="s">
        <v>1127</v>
      </c>
      <c r="B12" s="117" t="s">
        <v>7</v>
      </c>
      <c r="C12" s="118">
        <f>SUM(C10:C11)</f>
        <v>22</v>
      </c>
      <c r="D12" s="118">
        <f>SUM(D10:D11)</f>
        <v>0</v>
      </c>
      <c r="E12" s="118">
        <f>SUM(E10:E11)</f>
        <v>16</v>
      </c>
      <c r="F12" s="118">
        <f>SUM(F10:F11)</f>
        <v>6</v>
      </c>
      <c r="G12" s="118">
        <f>SUM(G10:G11)</f>
        <v>6</v>
      </c>
      <c r="H12" s="119">
        <f>IFERROR(E12/C12,0)</f>
        <v>0.727272727272727</v>
      </c>
      <c r="I12" s="118">
        <f t="shared" ref="I12:N12" si="0">SUM(I10:I11)</f>
        <v>3</v>
      </c>
      <c r="J12" s="118">
        <f t="shared" si="0"/>
        <v>13</v>
      </c>
      <c r="K12" s="118">
        <f t="shared" si="0"/>
        <v>6</v>
      </c>
      <c r="L12" s="118">
        <f t="shared" si="0"/>
        <v>0</v>
      </c>
      <c r="M12" s="118">
        <f t="shared" si="0"/>
        <v>6</v>
      </c>
      <c r="N12" s="118">
        <f t="shared" si="0"/>
        <v>0</v>
      </c>
    </row>
    <row r="15" ht="15.75" spans="1:14">
      <c r="A15" s="120" t="s">
        <v>1139</v>
      </c>
      <c r="B15" s="110" t="s">
        <v>1112</v>
      </c>
    </row>
    <row r="16" ht="15.75" spans="1:14">
      <c r="A16" s="120" t="s">
        <v>1140</v>
      </c>
      <c r="B16" s="110" t="s">
        <v>7286</v>
      </c>
    </row>
    <row r="17" ht="15.75" spans="1:9">
      <c r="A17" s="120" t="s">
        <v>1141</v>
      </c>
      <c r="B17" s="110" t="s">
        <v>7</v>
      </c>
    </row>
    <row r="18" ht="15.75" spans="1:9">
      <c r="A18" s="121" t="s">
        <v>1129</v>
      </c>
      <c r="B18" s="122">
        <f>E10</f>
        <v>9</v>
      </c>
      <c r="D18" s="121" t="s">
        <v>1133</v>
      </c>
      <c r="E18" s="122">
        <f>I10</f>
        <v>2</v>
      </c>
    </row>
    <row r="19" ht="15.75" spans="1:9">
      <c r="A19" s="121" t="s">
        <v>1130</v>
      </c>
      <c r="B19" s="122">
        <f>F10</f>
        <v>5</v>
      </c>
      <c r="D19" s="121" t="s">
        <v>1134</v>
      </c>
      <c r="E19" s="122">
        <f>J10</f>
        <v>8</v>
      </c>
    </row>
    <row r="20" ht="15.75" spans="1:9">
      <c r="A20" s="121" t="s">
        <v>1128</v>
      </c>
      <c r="B20" s="122">
        <f>D10</f>
        <v>0</v>
      </c>
      <c r="D20" s="121" t="s">
        <v>1135</v>
      </c>
      <c r="E20" s="122">
        <f>K10</f>
        <v>4</v>
      </c>
    </row>
    <row r="21" ht="15.75" spans="1:9">
      <c r="A21" s="121" t="s">
        <v>1131</v>
      </c>
      <c r="B21" s="122">
        <f>G10</f>
        <v>5</v>
      </c>
      <c r="D21" s="121" t="s">
        <v>1127</v>
      </c>
      <c r="E21" s="122">
        <f>C10</f>
        <v>14</v>
      </c>
    </row>
    <row r="22" ht="15.75" spans="1:9">
      <c r="A22" s="120" t="s">
        <v>1139</v>
      </c>
      <c r="B22" s="110" t="s">
        <v>1115</v>
      </c>
    </row>
    <row r="23" ht="15.75" spans="1:9">
      <c r="A23" s="120" t="s">
        <v>1140</v>
      </c>
      <c r="B23" s="110" t="s">
        <v>7288</v>
      </c>
    </row>
    <row r="24" ht="15.75" spans="1:9">
      <c r="A24" s="120" t="s">
        <v>1141</v>
      </c>
      <c r="B24" s="110" t="s">
        <v>7</v>
      </c>
    </row>
    <row r="25" ht="15.75" spans="1:9">
      <c r="A25" s="121" t="s">
        <v>1129</v>
      </c>
      <c r="B25" s="122">
        <f>E11</f>
        <v>7</v>
      </c>
      <c r="D25" s="121" t="s">
        <v>1133</v>
      </c>
      <c r="E25" s="122">
        <f>I11</f>
        <v>1</v>
      </c>
    </row>
    <row r="26" ht="15.75" spans="1:9">
      <c r="A26" s="121" t="s">
        <v>1130</v>
      </c>
      <c r="B26" s="122">
        <f>F11</f>
        <v>1</v>
      </c>
      <c r="D26" s="121" t="s">
        <v>1134</v>
      </c>
      <c r="E26" s="122">
        <f>J11</f>
        <v>5</v>
      </c>
    </row>
    <row r="27" ht="15.75" spans="1:9">
      <c r="A27" s="121" t="s">
        <v>1128</v>
      </c>
      <c r="B27" s="122">
        <f>D11</f>
        <v>0</v>
      </c>
      <c r="D27" s="121" t="s">
        <v>1135</v>
      </c>
      <c r="E27" s="122">
        <f>K11</f>
        <v>2</v>
      </c>
    </row>
    <row r="28" ht="15.75" spans="1:9">
      <c r="A28" s="121" t="s">
        <v>1131</v>
      </c>
      <c r="B28" s="122">
        <f>G11</f>
        <v>1</v>
      </c>
      <c r="D28" s="121" t="s">
        <v>1127</v>
      </c>
      <c r="E28" s="122">
        <f>C11</f>
        <v>8</v>
      </c>
    </row>
    <row r="29" ht="15.75" spans="1:9">
      <c r="A29" s="123" t="s">
        <v>1142</v>
      </c>
      <c r="B29" s="16"/>
      <c r="C29" s="16"/>
      <c r="D29" s="16"/>
      <c r="E29" s="16"/>
      <c r="F29" s="16"/>
      <c r="G29" s="16"/>
      <c r="H29" s="16"/>
      <c r="I29" s="17"/>
    </row>
    <row r="30" ht="15.75" spans="1:9">
      <c r="A30" s="124" t="s">
        <v>1143</v>
      </c>
      <c r="B30" s="16"/>
      <c r="C30" s="16"/>
      <c r="D30" s="16"/>
      <c r="E30" s="16"/>
      <c r="F30" s="16"/>
      <c r="G30" s="16"/>
      <c r="H30" s="16"/>
      <c r="I30" s="17"/>
    </row>
    <row r="31" ht="75" customHeight="1" spans="1:9">
      <c r="A31" s="310" t="s">
        <v>7290</v>
      </c>
      <c r="B31" s="16"/>
      <c r="C31" s="16"/>
      <c r="D31" s="16"/>
      <c r="E31" s="16"/>
      <c r="F31" s="16"/>
      <c r="G31" s="16"/>
      <c r="H31" s="16"/>
      <c r="I31" s="17"/>
    </row>
    <row r="32" ht="15.75" spans="1:9">
      <c r="A32" s="124" t="s">
        <v>1145</v>
      </c>
      <c r="B32" s="16"/>
      <c r="C32" s="16"/>
      <c r="D32" s="16"/>
      <c r="E32" s="16"/>
      <c r="F32" s="16"/>
      <c r="G32" s="16"/>
      <c r="H32" s="16"/>
      <c r="I32" s="17"/>
    </row>
    <row r="33" ht="165" customHeight="1" spans="1:9">
      <c r="A33" s="310" t="s">
        <v>7291</v>
      </c>
      <c r="B33" s="16"/>
      <c r="C33" s="16"/>
      <c r="D33" s="16"/>
      <c r="E33" s="16"/>
      <c r="F33" s="16"/>
      <c r="G33" s="16"/>
      <c r="H33" s="16"/>
      <c r="I33" s="17"/>
    </row>
    <row r="34" ht="15.75" spans="1:9">
      <c r="A34" s="124" t="s">
        <v>1147</v>
      </c>
      <c r="B34" s="16"/>
      <c r="C34" s="16"/>
      <c r="D34" s="16"/>
      <c r="E34" s="16"/>
      <c r="F34" s="16"/>
      <c r="G34" s="16"/>
      <c r="H34" s="16"/>
      <c r="I34" s="17"/>
    </row>
    <row r="35" ht="75" customHeight="1" spans="1:9">
      <c r="A35" s="310" t="s">
        <v>7292</v>
      </c>
      <c r="B35" s="16"/>
      <c r="C35" s="16"/>
      <c r="D35" s="16"/>
      <c r="E35" s="16"/>
      <c r="F35" s="16"/>
      <c r="G35" s="16"/>
      <c r="H35" s="16"/>
      <c r="I35" s="17"/>
    </row>
    <row r="36" ht="15.75" spans="1:9">
      <c r="A36" s="124" t="s">
        <v>1149</v>
      </c>
      <c r="B36" s="16"/>
      <c r="C36" s="16"/>
      <c r="D36" s="16"/>
      <c r="E36" s="16"/>
      <c r="F36" s="16"/>
      <c r="G36" s="16"/>
      <c r="H36" s="16"/>
      <c r="I36" s="17"/>
    </row>
    <row r="37" ht="45" customHeight="1" spans="1:9">
      <c r="A37" s="310" t="s">
        <v>7293</v>
      </c>
      <c r="B37" s="16"/>
      <c r="C37" s="16"/>
      <c r="D37" s="16"/>
      <c r="E37" s="16"/>
      <c r="F37" s="16"/>
      <c r="G37" s="16"/>
      <c r="H37" s="16"/>
      <c r="I37" s="17"/>
    </row>
    <row r="41" ht="15.75" spans="1:9">
      <c r="A41" s="126" t="s">
        <v>1109</v>
      </c>
      <c r="B41" s="126" t="s">
        <v>1151</v>
      </c>
      <c r="C41" s="126" t="s">
        <v>1152</v>
      </c>
      <c r="D41" s="126" t="s">
        <v>1153</v>
      </c>
      <c r="E41" s="126" t="s">
        <v>1154</v>
      </c>
      <c r="F41" s="126" t="s">
        <v>1155</v>
      </c>
      <c r="G41" s="126" t="s">
        <v>1156</v>
      </c>
      <c r="H41" s="126" t="s">
        <v>1131</v>
      </c>
      <c r="I41" s="126" t="s">
        <v>1157</v>
      </c>
    </row>
    <row r="42" ht="15.75" spans="1:9">
      <c r="A42" s="127" t="s">
        <v>7294</v>
      </c>
      <c r="B42" s="16"/>
      <c r="C42" s="16"/>
      <c r="D42" s="16"/>
      <c r="E42" s="16"/>
      <c r="F42" s="16"/>
      <c r="G42" s="16"/>
      <c r="H42" s="16"/>
      <c r="I42" s="17"/>
    </row>
    <row r="43" ht="75" customHeight="1" spans="1:9">
      <c r="A43" s="111" t="s">
        <v>7295</v>
      </c>
      <c r="B43" s="111" t="s">
        <v>7296</v>
      </c>
      <c r="C43" s="122" t="s">
        <v>1133</v>
      </c>
      <c r="D43" s="111" t="s">
        <v>7297</v>
      </c>
      <c r="E43" s="111" t="s">
        <v>7298</v>
      </c>
      <c r="F43" s="111" t="s">
        <v>7299</v>
      </c>
      <c r="G43" s="122" t="s">
        <v>1129</v>
      </c>
      <c r="H43" s="122"/>
      <c r="I43" s="111" t="s">
        <v>7</v>
      </c>
    </row>
    <row r="44" ht="255" customHeight="1" spans="1:9">
      <c r="A44" s="111" t="s">
        <v>7300</v>
      </c>
      <c r="B44" s="111" t="s">
        <v>7301</v>
      </c>
      <c r="C44" s="122" t="s">
        <v>1134</v>
      </c>
      <c r="D44" s="111" t="s">
        <v>7302</v>
      </c>
      <c r="E44" s="111" t="s">
        <v>7303</v>
      </c>
      <c r="F44" s="111" t="s">
        <v>7304</v>
      </c>
      <c r="G44" s="122" t="s">
        <v>1130</v>
      </c>
      <c r="H44" s="122">
        <v>1</v>
      </c>
      <c r="I44" s="111" t="s">
        <v>7305</v>
      </c>
    </row>
    <row r="45" ht="195" customHeight="1" spans="1:9">
      <c r="A45" s="111" t="s">
        <v>7306</v>
      </c>
      <c r="B45" s="111" t="s">
        <v>7307</v>
      </c>
      <c r="C45" s="122" t="s">
        <v>1134</v>
      </c>
      <c r="D45" s="111" t="s">
        <v>7308</v>
      </c>
      <c r="E45" s="111" t="s">
        <v>7309</v>
      </c>
      <c r="F45" s="111" t="s">
        <v>7310</v>
      </c>
      <c r="G45" s="122" t="s">
        <v>1130</v>
      </c>
      <c r="H45" s="122">
        <v>1</v>
      </c>
      <c r="I45" s="111" t="s">
        <v>7311</v>
      </c>
    </row>
    <row r="46" ht="270" customHeight="1" spans="1:9">
      <c r="A46" s="111" t="s">
        <v>7312</v>
      </c>
      <c r="B46" s="111" t="s">
        <v>7313</v>
      </c>
      <c r="C46" s="122" t="s">
        <v>1134</v>
      </c>
      <c r="D46" s="111" t="s">
        <v>7314</v>
      </c>
      <c r="E46" s="111" t="s">
        <v>7315</v>
      </c>
      <c r="F46" s="111" t="s">
        <v>7316</v>
      </c>
      <c r="G46" s="122" t="s">
        <v>1130</v>
      </c>
      <c r="H46" s="122">
        <v>1</v>
      </c>
      <c r="I46" s="111" t="s">
        <v>7317</v>
      </c>
    </row>
    <row r="47" ht="90" customHeight="1" spans="1:9">
      <c r="A47" s="111" t="s">
        <v>7318</v>
      </c>
      <c r="B47" s="111" t="s">
        <v>7319</v>
      </c>
      <c r="C47" s="122" t="s">
        <v>1134</v>
      </c>
      <c r="D47" s="111" t="s">
        <v>7320</v>
      </c>
      <c r="E47" s="111" t="s">
        <v>7321</v>
      </c>
      <c r="F47" s="111" t="s">
        <v>7322</v>
      </c>
      <c r="G47" s="122" t="s">
        <v>1129</v>
      </c>
      <c r="H47" s="122"/>
      <c r="I47" s="111" t="s">
        <v>7323</v>
      </c>
    </row>
    <row r="48" ht="135" customHeight="1" spans="1:9">
      <c r="A48" s="111" t="s">
        <v>7324</v>
      </c>
      <c r="B48" s="111" t="s">
        <v>7325</v>
      </c>
      <c r="C48" s="122" t="s">
        <v>1134</v>
      </c>
      <c r="D48" s="111" t="s">
        <v>7326</v>
      </c>
      <c r="E48" s="111" t="s">
        <v>7327</v>
      </c>
      <c r="F48" s="111" t="s">
        <v>7328</v>
      </c>
      <c r="G48" s="122" t="s">
        <v>1130</v>
      </c>
      <c r="H48" s="122">
        <v>1</v>
      </c>
      <c r="I48" s="111" t="s">
        <v>7329</v>
      </c>
    </row>
    <row r="49" ht="105" customHeight="1" spans="1:9">
      <c r="A49" s="111" t="s">
        <v>7330</v>
      </c>
      <c r="B49" s="111" t="s">
        <v>7331</v>
      </c>
      <c r="C49" s="122" t="s">
        <v>1134</v>
      </c>
      <c r="D49" s="111" t="s">
        <v>7332</v>
      </c>
      <c r="E49" s="111" t="s">
        <v>7327</v>
      </c>
      <c r="F49" s="111" t="s">
        <v>7333</v>
      </c>
      <c r="G49" s="122" t="s">
        <v>1129</v>
      </c>
      <c r="H49" s="122"/>
      <c r="I49" s="111" t="s">
        <v>7334</v>
      </c>
    </row>
    <row r="50" ht="105" customHeight="1" spans="1:9">
      <c r="A50" s="111" t="s">
        <v>7335</v>
      </c>
      <c r="B50" s="111" t="s">
        <v>7336</v>
      </c>
      <c r="C50" s="122" t="s">
        <v>1135</v>
      </c>
      <c r="D50" s="111" t="s">
        <v>7337</v>
      </c>
      <c r="E50" s="111" t="s">
        <v>7321</v>
      </c>
      <c r="F50" s="111" t="s">
        <v>7338</v>
      </c>
      <c r="G50" s="122" t="s">
        <v>1129</v>
      </c>
      <c r="H50" s="122"/>
      <c r="I50" s="111" t="s">
        <v>7339</v>
      </c>
    </row>
    <row r="51" ht="150" customHeight="1" spans="1:9">
      <c r="A51" s="111" t="s">
        <v>7340</v>
      </c>
      <c r="B51" s="111" t="s">
        <v>7341</v>
      </c>
      <c r="C51" s="122" t="s">
        <v>1134</v>
      </c>
      <c r="D51" s="111" t="s">
        <v>7342</v>
      </c>
      <c r="E51" s="111" t="s">
        <v>7343</v>
      </c>
      <c r="F51" s="111" t="s">
        <v>7344</v>
      </c>
      <c r="G51" s="122" t="s">
        <v>1130</v>
      </c>
      <c r="H51" s="122">
        <v>1</v>
      </c>
      <c r="I51" s="111" t="s">
        <v>7345</v>
      </c>
    </row>
    <row r="52" ht="30" customHeight="1" spans="1:9">
      <c r="A52" s="111" t="s">
        <v>7346</v>
      </c>
      <c r="B52" s="111" t="s">
        <v>7347</v>
      </c>
      <c r="C52" s="122" t="s">
        <v>1135</v>
      </c>
      <c r="D52" s="111" t="s">
        <v>7348</v>
      </c>
      <c r="E52" s="111" t="s">
        <v>7349</v>
      </c>
      <c r="F52" s="111" t="s">
        <v>7350</v>
      </c>
      <c r="G52" s="122" t="s">
        <v>1129</v>
      </c>
      <c r="H52" s="122"/>
      <c r="I52" s="111" t="s">
        <v>7</v>
      </c>
    </row>
    <row r="53" ht="45" customHeight="1" spans="1:9">
      <c r="A53" s="111" t="s">
        <v>7351</v>
      </c>
      <c r="B53" s="111" t="s">
        <v>7352</v>
      </c>
      <c r="C53" s="122" t="s">
        <v>1135</v>
      </c>
      <c r="D53" s="111" t="s">
        <v>7353</v>
      </c>
      <c r="E53" s="111" t="s">
        <v>7354</v>
      </c>
      <c r="F53" s="111" t="s">
        <v>7355</v>
      </c>
      <c r="G53" s="122" t="s">
        <v>1129</v>
      </c>
      <c r="H53" s="122"/>
      <c r="I53" s="111" t="s">
        <v>7356</v>
      </c>
    </row>
    <row r="54" ht="30" customHeight="1" spans="1:9">
      <c r="A54" s="111" t="s">
        <v>7357</v>
      </c>
      <c r="B54" s="111" t="s">
        <v>7358</v>
      </c>
      <c r="C54" s="122" t="s">
        <v>1135</v>
      </c>
      <c r="D54" s="111" t="s">
        <v>7359</v>
      </c>
      <c r="E54" s="111" t="s">
        <v>7360</v>
      </c>
      <c r="F54" s="111" t="s">
        <v>7361</v>
      </c>
      <c r="G54" s="122" t="s">
        <v>1129</v>
      </c>
      <c r="H54" s="122"/>
      <c r="I54" s="111" t="s">
        <v>7</v>
      </c>
    </row>
    <row r="55" ht="45" customHeight="1" spans="1:9">
      <c r="A55" s="111" t="s">
        <v>7362</v>
      </c>
      <c r="B55" s="111" t="s">
        <v>7363</v>
      </c>
      <c r="C55" s="122" t="s">
        <v>1134</v>
      </c>
      <c r="D55" s="111" t="s">
        <v>6042</v>
      </c>
      <c r="E55" s="111" t="s">
        <v>7364</v>
      </c>
      <c r="F55" s="111" t="s">
        <v>7365</v>
      </c>
      <c r="G55" s="122" t="s">
        <v>1129</v>
      </c>
      <c r="H55" s="122"/>
      <c r="I55" s="111" t="s">
        <v>7366</v>
      </c>
    </row>
    <row r="56" ht="30" customHeight="1" spans="1:9">
      <c r="A56" s="111" t="s">
        <v>7367</v>
      </c>
      <c r="B56" s="111" t="s">
        <v>7368</v>
      </c>
      <c r="C56" s="122" t="s">
        <v>1133</v>
      </c>
      <c r="D56" s="111" t="s">
        <v>1243</v>
      </c>
      <c r="E56" s="111" t="s">
        <v>7369</v>
      </c>
      <c r="F56" s="111" t="s">
        <v>7370</v>
      </c>
      <c r="G56" s="122" t="s">
        <v>1129</v>
      </c>
      <c r="H56" s="122"/>
      <c r="I56" s="111" t="s">
        <v>7371</v>
      </c>
    </row>
    <row r="57" ht="15.75" spans="1:9">
      <c r="A57" s="109" t="s">
        <v>7372</v>
      </c>
      <c r="B57" s="16"/>
      <c r="C57" s="16"/>
      <c r="D57" s="16"/>
      <c r="E57" s="16"/>
      <c r="F57" s="16"/>
      <c r="G57" s="16"/>
      <c r="H57" s="16"/>
      <c r="I57" s="17"/>
    </row>
    <row r="58" ht="45" customHeight="1" spans="1:9">
      <c r="A58" s="111" t="s">
        <v>7373</v>
      </c>
      <c r="B58" s="111" t="s">
        <v>7374</v>
      </c>
      <c r="C58" s="122" t="s">
        <v>1133</v>
      </c>
      <c r="D58" s="111" t="s">
        <v>7375</v>
      </c>
      <c r="E58" s="111" t="s">
        <v>7376</v>
      </c>
      <c r="F58" s="111" t="s">
        <v>7377</v>
      </c>
      <c r="G58" s="122" t="s">
        <v>1129</v>
      </c>
      <c r="H58" s="122"/>
      <c r="I58" s="111" t="s">
        <v>7</v>
      </c>
    </row>
    <row r="59" ht="75" customHeight="1" spans="1:9">
      <c r="A59" s="111" t="s">
        <v>7378</v>
      </c>
      <c r="B59" s="111" t="s">
        <v>7379</v>
      </c>
      <c r="C59" s="122" t="s">
        <v>1134</v>
      </c>
      <c r="D59" s="111" t="s">
        <v>7380</v>
      </c>
      <c r="E59" s="111" t="s">
        <v>7381</v>
      </c>
      <c r="F59" s="111" t="s">
        <v>7382</v>
      </c>
      <c r="G59" s="122" t="s">
        <v>1129</v>
      </c>
      <c r="H59" s="122"/>
      <c r="I59" s="111" t="s">
        <v>7383</v>
      </c>
    </row>
    <row r="60" ht="60" customHeight="1" spans="1:9">
      <c r="A60" s="111" t="s">
        <v>7384</v>
      </c>
      <c r="B60" s="111" t="s">
        <v>7385</v>
      </c>
      <c r="C60" s="122" t="s">
        <v>1134</v>
      </c>
      <c r="D60" s="111" t="s">
        <v>7386</v>
      </c>
      <c r="E60" s="111" t="s">
        <v>7387</v>
      </c>
      <c r="F60" s="111" t="s">
        <v>7388</v>
      </c>
      <c r="G60" s="122" t="s">
        <v>1129</v>
      </c>
      <c r="H60" s="122"/>
      <c r="I60" s="111" t="s">
        <v>7389</v>
      </c>
    </row>
    <row r="61" ht="75" customHeight="1" spans="1:9">
      <c r="A61" s="111" t="s">
        <v>7390</v>
      </c>
      <c r="B61" s="111" t="s">
        <v>7391</v>
      </c>
      <c r="C61" s="122" t="s">
        <v>1134</v>
      </c>
      <c r="D61" s="111" t="s">
        <v>7392</v>
      </c>
      <c r="E61" s="111" t="s">
        <v>7393</v>
      </c>
      <c r="F61" s="111" t="s">
        <v>7394</v>
      </c>
      <c r="G61" s="122" t="s">
        <v>1129</v>
      </c>
      <c r="H61" s="122"/>
      <c r="I61" s="111" t="s">
        <v>7395</v>
      </c>
    </row>
    <row r="62" ht="90" customHeight="1" spans="1:9">
      <c r="A62" s="111" t="s">
        <v>7396</v>
      </c>
      <c r="B62" s="111" t="s">
        <v>7397</v>
      </c>
      <c r="C62" s="122" t="s">
        <v>1134</v>
      </c>
      <c r="D62" s="111" t="s">
        <v>7398</v>
      </c>
      <c r="E62" s="111" t="s">
        <v>7399</v>
      </c>
      <c r="F62" s="111" t="s">
        <v>7400</v>
      </c>
      <c r="G62" s="122" t="s">
        <v>1129</v>
      </c>
      <c r="H62" s="122"/>
      <c r="I62" s="111" t="s">
        <v>7401</v>
      </c>
    </row>
    <row r="63" ht="285" customHeight="1" spans="1:9">
      <c r="A63" s="111" t="s">
        <v>7402</v>
      </c>
      <c r="B63" s="111" t="s">
        <v>7403</v>
      </c>
      <c r="C63" s="122" t="s">
        <v>1134</v>
      </c>
      <c r="D63" s="111" t="s">
        <v>7404</v>
      </c>
      <c r="E63" s="111" t="s">
        <v>7405</v>
      </c>
      <c r="F63" s="111" t="s">
        <v>7406</v>
      </c>
      <c r="G63" s="122" t="s">
        <v>1130</v>
      </c>
      <c r="H63" s="122">
        <v>1</v>
      </c>
      <c r="I63" s="111" t="s">
        <v>7407</v>
      </c>
    </row>
    <row r="64" ht="30" customHeight="1" spans="1:9">
      <c r="A64" s="111" t="s">
        <v>7408</v>
      </c>
      <c r="B64" s="111" t="s">
        <v>7409</v>
      </c>
      <c r="C64" s="122" t="s">
        <v>1135</v>
      </c>
      <c r="D64" s="111" t="s">
        <v>7410</v>
      </c>
      <c r="E64" s="111" t="s">
        <v>7411</v>
      </c>
      <c r="F64" s="111" t="s">
        <v>7412</v>
      </c>
      <c r="G64" s="122" t="s">
        <v>1129</v>
      </c>
      <c r="H64" s="122"/>
      <c r="I64" s="111" t="s">
        <v>7413</v>
      </c>
    </row>
    <row r="65" ht="45" customHeight="1" spans="1:9">
      <c r="A65" s="111" t="s">
        <v>7414</v>
      </c>
      <c r="B65" s="111" t="s">
        <v>7415</v>
      </c>
      <c r="C65" s="122" t="s">
        <v>1135</v>
      </c>
      <c r="D65" s="111" t="s">
        <v>7416</v>
      </c>
      <c r="E65" s="111" t="s">
        <v>7417</v>
      </c>
      <c r="F65" s="111" t="s">
        <v>7418</v>
      </c>
      <c r="G65" s="122" t="s">
        <v>1129</v>
      </c>
      <c r="H65" s="122"/>
      <c r="I65" s="111" t="s">
        <v>7419</v>
      </c>
    </row>
  </sheetData>
  <mergeCells count="14">
    <mergeCell ref="A1:C1"/>
    <mergeCell ref="A3:C3"/>
    <mergeCell ref="A8:N8"/>
    <mergeCell ref="A29:I29"/>
    <mergeCell ref="A30:I30"/>
    <mergeCell ref="A31:I31"/>
    <mergeCell ref="A32:I32"/>
    <mergeCell ref="A33:I33"/>
    <mergeCell ref="A34:I34"/>
    <mergeCell ref="A35:I35"/>
    <mergeCell ref="A36:I36"/>
    <mergeCell ref="A37:I37"/>
    <mergeCell ref="A42:I42"/>
    <mergeCell ref="A57:I57"/>
  </mergeCells>
  <conditionalFormatting sqref="G42:G65">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4"/>
  <sheetViews>
    <sheetView workbookViewId="0">
      <selection activeCell="A1" sqref="A1:E1"/>
    </sheetView>
  </sheetViews>
  <sheetFormatPr defaultColWidth="9" defaultRowHeight="15"/>
  <cols>
    <col min="1" max="1" width="18" customWidth="1"/>
    <col min="2" max="2" width="24" customWidth="1"/>
    <col min="3" max="3" width="34" customWidth="1"/>
    <col min="4" max="4" width="18" customWidth="1"/>
    <col min="5" max="5" width="10" customWidth="1"/>
    <col min="6" max="6" width="34" customWidth="1"/>
    <col min="7" max="7" width="26" customWidth="1"/>
    <col min="8" max="8" width="30" customWidth="1"/>
    <col min="9" max="9" width="36" customWidth="1"/>
    <col min="10" max="10" width="10" customWidth="1"/>
    <col min="11" max="11" width="30" customWidth="1"/>
    <col min="12" max="12" width="9.14285714285714" customWidth="1"/>
  </cols>
  <sheetData>
    <row r="1" ht="20.25" spans="1:5">
      <c r="A1" s="74" t="s">
        <v>1295</v>
      </c>
    </row>
    <row r="2" spans="1:5">
      <c r="A2" s="75" t="s">
        <v>7420</v>
      </c>
      <c r="B2" s="16"/>
      <c r="C2" s="16"/>
      <c r="D2" s="16"/>
      <c r="E2" s="17"/>
    </row>
    <row r="3" ht="30" customHeight="1" spans="1:5">
      <c r="A3" s="76" t="s">
        <v>1297</v>
      </c>
      <c r="B3" s="17"/>
      <c r="C3" s="77" t="s">
        <v>7421</v>
      </c>
      <c r="D3" s="16"/>
      <c r="E3" s="17"/>
    </row>
    <row r="4" ht="30" customHeight="1" spans="1:5">
      <c r="A4" s="76" t="s">
        <v>1299</v>
      </c>
      <c r="B4" s="17"/>
      <c r="C4" s="77" t="s">
        <v>2193</v>
      </c>
      <c r="D4" s="16"/>
      <c r="E4" s="17"/>
    </row>
    <row r="5" ht="45" customHeight="1" spans="1:5">
      <c r="A5" s="76" t="s">
        <v>1301</v>
      </c>
      <c r="B5" s="17"/>
      <c r="C5" s="77" t="s">
        <v>7422</v>
      </c>
      <c r="D5" s="16"/>
      <c r="E5" s="17"/>
    </row>
    <row r="6" customHeight="1" spans="1:5">
      <c r="A6" s="76" t="s">
        <v>1303</v>
      </c>
      <c r="B6" s="17"/>
      <c r="C6" s="78" t="s">
        <v>2195</v>
      </c>
      <c r="D6" s="16"/>
      <c r="E6" s="17"/>
    </row>
    <row r="7" ht="30" customHeight="1" spans="1:5">
      <c r="A7" s="76" t="s">
        <v>1305</v>
      </c>
      <c r="B7" s="17"/>
      <c r="C7" s="77" t="s">
        <v>7423</v>
      </c>
      <c r="D7" s="16"/>
      <c r="E7" s="17"/>
    </row>
    <row r="8" ht="150" customHeight="1" spans="1:5">
      <c r="A8" s="76" t="s">
        <v>1307</v>
      </c>
      <c r="B8" s="17"/>
      <c r="C8" s="77" t="s">
        <v>7424</v>
      </c>
      <c r="D8" s="16"/>
      <c r="E8" s="17"/>
    </row>
    <row r="10" ht="16.5" spans="1:5">
      <c r="A10" s="79" t="s">
        <v>1309</v>
      </c>
    </row>
    <row r="11" spans="1:5">
      <c r="A11" s="80" t="s">
        <v>1310</v>
      </c>
    </row>
    <row r="12" spans="1:5">
      <c r="A12" s="81" t="s">
        <v>211</v>
      </c>
      <c r="B12" s="81" t="s">
        <v>1311</v>
      </c>
      <c r="C12" s="81" t="s">
        <v>1312</v>
      </c>
      <c r="D12" s="82"/>
      <c r="E12" s="81" t="s">
        <v>430</v>
      </c>
    </row>
    <row r="13" ht="60" customHeight="1" spans="1:5">
      <c r="A13" s="83">
        <v>1</v>
      </c>
      <c r="B13" s="84" t="s">
        <v>7425</v>
      </c>
      <c r="C13" s="85" t="s">
        <v>7426</v>
      </c>
      <c r="D13" s="17"/>
      <c r="E13" s="85" t="s">
        <v>7427</v>
      </c>
    </row>
    <row r="14" ht="45" customHeight="1" spans="1:5">
      <c r="A14" s="83">
        <v>2</v>
      </c>
      <c r="B14" s="84" t="s">
        <v>7428</v>
      </c>
      <c r="C14" s="85" t="s">
        <v>7429</v>
      </c>
      <c r="D14" s="17"/>
      <c r="E14" s="85" t="s">
        <v>7430</v>
      </c>
    </row>
    <row r="15" ht="45" customHeight="1" spans="1:5">
      <c r="A15" s="83">
        <v>3</v>
      </c>
      <c r="B15" s="84" t="s">
        <v>7431</v>
      </c>
      <c r="C15" s="84" t="s">
        <v>7432</v>
      </c>
      <c r="D15" s="17"/>
      <c r="E15" s="85" t="s">
        <v>7433</v>
      </c>
    </row>
    <row r="16" ht="30" customHeight="1" spans="1:5">
      <c r="A16" s="83">
        <v>4</v>
      </c>
      <c r="B16" s="84" t="s">
        <v>7434</v>
      </c>
      <c r="C16" s="85" t="s">
        <v>7435</v>
      </c>
      <c r="D16" s="17"/>
      <c r="E16" s="85" t="s">
        <v>7436</v>
      </c>
    </row>
    <row r="17" ht="60" customHeight="1" spans="1:5">
      <c r="A17" s="83">
        <v>5</v>
      </c>
      <c r="B17" s="84" t="s">
        <v>7437</v>
      </c>
      <c r="C17" s="85" t="s">
        <v>7438</v>
      </c>
      <c r="D17" s="17"/>
      <c r="E17" s="85" t="s">
        <v>7439</v>
      </c>
    </row>
    <row r="18" ht="30" customHeight="1" spans="1:5">
      <c r="A18" s="83">
        <v>6</v>
      </c>
      <c r="B18" s="85" t="s">
        <v>7440</v>
      </c>
      <c r="C18" s="85" t="s">
        <v>7441</v>
      </c>
      <c r="D18" s="17"/>
      <c r="E18" s="85" t="s">
        <v>7442</v>
      </c>
    </row>
    <row r="19" ht="45" customHeight="1" spans="1:5">
      <c r="A19" s="83">
        <v>7</v>
      </c>
      <c r="B19" s="85" t="s">
        <v>7443</v>
      </c>
      <c r="C19" s="85" t="s">
        <v>7444</v>
      </c>
      <c r="D19" s="17"/>
      <c r="E19" s="85" t="s">
        <v>7445</v>
      </c>
    </row>
    <row r="21" spans="1:5">
      <c r="A21" s="86" t="s">
        <v>1328</v>
      </c>
      <c r="B21" s="16"/>
      <c r="C21" s="16"/>
      <c r="D21" s="16"/>
      <c r="E21" s="17"/>
    </row>
    <row r="22" ht="60" customHeight="1" spans="1:5">
      <c r="A22" s="87">
        <v>1</v>
      </c>
      <c r="B22" s="88" t="s">
        <v>7446</v>
      </c>
      <c r="C22" s="89" t="s">
        <v>7447</v>
      </c>
      <c r="D22" s="16"/>
      <c r="E22" s="17"/>
    </row>
    <row r="23" ht="45" customHeight="1" spans="1:5">
      <c r="A23" s="87">
        <v>2</v>
      </c>
      <c r="B23" s="88" t="s">
        <v>7448</v>
      </c>
      <c r="C23" s="89" t="s">
        <v>7449</v>
      </c>
      <c r="D23" s="16"/>
      <c r="E23" s="17"/>
    </row>
    <row r="24" ht="45" customHeight="1" spans="1:5">
      <c r="A24" s="87">
        <v>3</v>
      </c>
      <c r="B24" s="88" t="s">
        <v>7450</v>
      </c>
      <c r="C24" s="89" t="s">
        <v>7451</v>
      </c>
      <c r="D24" s="16"/>
      <c r="E24" s="17"/>
    </row>
    <row r="26" spans="1:5">
      <c r="A26" s="90" t="s">
        <v>1335</v>
      </c>
      <c r="B26" s="16"/>
      <c r="C26" s="16"/>
      <c r="D26" s="16"/>
      <c r="E26" s="17"/>
    </row>
    <row r="27" spans="1:5">
      <c r="A27" s="81" t="s">
        <v>211</v>
      </c>
      <c r="B27" s="81" t="s">
        <v>1311</v>
      </c>
      <c r="C27" s="81" t="s">
        <v>1336</v>
      </c>
      <c r="D27" s="91"/>
      <c r="E27" s="82"/>
    </row>
    <row r="28" ht="45" customHeight="1" spans="1:5">
      <c r="A28" s="87">
        <v>1</v>
      </c>
      <c r="B28" s="88" t="s">
        <v>7452</v>
      </c>
      <c r="C28" s="89" t="s">
        <v>7453</v>
      </c>
      <c r="D28" s="16"/>
      <c r="E28" s="17"/>
    </row>
    <row r="29" ht="30" customHeight="1" spans="1:5">
      <c r="A29" s="87">
        <v>2</v>
      </c>
      <c r="B29" s="88" t="s">
        <v>7454</v>
      </c>
      <c r="C29" s="89" t="s">
        <v>7455</v>
      </c>
      <c r="D29" s="16"/>
      <c r="E29" s="17"/>
    </row>
    <row r="30" ht="30" customHeight="1" spans="1:5">
      <c r="A30" s="87">
        <v>3</v>
      </c>
      <c r="B30" s="88" t="s">
        <v>1341</v>
      </c>
      <c r="C30" s="89" t="s">
        <v>7456</v>
      </c>
      <c r="D30" s="16"/>
      <c r="E30" s="17"/>
    </row>
    <row r="31" ht="60" customHeight="1" spans="1:5">
      <c r="A31" s="87">
        <v>4</v>
      </c>
      <c r="B31" s="88" t="s">
        <v>7457</v>
      </c>
      <c r="C31" s="89" t="s">
        <v>7458</v>
      </c>
      <c r="D31" s="16"/>
      <c r="E31" s="17"/>
    </row>
    <row r="32" ht="60" customHeight="1" spans="1:5">
      <c r="A32" s="87">
        <v>5</v>
      </c>
      <c r="B32" s="88" t="s">
        <v>7459</v>
      </c>
      <c r="C32" s="89" t="s">
        <v>7460</v>
      </c>
      <c r="D32" s="16"/>
      <c r="E32" s="17"/>
    </row>
    <row r="34" spans="1:5">
      <c r="A34" s="86" t="s">
        <v>1349</v>
      </c>
      <c r="B34" s="16"/>
      <c r="C34" s="16"/>
      <c r="D34" s="16"/>
      <c r="E34" s="17"/>
    </row>
    <row r="35" ht="25.5" spans="1:5">
      <c r="A35" s="81" t="s">
        <v>1350</v>
      </c>
      <c r="B35" s="81" t="s">
        <v>1351</v>
      </c>
      <c r="C35" s="81" t="s">
        <v>1352</v>
      </c>
      <c r="D35" s="81" t="s">
        <v>1353</v>
      </c>
      <c r="E35" s="81" t="s">
        <v>1354</v>
      </c>
    </row>
    <row r="36" ht="25.5" spans="1:5">
      <c r="A36" s="85" t="s">
        <v>7461</v>
      </c>
      <c r="B36" s="85" t="s">
        <v>7462</v>
      </c>
      <c r="C36" s="92">
        <v>0.989</v>
      </c>
      <c r="D36" s="92">
        <v>0.923</v>
      </c>
      <c r="E36" s="93" t="s">
        <v>7463</v>
      </c>
    </row>
    <row r="37" ht="25.5" spans="1:5">
      <c r="A37" s="85" t="s">
        <v>7464</v>
      </c>
      <c r="B37" s="85" t="s">
        <v>7462</v>
      </c>
      <c r="C37" s="92">
        <v>1</v>
      </c>
      <c r="D37" s="92">
        <v>1</v>
      </c>
      <c r="E37" s="93" t="s">
        <v>7465</v>
      </c>
    </row>
    <row r="38" ht="25.5" spans="1:5">
      <c r="A38" s="85" t="s">
        <v>7466</v>
      </c>
      <c r="B38" s="85" t="s">
        <v>7467</v>
      </c>
      <c r="C38" s="92">
        <v>1</v>
      </c>
      <c r="D38" s="92">
        <v>0.875</v>
      </c>
      <c r="E38" s="93" t="s">
        <v>7468</v>
      </c>
    </row>
    <row r="39" ht="25.5" spans="1:5">
      <c r="A39" s="85" t="s">
        <v>7469</v>
      </c>
      <c r="B39" s="85" t="s">
        <v>7467</v>
      </c>
      <c r="C39" s="92">
        <v>0.775</v>
      </c>
      <c r="D39" s="92">
        <v>0.654</v>
      </c>
      <c r="E39" s="93" t="s">
        <v>7470</v>
      </c>
    </row>
    <row r="40" ht="30" spans="1:5">
      <c r="A40" s="80" t="s">
        <v>1365</v>
      </c>
      <c r="B40" s="80" t="s">
        <v>7</v>
      </c>
      <c r="C40" s="94">
        <v>0.954</v>
      </c>
      <c r="D40" s="94">
        <v>0.807</v>
      </c>
      <c r="E40" s="80" t="s">
        <v>7</v>
      </c>
    </row>
    <row r="41" ht="45" customHeight="1" spans="1:5">
      <c r="A41" s="95" t="s">
        <v>7471</v>
      </c>
      <c r="B41" s="16"/>
      <c r="C41" s="16"/>
      <c r="D41" s="16"/>
      <c r="E41" s="17"/>
    </row>
    <row r="43" spans="1:5">
      <c r="A43" s="80" t="s">
        <v>7472</v>
      </c>
    </row>
    <row r="44" ht="25.5" spans="1:5">
      <c r="A44" s="81" t="s">
        <v>1350</v>
      </c>
      <c r="B44" s="81" t="s">
        <v>1351</v>
      </c>
      <c r="C44" s="81" t="s">
        <v>1352</v>
      </c>
      <c r="D44" s="81" t="s">
        <v>1353</v>
      </c>
      <c r="E44" s="81" t="s">
        <v>1354</v>
      </c>
    </row>
    <row r="45" ht="25.5" spans="1:5">
      <c r="A45" s="85" t="s">
        <v>7473</v>
      </c>
      <c r="B45" s="85" t="s">
        <v>7474</v>
      </c>
      <c r="C45" s="92">
        <v>0.876</v>
      </c>
      <c r="D45" s="92">
        <v>0.861</v>
      </c>
      <c r="E45" s="93" t="s">
        <v>7475</v>
      </c>
    </row>
    <row r="46" ht="25.5" spans="1:5">
      <c r="A46" s="85" t="s">
        <v>7476</v>
      </c>
      <c r="B46" s="85" t="s">
        <v>7474</v>
      </c>
      <c r="C46" s="92">
        <v>0.986</v>
      </c>
      <c r="D46" s="92">
        <v>0.85</v>
      </c>
      <c r="E46" s="93" t="s">
        <v>7477</v>
      </c>
    </row>
    <row r="47" ht="25.5" spans="1:5">
      <c r="A47" s="85" t="s">
        <v>7478</v>
      </c>
      <c r="B47" s="85" t="s">
        <v>7474</v>
      </c>
      <c r="C47" s="92">
        <v>0.844</v>
      </c>
      <c r="D47" s="92">
        <v>0.708</v>
      </c>
      <c r="E47" s="93" t="s">
        <v>7479</v>
      </c>
    </row>
    <row r="48" ht="25.5" spans="1:5">
      <c r="A48" s="85" t="s">
        <v>7480</v>
      </c>
      <c r="B48" s="85" t="s">
        <v>7474</v>
      </c>
      <c r="C48" s="92">
        <v>0.615</v>
      </c>
      <c r="D48" s="92">
        <v>0.556</v>
      </c>
      <c r="E48" s="93" t="s">
        <v>7481</v>
      </c>
    </row>
    <row r="49" ht="25.5" spans="1:11">
      <c r="A49" s="85" t="s">
        <v>7482</v>
      </c>
      <c r="B49" s="85" t="s">
        <v>7474</v>
      </c>
      <c r="C49" s="92">
        <v>1</v>
      </c>
      <c r="D49" s="92">
        <v>1</v>
      </c>
      <c r="E49" s="93" t="s">
        <v>1357</v>
      </c>
    </row>
    <row r="50" ht="25.5" spans="1:11">
      <c r="A50" s="85" t="s">
        <v>7483</v>
      </c>
      <c r="B50" s="85" t="s">
        <v>7474</v>
      </c>
      <c r="C50" s="92">
        <v>0.833</v>
      </c>
      <c r="D50" s="92">
        <v>0.5</v>
      </c>
      <c r="E50" s="93" t="s">
        <v>7484</v>
      </c>
    </row>
    <row r="51" ht="25.5" spans="1:11">
      <c r="A51" s="85" t="s">
        <v>7485</v>
      </c>
      <c r="B51" s="85" t="s">
        <v>7474</v>
      </c>
      <c r="C51" s="92">
        <v>0.531</v>
      </c>
      <c r="D51" s="92">
        <v>0.5</v>
      </c>
      <c r="E51" s="93" t="s">
        <v>7486</v>
      </c>
    </row>
    <row r="52" ht="30" spans="1:11">
      <c r="A52" s="80" t="s">
        <v>1365</v>
      </c>
      <c r="B52" s="80" t="s">
        <v>7</v>
      </c>
      <c r="C52" s="94">
        <v>0.761</v>
      </c>
      <c r="D52" s="94">
        <v>0.703</v>
      </c>
      <c r="E52" s="80" t="s">
        <v>7</v>
      </c>
    </row>
    <row r="53" ht="45" customHeight="1" spans="1:11">
      <c r="A53" s="95" t="s">
        <v>7487</v>
      </c>
      <c r="B53" s="16"/>
      <c r="C53" s="16"/>
      <c r="D53" s="16"/>
      <c r="E53" s="17"/>
    </row>
    <row r="55" ht="30" customHeight="1" spans="1:11">
      <c r="A55" s="95" t="s">
        <v>7488</v>
      </c>
      <c r="B55" s="16"/>
      <c r="C55" s="16"/>
      <c r="D55" s="16"/>
      <c r="E55" s="17"/>
    </row>
    <row r="58" spans="1:11">
      <c r="A58" s="96" t="s">
        <v>1367</v>
      </c>
      <c r="B58" s="91"/>
      <c r="C58" s="91"/>
      <c r="D58" s="91"/>
      <c r="E58" s="91"/>
      <c r="F58" s="91"/>
      <c r="G58" s="91"/>
      <c r="H58" s="91"/>
      <c r="I58" s="91"/>
      <c r="J58" s="91"/>
      <c r="K58" s="82"/>
    </row>
    <row r="59" ht="33" spans="1:11">
      <c r="A59" s="97" t="s">
        <v>1368</v>
      </c>
      <c r="B59" s="97" t="s">
        <v>1369</v>
      </c>
      <c r="C59" s="97" t="s">
        <v>1370</v>
      </c>
      <c r="D59" s="97" t="s">
        <v>1371</v>
      </c>
      <c r="E59" s="97" t="s">
        <v>1372</v>
      </c>
      <c r="F59" s="97" t="s">
        <v>1373</v>
      </c>
      <c r="G59" s="97" t="s">
        <v>1374</v>
      </c>
      <c r="H59" s="97" t="s">
        <v>1375</v>
      </c>
      <c r="I59" s="97" t="s">
        <v>1376</v>
      </c>
      <c r="J59" s="97" t="s">
        <v>1377</v>
      </c>
      <c r="K59" s="97" t="s">
        <v>1378</v>
      </c>
    </row>
    <row r="60" spans="1:11">
      <c r="A60" s="98" t="s">
        <v>7425</v>
      </c>
      <c r="B60" s="99"/>
      <c r="C60" s="99"/>
      <c r="D60" s="99"/>
      <c r="E60" s="99"/>
      <c r="F60" s="99"/>
      <c r="G60" s="99"/>
      <c r="H60" s="99"/>
      <c r="I60" s="99"/>
      <c r="J60" s="99"/>
      <c r="K60" s="100"/>
    </row>
    <row r="61" ht="45" customHeight="1" spans="1:11">
      <c r="A61" s="101" t="s">
        <v>7489</v>
      </c>
      <c r="B61" s="101" t="s">
        <v>7425</v>
      </c>
      <c r="C61" s="101" t="s">
        <v>7490</v>
      </c>
      <c r="D61" s="101" t="s">
        <v>7491</v>
      </c>
      <c r="E61" s="102" t="s">
        <v>7</v>
      </c>
      <c r="F61" s="101" t="s">
        <v>7492</v>
      </c>
      <c r="G61" s="101" t="s">
        <v>7493</v>
      </c>
      <c r="H61" s="101" t="s">
        <v>7494</v>
      </c>
      <c r="I61" s="101" t="s">
        <v>7495</v>
      </c>
      <c r="J61" s="102" t="s">
        <v>1385</v>
      </c>
      <c r="K61" s="101" t="s">
        <v>7496</v>
      </c>
    </row>
    <row r="62" ht="45" customHeight="1" spans="1:11">
      <c r="A62" s="101" t="s">
        <v>7497</v>
      </c>
      <c r="B62" s="101" t="s">
        <v>7425</v>
      </c>
      <c r="C62" s="101" t="s">
        <v>7490</v>
      </c>
      <c r="D62" s="101" t="s">
        <v>7498</v>
      </c>
      <c r="E62" s="102" t="s">
        <v>7</v>
      </c>
      <c r="F62" s="101" t="s">
        <v>7499</v>
      </c>
      <c r="G62" s="101" t="s">
        <v>7500</v>
      </c>
      <c r="H62" s="101" t="s">
        <v>7501</v>
      </c>
      <c r="I62" s="101" t="s">
        <v>7502</v>
      </c>
      <c r="J62" s="102" t="s">
        <v>1385</v>
      </c>
      <c r="K62" s="101" t="s">
        <v>7496</v>
      </c>
    </row>
    <row r="63" ht="45" customHeight="1" spans="1:11">
      <c r="A63" s="101" t="s">
        <v>7503</v>
      </c>
      <c r="B63" s="101" t="s">
        <v>7425</v>
      </c>
      <c r="C63" s="101" t="s">
        <v>7490</v>
      </c>
      <c r="D63" s="101" t="s">
        <v>7504</v>
      </c>
      <c r="E63" s="102" t="s">
        <v>7</v>
      </c>
      <c r="F63" s="101" t="s">
        <v>7505</v>
      </c>
      <c r="G63" s="101" t="s">
        <v>7506</v>
      </c>
      <c r="H63" s="101" t="s">
        <v>7507</v>
      </c>
      <c r="I63" s="101" t="s">
        <v>7508</v>
      </c>
      <c r="J63" s="102" t="s">
        <v>1385</v>
      </c>
      <c r="K63" s="101" t="s">
        <v>7496</v>
      </c>
    </row>
    <row r="64" ht="75" customHeight="1" spans="1:11">
      <c r="A64" s="101" t="s">
        <v>7509</v>
      </c>
      <c r="B64" s="101" t="s">
        <v>7425</v>
      </c>
      <c r="C64" s="101" t="s">
        <v>7510</v>
      </c>
      <c r="D64" s="101" t="s">
        <v>7491</v>
      </c>
      <c r="E64" s="102" t="s">
        <v>7</v>
      </c>
      <c r="F64" s="101" t="s">
        <v>7511</v>
      </c>
      <c r="G64" s="101" t="s">
        <v>7512</v>
      </c>
      <c r="H64" s="101" t="s">
        <v>7513</v>
      </c>
      <c r="I64" s="101" t="s">
        <v>7514</v>
      </c>
      <c r="J64" s="102" t="s">
        <v>1385</v>
      </c>
      <c r="K64" s="101" t="s">
        <v>7515</v>
      </c>
    </row>
    <row r="65" ht="75" customHeight="1" spans="1:11">
      <c r="A65" s="101" t="s">
        <v>7516</v>
      </c>
      <c r="B65" s="101" t="s">
        <v>7425</v>
      </c>
      <c r="C65" s="101" t="s">
        <v>7510</v>
      </c>
      <c r="D65" s="101" t="s">
        <v>7491</v>
      </c>
      <c r="E65" s="102" t="s">
        <v>7</v>
      </c>
      <c r="F65" s="101" t="s">
        <v>7517</v>
      </c>
      <c r="G65" s="101" t="s">
        <v>7500</v>
      </c>
      <c r="H65" s="101" t="s">
        <v>7513</v>
      </c>
      <c r="I65" s="101" t="s">
        <v>7518</v>
      </c>
      <c r="J65" s="102" t="s">
        <v>1385</v>
      </c>
      <c r="K65" s="101" t="s">
        <v>7515</v>
      </c>
    </row>
    <row r="66" ht="60" customHeight="1" spans="1:11">
      <c r="A66" s="101" t="s">
        <v>7519</v>
      </c>
      <c r="B66" s="101" t="s">
        <v>7425</v>
      </c>
      <c r="C66" s="101" t="s">
        <v>7490</v>
      </c>
      <c r="D66" s="101" t="s">
        <v>7520</v>
      </c>
      <c r="E66" s="102" t="s">
        <v>7</v>
      </c>
      <c r="F66" s="101" t="s">
        <v>7521</v>
      </c>
      <c r="G66" s="101" t="s">
        <v>7522</v>
      </c>
      <c r="H66" s="101" t="s">
        <v>7523</v>
      </c>
      <c r="I66" s="101" t="s">
        <v>7524</v>
      </c>
      <c r="J66" s="102" t="s">
        <v>1385</v>
      </c>
      <c r="K66" s="101" t="s">
        <v>7496</v>
      </c>
    </row>
    <row r="67" ht="45" customHeight="1" spans="1:11">
      <c r="A67" s="101" t="s">
        <v>7525</v>
      </c>
      <c r="B67" s="101" t="s">
        <v>7425</v>
      </c>
      <c r="C67" s="101" t="s">
        <v>7490</v>
      </c>
      <c r="D67" s="101" t="s">
        <v>7526</v>
      </c>
      <c r="E67" s="102" t="s">
        <v>7</v>
      </c>
      <c r="F67" s="101" t="s">
        <v>7527</v>
      </c>
      <c r="G67" s="101" t="s">
        <v>7528</v>
      </c>
      <c r="H67" s="101" t="s">
        <v>7523</v>
      </c>
      <c r="I67" s="101" t="s">
        <v>7529</v>
      </c>
      <c r="J67" s="102" t="s">
        <v>1385</v>
      </c>
      <c r="K67" s="101" t="s">
        <v>7496</v>
      </c>
    </row>
    <row r="68" ht="45" customHeight="1" spans="1:11">
      <c r="A68" s="101" t="s">
        <v>7530</v>
      </c>
      <c r="B68" s="101" t="s">
        <v>7425</v>
      </c>
      <c r="C68" s="101" t="s">
        <v>7490</v>
      </c>
      <c r="D68" s="101" t="s">
        <v>7531</v>
      </c>
      <c r="E68" s="102" t="s">
        <v>7</v>
      </c>
      <c r="F68" s="101" t="s">
        <v>7532</v>
      </c>
      <c r="G68" s="101" t="s">
        <v>7533</v>
      </c>
      <c r="H68" s="101" t="s">
        <v>7534</v>
      </c>
      <c r="I68" s="101" t="s">
        <v>7535</v>
      </c>
      <c r="J68" s="102" t="s">
        <v>1385</v>
      </c>
      <c r="K68" s="101" t="s">
        <v>7496</v>
      </c>
    </row>
    <row r="69" ht="45" customHeight="1" spans="1:11">
      <c r="A69" s="101" t="s">
        <v>7536</v>
      </c>
      <c r="B69" s="101" t="s">
        <v>7425</v>
      </c>
      <c r="C69" s="101" t="s">
        <v>7490</v>
      </c>
      <c r="D69" s="101" t="s">
        <v>7531</v>
      </c>
      <c r="E69" s="102" t="s">
        <v>7</v>
      </c>
      <c r="F69" s="101" t="s">
        <v>7537</v>
      </c>
      <c r="G69" s="101" t="s">
        <v>7538</v>
      </c>
      <c r="H69" s="101" t="s">
        <v>7523</v>
      </c>
      <c r="I69" s="101" t="s">
        <v>7539</v>
      </c>
      <c r="J69" s="102" t="s">
        <v>1385</v>
      </c>
      <c r="K69" s="101" t="s">
        <v>7496</v>
      </c>
    </row>
    <row r="70" ht="45" customHeight="1" spans="1:11">
      <c r="A70" s="101" t="s">
        <v>7540</v>
      </c>
      <c r="B70" s="101" t="s">
        <v>7425</v>
      </c>
      <c r="C70" s="101" t="s">
        <v>7490</v>
      </c>
      <c r="D70" s="101" t="s">
        <v>7541</v>
      </c>
      <c r="E70" s="102" t="s">
        <v>7</v>
      </c>
      <c r="F70" s="101" t="s">
        <v>7542</v>
      </c>
      <c r="G70" s="101" t="s">
        <v>7543</v>
      </c>
      <c r="H70" s="101" t="s">
        <v>7544</v>
      </c>
      <c r="I70" s="101" t="s">
        <v>7545</v>
      </c>
      <c r="J70" s="102" t="s">
        <v>1385</v>
      </c>
      <c r="K70" s="101" t="s">
        <v>7496</v>
      </c>
    </row>
    <row r="71" ht="75" customHeight="1" spans="1:11">
      <c r="A71" s="101" t="s">
        <v>7546</v>
      </c>
      <c r="B71" s="101" t="s">
        <v>7425</v>
      </c>
      <c r="C71" s="101" t="s">
        <v>7510</v>
      </c>
      <c r="D71" s="101" t="s">
        <v>7526</v>
      </c>
      <c r="E71" s="102" t="s">
        <v>7</v>
      </c>
      <c r="F71" s="101" t="s">
        <v>7547</v>
      </c>
      <c r="G71" s="101" t="s">
        <v>7548</v>
      </c>
      <c r="H71" s="101" t="s">
        <v>7549</v>
      </c>
      <c r="I71" s="101" t="s">
        <v>7550</v>
      </c>
      <c r="J71" s="102" t="s">
        <v>1385</v>
      </c>
      <c r="K71" s="101" t="s">
        <v>7515</v>
      </c>
    </row>
    <row r="72" ht="75" customHeight="1" spans="1:11">
      <c r="A72" s="101" t="s">
        <v>7551</v>
      </c>
      <c r="B72" s="101" t="s">
        <v>7425</v>
      </c>
      <c r="C72" s="101" t="s">
        <v>7510</v>
      </c>
      <c r="D72" s="101" t="s">
        <v>7552</v>
      </c>
      <c r="E72" s="102" t="s">
        <v>7</v>
      </c>
      <c r="F72" s="101" t="s">
        <v>7553</v>
      </c>
      <c r="G72" s="101" t="s">
        <v>7554</v>
      </c>
      <c r="H72" s="101" t="s">
        <v>7555</v>
      </c>
      <c r="I72" s="101" t="s">
        <v>7556</v>
      </c>
      <c r="J72" s="102" t="s">
        <v>1385</v>
      </c>
      <c r="K72" s="101" t="s">
        <v>7515</v>
      </c>
    </row>
    <row r="73" ht="60" customHeight="1" spans="1:11">
      <c r="A73" s="101" t="s">
        <v>7557</v>
      </c>
      <c r="B73" s="101" t="s">
        <v>7425</v>
      </c>
      <c r="C73" s="101" t="s">
        <v>7490</v>
      </c>
      <c r="D73" s="101" t="s">
        <v>7558</v>
      </c>
      <c r="E73" s="102" t="s">
        <v>7</v>
      </c>
      <c r="F73" s="101" t="s">
        <v>7559</v>
      </c>
      <c r="G73" s="101" t="s">
        <v>7560</v>
      </c>
      <c r="H73" s="101" t="s">
        <v>7561</v>
      </c>
      <c r="I73" s="101" t="s">
        <v>7562</v>
      </c>
      <c r="J73" s="102" t="s">
        <v>1385</v>
      </c>
      <c r="K73" s="101" t="s">
        <v>7496</v>
      </c>
    </row>
    <row r="74" ht="45" customHeight="1" spans="1:11">
      <c r="A74" s="101" t="s">
        <v>7563</v>
      </c>
      <c r="B74" s="101" t="s">
        <v>7425</v>
      </c>
      <c r="C74" s="101" t="s">
        <v>7490</v>
      </c>
      <c r="D74" s="101" t="s">
        <v>7558</v>
      </c>
      <c r="E74" s="102" t="s">
        <v>7</v>
      </c>
      <c r="F74" s="101" t="s">
        <v>7564</v>
      </c>
      <c r="G74" s="101" t="s">
        <v>7565</v>
      </c>
      <c r="H74" s="101" t="s">
        <v>7566</v>
      </c>
      <c r="I74" s="101" t="s">
        <v>7567</v>
      </c>
      <c r="J74" s="102" t="s">
        <v>1385</v>
      </c>
      <c r="K74" s="101" t="s">
        <v>7496</v>
      </c>
    </row>
    <row r="75" ht="45" customHeight="1" spans="1:11">
      <c r="A75" s="101" t="s">
        <v>7568</v>
      </c>
      <c r="B75" s="101" t="s">
        <v>7425</v>
      </c>
      <c r="C75" s="101" t="s">
        <v>7490</v>
      </c>
      <c r="D75" s="101" t="s">
        <v>7558</v>
      </c>
      <c r="E75" s="102" t="s">
        <v>7</v>
      </c>
      <c r="F75" s="101" t="s">
        <v>7569</v>
      </c>
      <c r="G75" s="101" t="s">
        <v>7570</v>
      </c>
      <c r="H75" s="101" t="s">
        <v>7571</v>
      </c>
      <c r="I75" s="101" t="s">
        <v>7572</v>
      </c>
      <c r="J75" s="102" t="s">
        <v>1385</v>
      </c>
      <c r="K75" s="101" t="s">
        <v>7496</v>
      </c>
    </row>
    <row r="76" ht="45" customHeight="1" spans="1:11">
      <c r="A76" s="101" t="s">
        <v>7573</v>
      </c>
      <c r="B76" s="101" t="s">
        <v>7425</v>
      </c>
      <c r="C76" s="101" t="s">
        <v>7574</v>
      </c>
      <c r="D76" s="101" t="s">
        <v>7558</v>
      </c>
      <c r="E76" s="102" t="s">
        <v>7</v>
      </c>
      <c r="F76" s="101" t="s">
        <v>7575</v>
      </c>
      <c r="G76" s="101" t="s">
        <v>7576</v>
      </c>
      <c r="H76" s="101" t="s">
        <v>7577</v>
      </c>
      <c r="I76" s="101" t="s">
        <v>7578</v>
      </c>
      <c r="J76" s="102" t="s">
        <v>1508</v>
      </c>
      <c r="K76" s="101" t="s">
        <v>7496</v>
      </c>
    </row>
    <row r="77" ht="75" customHeight="1" spans="1:11">
      <c r="A77" s="101" t="s">
        <v>7579</v>
      </c>
      <c r="B77" s="101" t="s">
        <v>7425</v>
      </c>
      <c r="C77" s="101" t="s">
        <v>7510</v>
      </c>
      <c r="D77" s="101" t="s">
        <v>7558</v>
      </c>
      <c r="E77" s="102" t="s">
        <v>7</v>
      </c>
      <c r="F77" s="101" t="s">
        <v>7580</v>
      </c>
      <c r="G77" s="101" t="s">
        <v>7581</v>
      </c>
      <c r="H77" s="101" t="s">
        <v>7582</v>
      </c>
      <c r="I77" s="101" t="s">
        <v>7583</v>
      </c>
      <c r="J77" s="102" t="s">
        <v>1385</v>
      </c>
      <c r="K77" s="101" t="s">
        <v>7515</v>
      </c>
    </row>
    <row r="78" ht="75" customHeight="1" spans="1:11">
      <c r="A78" s="101" t="s">
        <v>7584</v>
      </c>
      <c r="B78" s="101" t="s">
        <v>7425</v>
      </c>
      <c r="C78" s="101" t="s">
        <v>7510</v>
      </c>
      <c r="D78" s="101" t="s">
        <v>7558</v>
      </c>
      <c r="E78" s="102" t="s">
        <v>7</v>
      </c>
      <c r="F78" s="101" t="s">
        <v>7585</v>
      </c>
      <c r="G78" s="101" t="s">
        <v>7586</v>
      </c>
      <c r="H78" s="101" t="s">
        <v>7587</v>
      </c>
      <c r="I78" s="101" t="s">
        <v>7588</v>
      </c>
      <c r="J78" s="102" t="s">
        <v>1385</v>
      </c>
      <c r="K78" s="101" t="s">
        <v>7515</v>
      </c>
    </row>
    <row r="79" spans="1:11">
      <c r="A79" s="98" t="s">
        <v>7428</v>
      </c>
      <c r="B79" s="99"/>
      <c r="C79" s="99"/>
      <c r="D79" s="99"/>
      <c r="E79" s="99"/>
      <c r="F79" s="99"/>
      <c r="G79" s="99"/>
      <c r="H79" s="99"/>
      <c r="I79" s="99"/>
      <c r="J79" s="99"/>
      <c r="K79" s="100"/>
    </row>
    <row r="80" ht="60" customHeight="1" spans="1:11">
      <c r="A80" s="101" t="s">
        <v>7589</v>
      </c>
      <c r="B80" s="101" t="s">
        <v>7428</v>
      </c>
      <c r="C80" s="101" t="s">
        <v>7590</v>
      </c>
      <c r="D80" s="101" t="s">
        <v>7591</v>
      </c>
      <c r="E80" s="102" t="s">
        <v>7</v>
      </c>
      <c r="F80" s="101" t="s">
        <v>7592</v>
      </c>
      <c r="G80" s="101" t="s">
        <v>7593</v>
      </c>
      <c r="H80" s="101" t="s">
        <v>7594</v>
      </c>
      <c r="I80" s="101" t="s">
        <v>7595</v>
      </c>
      <c r="J80" s="102" t="s">
        <v>1385</v>
      </c>
      <c r="K80" s="101" t="s">
        <v>7496</v>
      </c>
    </row>
    <row r="81" ht="45" customHeight="1" spans="1:11">
      <c r="A81" s="101" t="s">
        <v>7596</v>
      </c>
      <c r="B81" s="101" t="s">
        <v>7428</v>
      </c>
      <c r="C81" s="101" t="s">
        <v>7590</v>
      </c>
      <c r="D81" s="101" t="s">
        <v>7591</v>
      </c>
      <c r="E81" s="102" t="s">
        <v>7</v>
      </c>
      <c r="F81" s="101" t="s">
        <v>7597</v>
      </c>
      <c r="G81" s="101" t="s">
        <v>7598</v>
      </c>
      <c r="H81" s="101" t="s">
        <v>7599</v>
      </c>
      <c r="I81" s="101" t="s">
        <v>7600</v>
      </c>
      <c r="J81" s="102" t="s">
        <v>1385</v>
      </c>
      <c r="K81" s="101" t="s">
        <v>7496</v>
      </c>
    </row>
    <row r="82" ht="45" customHeight="1" spans="1:11">
      <c r="A82" s="101" t="s">
        <v>7601</v>
      </c>
      <c r="B82" s="101" t="s">
        <v>7428</v>
      </c>
      <c r="C82" s="101" t="s">
        <v>7590</v>
      </c>
      <c r="D82" s="101" t="s">
        <v>7602</v>
      </c>
      <c r="E82" s="102" t="s">
        <v>7</v>
      </c>
      <c r="F82" s="101" t="s">
        <v>7603</v>
      </c>
      <c r="G82" s="101" t="s">
        <v>7604</v>
      </c>
      <c r="H82" s="101" t="s">
        <v>7605</v>
      </c>
      <c r="I82" s="101" t="s">
        <v>7606</v>
      </c>
      <c r="J82" s="102" t="s">
        <v>1385</v>
      </c>
      <c r="K82" s="101" t="s">
        <v>7607</v>
      </c>
    </row>
    <row r="83" ht="45" customHeight="1" spans="1:11">
      <c r="A83" s="101" t="s">
        <v>7608</v>
      </c>
      <c r="B83" s="101" t="s">
        <v>7428</v>
      </c>
      <c r="C83" s="101" t="s">
        <v>7590</v>
      </c>
      <c r="D83" s="101" t="s">
        <v>7591</v>
      </c>
      <c r="E83" s="102" t="s">
        <v>7</v>
      </c>
      <c r="F83" s="101" t="s">
        <v>7609</v>
      </c>
      <c r="G83" s="101" t="s">
        <v>7610</v>
      </c>
      <c r="H83" s="101" t="s">
        <v>7611</v>
      </c>
      <c r="I83" s="101" t="s">
        <v>7612</v>
      </c>
      <c r="J83" s="102" t="s">
        <v>1385</v>
      </c>
      <c r="K83" s="101" t="s">
        <v>7496</v>
      </c>
    </row>
    <row r="84" ht="45" customHeight="1" spans="1:11">
      <c r="A84" s="101" t="s">
        <v>7613</v>
      </c>
      <c r="B84" s="101" t="s">
        <v>7428</v>
      </c>
      <c r="C84" s="101" t="s">
        <v>7590</v>
      </c>
      <c r="D84" s="101" t="s">
        <v>7591</v>
      </c>
      <c r="E84" s="102" t="s">
        <v>7</v>
      </c>
      <c r="F84" s="101" t="s">
        <v>7614</v>
      </c>
      <c r="G84" s="101" t="s">
        <v>7615</v>
      </c>
      <c r="H84" s="101" t="s">
        <v>7616</v>
      </c>
      <c r="I84" s="101" t="s">
        <v>7617</v>
      </c>
      <c r="J84" s="102" t="s">
        <v>1385</v>
      </c>
      <c r="K84" s="101" t="s">
        <v>7496</v>
      </c>
    </row>
    <row r="85" ht="45" customHeight="1" spans="1:11">
      <c r="A85" s="101" t="s">
        <v>7618</v>
      </c>
      <c r="B85" s="101" t="s">
        <v>7428</v>
      </c>
      <c r="C85" s="101" t="s">
        <v>7590</v>
      </c>
      <c r="D85" s="101" t="s">
        <v>7619</v>
      </c>
      <c r="E85" s="102" t="s">
        <v>7</v>
      </c>
      <c r="F85" s="101" t="s">
        <v>7620</v>
      </c>
      <c r="G85" s="101" t="s">
        <v>7621</v>
      </c>
      <c r="H85" s="101" t="s">
        <v>7622</v>
      </c>
      <c r="I85" s="101" t="s">
        <v>7623</v>
      </c>
      <c r="J85" s="102" t="s">
        <v>1385</v>
      </c>
      <c r="K85" s="101" t="s">
        <v>7496</v>
      </c>
    </row>
    <row r="86" ht="45" customHeight="1" spans="1:11">
      <c r="A86" s="101" t="s">
        <v>7624</v>
      </c>
      <c r="B86" s="101" t="s">
        <v>7428</v>
      </c>
      <c r="C86" s="101" t="s">
        <v>7590</v>
      </c>
      <c r="D86" s="101" t="s">
        <v>7625</v>
      </c>
      <c r="E86" s="102" t="s">
        <v>7</v>
      </c>
      <c r="F86" s="101" t="s">
        <v>7626</v>
      </c>
      <c r="G86" s="101" t="s">
        <v>7627</v>
      </c>
      <c r="H86" s="101" t="s">
        <v>7628</v>
      </c>
      <c r="I86" s="101" t="s">
        <v>7629</v>
      </c>
      <c r="J86" s="102" t="s">
        <v>1385</v>
      </c>
      <c r="K86" s="101" t="s">
        <v>7496</v>
      </c>
    </row>
    <row r="87" ht="75" customHeight="1" spans="1:11">
      <c r="A87" s="101" t="s">
        <v>7630</v>
      </c>
      <c r="B87" s="101" t="s">
        <v>7428</v>
      </c>
      <c r="C87" s="101" t="s">
        <v>7631</v>
      </c>
      <c r="D87" s="101" t="s">
        <v>7591</v>
      </c>
      <c r="E87" s="102" t="s">
        <v>7</v>
      </c>
      <c r="F87" s="101" t="s">
        <v>7632</v>
      </c>
      <c r="G87" s="101" t="s">
        <v>7633</v>
      </c>
      <c r="H87" s="101" t="s">
        <v>7634</v>
      </c>
      <c r="I87" s="101" t="s">
        <v>7635</v>
      </c>
      <c r="J87" s="102" t="s">
        <v>1385</v>
      </c>
      <c r="K87" s="101" t="s">
        <v>7515</v>
      </c>
    </row>
    <row r="88" ht="75" customHeight="1" spans="1:11">
      <c r="A88" s="101" t="s">
        <v>7636</v>
      </c>
      <c r="B88" s="101" t="s">
        <v>7428</v>
      </c>
      <c r="C88" s="101" t="s">
        <v>7631</v>
      </c>
      <c r="D88" s="101" t="s">
        <v>7591</v>
      </c>
      <c r="E88" s="102" t="s">
        <v>7</v>
      </c>
      <c r="F88" s="101" t="s">
        <v>7637</v>
      </c>
      <c r="G88" s="101" t="s">
        <v>7638</v>
      </c>
      <c r="H88" s="101" t="s">
        <v>7639</v>
      </c>
      <c r="I88" s="101" t="s">
        <v>7588</v>
      </c>
      <c r="J88" s="102" t="s">
        <v>1385</v>
      </c>
      <c r="K88" s="101" t="s">
        <v>7515</v>
      </c>
    </row>
    <row r="89" ht="75" customHeight="1" spans="1:11">
      <c r="A89" s="101" t="s">
        <v>7640</v>
      </c>
      <c r="B89" s="101" t="s">
        <v>7428</v>
      </c>
      <c r="C89" s="101" t="s">
        <v>7631</v>
      </c>
      <c r="D89" s="101" t="s">
        <v>7591</v>
      </c>
      <c r="E89" s="102" t="s">
        <v>7</v>
      </c>
      <c r="F89" s="101" t="s">
        <v>7641</v>
      </c>
      <c r="G89" s="101" t="s">
        <v>7642</v>
      </c>
      <c r="H89" s="101" t="s">
        <v>7643</v>
      </c>
      <c r="I89" s="101" t="s">
        <v>7644</v>
      </c>
      <c r="J89" s="102" t="s">
        <v>1385</v>
      </c>
      <c r="K89" s="101" t="s">
        <v>7515</v>
      </c>
    </row>
    <row r="90" ht="75" customHeight="1" spans="1:11">
      <c r="A90" s="101" t="s">
        <v>7645</v>
      </c>
      <c r="B90" s="101" t="s">
        <v>7428</v>
      </c>
      <c r="C90" s="101" t="s">
        <v>7631</v>
      </c>
      <c r="D90" s="101" t="s">
        <v>7619</v>
      </c>
      <c r="E90" s="102" t="s">
        <v>7</v>
      </c>
      <c r="F90" s="101" t="s">
        <v>7646</v>
      </c>
      <c r="G90" s="101" t="s">
        <v>7586</v>
      </c>
      <c r="H90" s="101" t="s">
        <v>7647</v>
      </c>
      <c r="I90" s="101" t="s">
        <v>7648</v>
      </c>
      <c r="J90" s="102" t="s">
        <v>1385</v>
      </c>
      <c r="K90" s="101" t="s">
        <v>7515</v>
      </c>
    </row>
    <row r="91" ht="75" customHeight="1" spans="1:11">
      <c r="A91" s="101" t="s">
        <v>7649</v>
      </c>
      <c r="B91" s="101" t="s">
        <v>7428</v>
      </c>
      <c r="C91" s="101" t="s">
        <v>7631</v>
      </c>
      <c r="D91" s="101" t="s">
        <v>7619</v>
      </c>
      <c r="E91" s="102" t="s">
        <v>7</v>
      </c>
      <c r="F91" s="101" t="s">
        <v>7650</v>
      </c>
      <c r="G91" s="101" t="s">
        <v>7586</v>
      </c>
      <c r="H91" s="101" t="s">
        <v>7651</v>
      </c>
      <c r="I91" s="101" t="s">
        <v>7588</v>
      </c>
      <c r="J91" s="102" t="s">
        <v>1385</v>
      </c>
      <c r="K91" s="101" t="s">
        <v>7515</v>
      </c>
    </row>
    <row r="92" ht="75" customHeight="1" spans="1:11">
      <c r="A92" s="101" t="s">
        <v>7652</v>
      </c>
      <c r="B92" s="101" t="s">
        <v>7428</v>
      </c>
      <c r="C92" s="101" t="s">
        <v>7631</v>
      </c>
      <c r="D92" s="101" t="s">
        <v>7619</v>
      </c>
      <c r="E92" s="102" t="s">
        <v>7</v>
      </c>
      <c r="F92" s="101" t="s">
        <v>7653</v>
      </c>
      <c r="G92" s="101" t="s">
        <v>7586</v>
      </c>
      <c r="H92" s="101" t="s">
        <v>7654</v>
      </c>
      <c r="I92" s="101" t="s">
        <v>7655</v>
      </c>
      <c r="J92" s="102" t="s">
        <v>1385</v>
      </c>
      <c r="K92" s="101" t="s">
        <v>7515</v>
      </c>
    </row>
    <row r="93" ht="75" customHeight="1" spans="1:11">
      <c r="A93" s="101" t="s">
        <v>7656</v>
      </c>
      <c r="B93" s="101" t="s">
        <v>7428</v>
      </c>
      <c r="C93" s="101" t="s">
        <v>7631</v>
      </c>
      <c r="D93" s="101" t="s">
        <v>7625</v>
      </c>
      <c r="E93" s="102" t="s">
        <v>7</v>
      </c>
      <c r="F93" s="101" t="s">
        <v>7657</v>
      </c>
      <c r="G93" s="101" t="s">
        <v>7658</v>
      </c>
      <c r="H93" s="101" t="s">
        <v>7659</v>
      </c>
      <c r="I93" s="101" t="s">
        <v>7660</v>
      </c>
      <c r="J93" s="102" t="s">
        <v>1385</v>
      </c>
      <c r="K93" s="101" t="s">
        <v>7515</v>
      </c>
    </row>
    <row r="94" ht="75" customHeight="1" spans="1:11">
      <c r="A94" s="101" t="s">
        <v>7661</v>
      </c>
      <c r="B94" s="101" t="s">
        <v>7428</v>
      </c>
      <c r="C94" s="101" t="s">
        <v>7631</v>
      </c>
      <c r="D94" s="101" t="s">
        <v>7625</v>
      </c>
      <c r="E94" s="102" t="s">
        <v>7</v>
      </c>
      <c r="F94" s="101" t="s">
        <v>7662</v>
      </c>
      <c r="G94" s="101" t="s">
        <v>7638</v>
      </c>
      <c r="H94" s="101" t="s">
        <v>7659</v>
      </c>
      <c r="I94" s="101" t="s">
        <v>7588</v>
      </c>
      <c r="J94" s="102" t="s">
        <v>1385</v>
      </c>
      <c r="K94" s="101" t="s">
        <v>7515</v>
      </c>
    </row>
    <row r="95" ht="45" customHeight="1" spans="1:11">
      <c r="A95" s="101" t="s">
        <v>7663</v>
      </c>
      <c r="B95" s="101" t="s">
        <v>7428</v>
      </c>
      <c r="C95" s="101" t="s">
        <v>7664</v>
      </c>
      <c r="D95" s="101" t="s">
        <v>7591</v>
      </c>
      <c r="E95" s="102" t="s">
        <v>7</v>
      </c>
      <c r="F95" s="101" t="s">
        <v>7665</v>
      </c>
      <c r="G95" s="101" t="s">
        <v>7560</v>
      </c>
      <c r="H95" s="101" t="s">
        <v>7666</v>
      </c>
      <c r="I95" s="101" t="s">
        <v>7667</v>
      </c>
      <c r="J95" s="102" t="s">
        <v>1508</v>
      </c>
      <c r="K95" s="101" t="s">
        <v>7496</v>
      </c>
    </row>
    <row r="96" spans="1:11">
      <c r="A96" s="98" t="s">
        <v>7431</v>
      </c>
      <c r="B96" s="99"/>
      <c r="C96" s="99"/>
      <c r="D96" s="99"/>
      <c r="E96" s="99"/>
      <c r="F96" s="99"/>
      <c r="G96" s="99"/>
      <c r="H96" s="99"/>
      <c r="I96" s="99"/>
      <c r="J96" s="99"/>
      <c r="K96" s="100"/>
    </row>
    <row r="97" ht="45" customHeight="1" spans="1:11">
      <c r="A97" s="101" t="s">
        <v>7668</v>
      </c>
      <c r="B97" s="101" t="s">
        <v>7431</v>
      </c>
      <c r="C97" s="101" t="s">
        <v>7669</v>
      </c>
      <c r="D97" s="101" t="s">
        <v>7432</v>
      </c>
      <c r="E97" s="102" t="s">
        <v>7</v>
      </c>
      <c r="F97" s="101" t="s">
        <v>7670</v>
      </c>
      <c r="G97" s="101" t="s">
        <v>7671</v>
      </c>
      <c r="H97" s="101" t="s">
        <v>7672</v>
      </c>
      <c r="I97" s="101" t="s">
        <v>7673</v>
      </c>
      <c r="J97" s="102" t="s">
        <v>1385</v>
      </c>
      <c r="K97" s="101" t="s">
        <v>7496</v>
      </c>
    </row>
    <row r="98" ht="45" customHeight="1" spans="1:11">
      <c r="A98" s="101" t="s">
        <v>7674</v>
      </c>
      <c r="B98" s="101" t="s">
        <v>7431</v>
      </c>
      <c r="C98" s="101" t="s">
        <v>7669</v>
      </c>
      <c r="D98" s="101" t="s">
        <v>7432</v>
      </c>
      <c r="E98" s="102" t="s">
        <v>7</v>
      </c>
      <c r="F98" s="101" t="s">
        <v>7675</v>
      </c>
      <c r="G98" s="101" t="s">
        <v>7676</v>
      </c>
      <c r="H98" s="101" t="s">
        <v>7677</v>
      </c>
      <c r="I98" s="101" t="s">
        <v>7678</v>
      </c>
      <c r="J98" s="102" t="s">
        <v>1385</v>
      </c>
      <c r="K98" s="101" t="s">
        <v>7496</v>
      </c>
    </row>
    <row r="99" ht="45" customHeight="1" spans="1:11">
      <c r="A99" s="101" t="s">
        <v>7679</v>
      </c>
      <c r="B99" s="101" t="s">
        <v>7431</v>
      </c>
      <c r="C99" s="101" t="s">
        <v>7669</v>
      </c>
      <c r="D99" s="101" t="s">
        <v>7432</v>
      </c>
      <c r="E99" s="102" t="s">
        <v>7</v>
      </c>
      <c r="F99" s="101" t="s">
        <v>7680</v>
      </c>
      <c r="G99" s="101" t="s">
        <v>7681</v>
      </c>
      <c r="H99" s="101" t="s">
        <v>7682</v>
      </c>
      <c r="I99" s="101" t="s">
        <v>7683</v>
      </c>
      <c r="J99" s="102" t="s">
        <v>1385</v>
      </c>
      <c r="K99" s="101" t="s">
        <v>7496</v>
      </c>
    </row>
    <row r="100" ht="45" customHeight="1" spans="1:11">
      <c r="A100" s="101" t="s">
        <v>7684</v>
      </c>
      <c r="B100" s="101" t="s">
        <v>7431</v>
      </c>
      <c r="C100" s="101" t="s">
        <v>7669</v>
      </c>
      <c r="D100" s="101" t="s">
        <v>7432</v>
      </c>
      <c r="E100" s="102" t="s">
        <v>7</v>
      </c>
      <c r="F100" s="101" t="s">
        <v>7685</v>
      </c>
      <c r="G100" s="101" t="s">
        <v>7686</v>
      </c>
      <c r="H100" s="101" t="s">
        <v>7687</v>
      </c>
      <c r="I100" s="101" t="s">
        <v>7688</v>
      </c>
      <c r="J100" s="102" t="s">
        <v>1385</v>
      </c>
      <c r="K100" s="101" t="s">
        <v>7496</v>
      </c>
    </row>
    <row r="101" spans="1:11">
      <c r="A101" s="98" t="s">
        <v>7434</v>
      </c>
      <c r="B101" s="99"/>
      <c r="C101" s="99"/>
      <c r="D101" s="99"/>
      <c r="E101" s="99"/>
      <c r="F101" s="99"/>
      <c r="G101" s="99"/>
      <c r="H101" s="99"/>
      <c r="I101" s="99"/>
      <c r="J101" s="99"/>
      <c r="K101" s="100"/>
    </row>
    <row r="102" ht="45" customHeight="1" spans="1:11">
      <c r="A102" s="101" t="s">
        <v>7689</v>
      </c>
      <c r="B102" s="101" t="s">
        <v>7434</v>
      </c>
      <c r="C102" s="101" t="s">
        <v>7690</v>
      </c>
      <c r="D102" s="101" t="s">
        <v>7491</v>
      </c>
      <c r="E102" s="102" t="s">
        <v>7</v>
      </c>
      <c r="F102" s="101" t="s">
        <v>7691</v>
      </c>
      <c r="G102" s="101" t="s">
        <v>428</v>
      </c>
      <c r="H102" s="101" t="s">
        <v>7692</v>
      </c>
      <c r="I102" s="101" t="s">
        <v>7693</v>
      </c>
      <c r="J102" s="102" t="s">
        <v>1385</v>
      </c>
      <c r="K102" s="101" t="s">
        <v>7496</v>
      </c>
    </row>
    <row r="103" ht="45" customHeight="1" spans="1:11">
      <c r="A103" s="101" t="s">
        <v>7694</v>
      </c>
      <c r="B103" s="101" t="s">
        <v>7434</v>
      </c>
      <c r="C103" s="101" t="s">
        <v>7690</v>
      </c>
      <c r="D103" s="101" t="s">
        <v>7491</v>
      </c>
      <c r="E103" s="102" t="s">
        <v>7</v>
      </c>
      <c r="F103" s="101" t="s">
        <v>7695</v>
      </c>
      <c r="G103" s="101" t="s">
        <v>428</v>
      </c>
      <c r="H103" s="101" t="s">
        <v>7696</v>
      </c>
      <c r="I103" s="101" t="s">
        <v>7697</v>
      </c>
      <c r="J103" s="102" t="s">
        <v>1385</v>
      </c>
      <c r="K103" s="101" t="s">
        <v>7496</v>
      </c>
    </row>
    <row r="104" ht="45" customHeight="1" spans="1:11">
      <c r="A104" s="101" t="s">
        <v>7698</v>
      </c>
      <c r="B104" s="101" t="s">
        <v>7434</v>
      </c>
      <c r="C104" s="101" t="s">
        <v>7690</v>
      </c>
      <c r="D104" s="101" t="s">
        <v>7435</v>
      </c>
      <c r="E104" s="102" t="s">
        <v>7</v>
      </c>
      <c r="F104" s="101" t="s">
        <v>7699</v>
      </c>
      <c r="G104" s="101" t="s">
        <v>428</v>
      </c>
      <c r="H104" s="101" t="s">
        <v>7700</v>
      </c>
      <c r="I104" s="101" t="s">
        <v>7701</v>
      </c>
      <c r="J104" s="102" t="s">
        <v>1385</v>
      </c>
      <c r="K104" s="101" t="s">
        <v>7496</v>
      </c>
    </row>
    <row r="105" ht="45" customHeight="1" spans="1:11">
      <c r="A105" s="101" t="s">
        <v>7702</v>
      </c>
      <c r="B105" s="101" t="s">
        <v>7434</v>
      </c>
      <c r="C105" s="101" t="s">
        <v>7703</v>
      </c>
      <c r="D105" s="101" t="s">
        <v>7704</v>
      </c>
      <c r="E105" s="102" t="s">
        <v>7</v>
      </c>
      <c r="F105" s="101" t="s">
        <v>7705</v>
      </c>
      <c r="G105" s="101" t="s">
        <v>7706</v>
      </c>
      <c r="H105" s="101" t="s">
        <v>7707</v>
      </c>
      <c r="I105" s="101" t="s">
        <v>7708</v>
      </c>
      <c r="J105" s="102" t="s">
        <v>1508</v>
      </c>
      <c r="K105" s="101" t="s">
        <v>7496</v>
      </c>
    </row>
    <row r="106" spans="1:11">
      <c r="A106" s="98" t="s">
        <v>7709</v>
      </c>
      <c r="B106" s="99"/>
      <c r="C106" s="99"/>
      <c r="D106" s="99"/>
      <c r="E106" s="99"/>
      <c r="F106" s="99"/>
      <c r="G106" s="99"/>
      <c r="H106" s="99"/>
      <c r="I106" s="99"/>
      <c r="J106" s="99"/>
      <c r="K106" s="100"/>
    </row>
    <row r="107" ht="30" customHeight="1" spans="1:11">
      <c r="A107" s="101" t="s">
        <v>7710</v>
      </c>
      <c r="B107" s="101" t="s">
        <v>7709</v>
      </c>
      <c r="C107" s="101" t="s">
        <v>7711</v>
      </c>
      <c r="D107" s="101" t="s">
        <v>7712</v>
      </c>
      <c r="E107" s="102" t="s">
        <v>7</v>
      </c>
      <c r="F107" s="101" t="s">
        <v>7713</v>
      </c>
      <c r="G107" s="101" t="s">
        <v>7714</v>
      </c>
      <c r="H107" s="101" t="s">
        <v>7715</v>
      </c>
      <c r="I107" s="101" t="s">
        <v>7716</v>
      </c>
      <c r="J107" s="102" t="s">
        <v>1385</v>
      </c>
      <c r="K107" s="101" t="s">
        <v>2446</v>
      </c>
    </row>
    <row r="108" ht="30" customHeight="1" spans="1:11">
      <c r="A108" s="101" t="s">
        <v>7717</v>
      </c>
      <c r="B108" s="101" t="s">
        <v>7709</v>
      </c>
      <c r="C108" s="101" t="s">
        <v>7711</v>
      </c>
      <c r="D108" s="101" t="s">
        <v>7712</v>
      </c>
      <c r="E108" s="102" t="s">
        <v>7</v>
      </c>
      <c r="F108" s="101" t="s">
        <v>7718</v>
      </c>
      <c r="G108" s="101" t="s">
        <v>7719</v>
      </c>
      <c r="H108" s="101" t="s">
        <v>7720</v>
      </c>
      <c r="I108" s="101" t="s">
        <v>7721</v>
      </c>
      <c r="J108" s="102" t="s">
        <v>1385</v>
      </c>
      <c r="K108" s="101" t="s">
        <v>2446</v>
      </c>
    </row>
    <row r="109" ht="45" customHeight="1" spans="1:11">
      <c r="A109" s="101" t="s">
        <v>7722</v>
      </c>
      <c r="B109" s="101" t="s">
        <v>7709</v>
      </c>
      <c r="C109" s="101" t="s">
        <v>7711</v>
      </c>
      <c r="D109" s="101" t="s">
        <v>7723</v>
      </c>
      <c r="E109" s="102" t="s">
        <v>7</v>
      </c>
      <c r="F109" s="101" t="s">
        <v>7724</v>
      </c>
      <c r="G109" s="101" t="s">
        <v>7725</v>
      </c>
      <c r="H109" s="101" t="s">
        <v>7726</v>
      </c>
      <c r="I109" s="101" t="s">
        <v>7727</v>
      </c>
      <c r="J109" s="102" t="s">
        <v>1385</v>
      </c>
      <c r="K109" s="101" t="s">
        <v>2446</v>
      </c>
    </row>
    <row r="110" ht="30" customHeight="1" spans="1:11">
      <c r="A110" s="101" t="s">
        <v>7728</v>
      </c>
      <c r="B110" s="101" t="s">
        <v>7709</v>
      </c>
      <c r="C110" s="101" t="s">
        <v>7711</v>
      </c>
      <c r="D110" s="101" t="s">
        <v>7723</v>
      </c>
      <c r="E110" s="102" t="s">
        <v>7</v>
      </c>
      <c r="F110" s="101" t="s">
        <v>7729</v>
      </c>
      <c r="G110" s="101" t="s">
        <v>7730</v>
      </c>
      <c r="H110" s="101" t="s">
        <v>7731</v>
      </c>
      <c r="I110" s="101" t="s">
        <v>7732</v>
      </c>
      <c r="J110" s="102" t="s">
        <v>1385</v>
      </c>
      <c r="K110" s="101" t="s">
        <v>2446</v>
      </c>
    </row>
    <row r="111" spans="1:11">
      <c r="A111" s="98" t="s">
        <v>7733</v>
      </c>
      <c r="B111" s="99"/>
      <c r="C111" s="99"/>
      <c r="D111" s="99"/>
      <c r="E111" s="99"/>
      <c r="F111" s="99"/>
      <c r="G111" s="99"/>
      <c r="H111" s="99"/>
      <c r="I111" s="99"/>
      <c r="J111" s="99"/>
      <c r="K111" s="100"/>
    </row>
    <row r="112" ht="60" customHeight="1" spans="1:11">
      <c r="A112" s="101" t="s">
        <v>7734</v>
      </c>
      <c r="B112" s="101" t="s">
        <v>7733</v>
      </c>
      <c r="C112" s="101" t="s">
        <v>7711</v>
      </c>
      <c r="D112" s="101" t="s">
        <v>7735</v>
      </c>
      <c r="E112" s="102" t="s">
        <v>7</v>
      </c>
      <c r="F112" s="101" t="s">
        <v>7736</v>
      </c>
      <c r="G112" s="101" t="s">
        <v>7737</v>
      </c>
      <c r="H112" s="101" t="s">
        <v>7738</v>
      </c>
      <c r="I112" s="101" t="s">
        <v>7739</v>
      </c>
      <c r="J112" s="102" t="s">
        <v>1385</v>
      </c>
      <c r="K112" s="101" t="s">
        <v>2446</v>
      </c>
    </row>
    <row r="113" ht="45" customHeight="1" spans="1:11">
      <c r="A113" s="101" t="s">
        <v>7740</v>
      </c>
      <c r="B113" s="101" t="s">
        <v>7733</v>
      </c>
      <c r="C113" s="101" t="s">
        <v>7711</v>
      </c>
      <c r="D113" s="101" t="s">
        <v>7735</v>
      </c>
      <c r="E113" s="102" t="s">
        <v>7</v>
      </c>
      <c r="F113" s="101" t="s">
        <v>7741</v>
      </c>
      <c r="G113" s="101" t="s">
        <v>7742</v>
      </c>
      <c r="H113" s="101" t="s">
        <v>7743</v>
      </c>
      <c r="I113" s="101" t="s">
        <v>7744</v>
      </c>
      <c r="J113" s="102" t="s">
        <v>1385</v>
      </c>
      <c r="K113" s="101" t="s">
        <v>2446</v>
      </c>
    </row>
    <row r="114" spans="1:11">
      <c r="A114" s="98" t="s">
        <v>7709</v>
      </c>
      <c r="B114" s="99"/>
      <c r="C114" s="99"/>
      <c r="D114" s="99"/>
      <c r="E114" s="99"/>
      <c r="F114" s="99"/>
      <c r="G114" s="99"/>
      <c r="H114" s="99"/>
      <c r="I114" s="99"/>
      <c r="J114" s="99"/>
      <c r="K114" s="100"/>
    </row>
    <row r="115" ht="45" customHeight="1" spans="1:11">
      <c r="A115" s="101" t="s">
        <v>7745</v>
      </c>
      <c r="B115" s="101" t="s">
        <v>7709</v>
      </c>
      <c r="C115" s="101" t="s">
        <v>7711</v>
      </c>
      <c r="D115" s="101" t="s">
        <v>7746</v>
      </c>
      <c r="E115" s="102" t="s">
        <v>7</v>
      </c>
      <c r="F115" s="101" t="s">
        <v>7747</v>
      </c>
      <c r="G115" s="101" t="s">
        <v>7748</v>
      </c>
      <c r="H115" s="101" t="s">
        <v>7749</v>
      </c>
      <c r="I115" s="101" t="s">
        <v>7750</v>
      </c>
      <c r="J115" s="102" t="s">
        <v>1385</v>
      </c>
      <c r="K115" s="101" t="s">
        <v>2446</v>
      </c>
    </row>
    <row r="116" ht="45" customHeight="1" spans="1:11">
      <c r="A116" s="101" t="s">
        <v>7751</v>
      </c>
      <c r="B116" s="101" t="s">
        <v>7709</v>
      </c>
      <c r="C116" s="101" t="s">
        <v>7711</v>
      </c>
      <c r="D116" s="101" t="s">
        <v>7752</v>
      </c>
      <c r="E116" s="102" t="s">
        <v>7</v>
      </c>
      <c r="F116" s="101" t="s">
        <v>7753</v>
      </c>
      <c r="G116" s="101" t="s">
        <v>7754</v>
      </c>
      <c r="H116" s="101" t="s">
        <v>7755</v>
      </c>
      <c r="I116" s="101" t="s">
        <v>7756</v>
      </c>
      <c r="J116" s="102" t="s">
        <v>1385</v>
      </c>
      <c r="K116" s="101" t="s">
        <v>2446</v>
      </c>
    </row>
    <row r="117" spans="1:11">
      <c r="A117" s="98" t="s">
        <v>7757</v>
      </c>
      <c r="B117" s="99"/>
      <c r="C117" s="99"/>
      <c r="D117" s="99"/>
      <c r="E117" s="99"/>
      <c r="F117" s="99"/>
      <c r="G117" s="99"/>
      <c r="H117" s="99"/>
      <c r="I117" s="99"/>
      <c r="J117" s="99"/>
      <c r="K117" s="100"/>
    </row>
    <row r="118" ht="75" customHeight="1" spans="1:11">
      <c r="A118" s="101" t="s">
        <v>7758</v>
      </c>
      <c r="B118" s="101" t="s">
        <v>7757</v>
      </c>
      <c r="C118" s="101" t="s">
        <v>7711</v>
      </c>
      <c r="D118" s="101" t="s">
        <v>7759</v>
      </c>
      <c r="E118" s="102" t="s">
        <v>7</v>
      </c>
      <c r="F118" s="101" t="s">
        <v>7760</v>
      </c>
      <c r="G118" s="101" t="s">
        <v>7761</v>
      </c>
      <c r="H118" s="101" t="s">
        <v>7762</v>
      </c>
      <c r="I118" s="101" t="s">
        <v>7763</v>
      </c>
      <c r="J118" s="102" t="s">
        <v>1385</v>
      </c>
      <c r="K118" s="101" t="s">
        <v>7764</v>
      </c>
    </row>
    <row r="119" spans="1:11">
      <c r="A119" s="98" t="s">
        <v>7709</v>
      </c>
      <c r="B119" s="99"/>
      <c r="C119" s="99"/>
      <c r="D119" s="99"/>
      <c r="E119" s="99"/>
      <c r="F119" s="99"/>
      <c r="G119" s="99"/>
      <c r="H119" s="99"/>
      <c r="I119" s="99"/>
      <c r="J119" s="99"/>
      <c r="K119" s="100"/>
    </row>
    <row r="120" ht="30" customHeight="1" spans="1:11">
      <c r="A120" s="101" t="s">
        <v>7765</v>
      </c>
      <c r="B120" s="101" t="s">
        <v>7709</v>
      </c>
      <c r="C120" s="101" t="s">
        <v>7711</v>
      </c>
      <c r="D120" s="101" t="s">
        <v>7712</v>
      </c>
      <c r="E120" s="102" t="s">
        <v>7</v>
      </c>
      <c r="F120" s="101" t="s">
        <v>7766</v>
      </c>
      <c r="G120" s="101" t="s">
        <v>7767</v>
      </c>
      <c r="H120" s="101" t="s">
        <v>7768</v>
      </c>
      <c r="I120" s="101" t="s">
        <v>7769</v>
      </c>
      <c r="J120" s="102" t="s">
        <v>1385</v>
      </c>
      <c r="K120" s="101" t="s">
        <v>2446</v>
      </c>
    </row>
    <row r="121" ht="45" customHeight="1" spans="1:11">
      <c r="A121" s="101" t="s">
        <v>7770</v>
      </c>
      <c r="B121" s="101" t="s">
        <v>7709</v>
      </c>
      <c r="C121" s="101" t="s">
        <v>7711</v>
      </c>
      <c r="D121" s="101" t="s">
        <v>7712</v>
      </c>
      <c r="E121" s="102" t="s">
        <v>7</v>
      </c>
      <c r="F121" s="101" t="s">
        <v>7771</v>
      </c>
      <c r="G121" s="101" t="s">
        <v>7772</v>
      </c>
      <c r="H121" s="101" t="s">
        <v>7773</v>
      </c>
      <c r="I121" s="101" t="s">
        <v>7774</v>
      </c>
      <c r="J121" s="102" t="s">
        <v>1385</v>
      </c>
      <c r="K121" s="101" t="s">
        <v>2446</v>
      </c>
    </row>
    <row r="122" spans="1:11">
      <c r="A122" s="98" t="s">
        <v>7757</v>
      </c>
      <c r="B122" s="99"/>
      <c r="C122" s="99"/>
      <c r="D122" s="99"/>
      <c r="E122" s="99"/>
      <c r="F122" s="99"/>
      <c r="G122" s="99"/>
      <c r="H122" s="99"/>
      <c r="I122" s="99"/>
      <c r="J122" s="99"/>
      <c r="K122" s="100"/>
    </row>
    <row r="123" ht="45" customHeight="1" spans="1:11">
      <c r="A123" s="101" t="s">
        <v>7775</v>
      </c>
      <c r="B123" s="101" t="s">
        <v>7757</v>
      </c>
      <c r="C123" s="101" t="s">
        <v>7711</v>
      </c>
      <c r="D123" s="101" t="s">
        <v>7776</v>
      </c>
      <c r="E123" s="102" t="s">
        <v>7</v>
      </c>
      <c r="F123" s="101" t="s">
        <v>7777</v>
      </c>
      <c r="G123" s="101" t="s">
        <v>7778</v>
      </c>
      <c r="H123" s="101" t="s">
        <v>7779</v>
      </c>
      <c r="I123" s="101" t="s">
        <v>7780</v>
      </c>
      <c r="J123" s="102" t="s">
        <v>1385</v>
      </c>
      <c r="K123" s="101" t="s">
        <v>2469</v>
      </c>
    </row>
    <row r="124" spans="1:11">
      <c r="A124" s="98" t="s">
        <v>7781</v>
      </c>
      <c r="B124" s="99"/>
      <c r="C124" s="99"/>
      <c r="D124" s="99"/>
      <c r="E124" s="99"/>
      <c r="F124" s="99"/>
      <c r="G124" s="99"/>
      <c r="H124" s="99"/>
      <c r="I124" s="99"/>
      <c r="J124" s="99"/>
      <c r="K124" s="100"/>
    </row>
    <row r="125" ht="60" customHeight="1" spans="1:11">
      <c r="A125" s="101" t="s">
        <v>7782</v>
      </c>
      <c r="B125" s="101" t="s">
        <v>7781</v>
      </c>
      <c r="C125" s="101" t="s">
        <v>7711</v>
      </c>
      <c r="D125" s="101" t="s">
        <v>7783</v>
      </c>
      <c r="E125" s="102" t="s">
        <v>7</v>
      </c>
      <c r="F125" s="101" t="s">
        <v>7784</v>
      </c>
      <c r="G125" s="101" t="s">
        <v>7785</v>
      </c>
      <c r="H125" s="101" t="s">
        <v>7786</v>
      </c>
      <c r="I125" s="101" t="s">
        <v>7787</v>
      </c>
      <c r="J125" s="102" t="s">
        <v>1385</v>
      </c>
      <c r="K125" s="101" t="s">
        <v>2446</v>
      </c>
    </row>
    <row r="126" ht="45" customHeight="1" spans="1:11">
      <c r="A126" s="101" t="s">
        <v>7788</v>
      </c>
      <c r="B126" s="101" t="s">
        <v>7781</v>
      </c>
      <c r="C126" s="101" t="s">
        <v>7711</v>
      </c>
      <c r="D126" s="101" t="s">
        <v>7789</v>
      </c>
      <c r="E126" s="102" t="s">
        <v>7</v>
      </c>
      <c r="F126" s="101" t="s">
        <v>7790</v>
      </c>
      <c r="G126" s="101" t="s">
        <v>7791</v>
      </c>
      <c r="H126" s="101" t="s">
        <v>7792</v>
      </c>
      <c r="I126" s="101" t="s">
        <v>7793</v>
      </c>
      <c r="J126" s="102" t="s">
        <v>1385</v>
      </c>
      <c r="K126" s="101" t="s">
        <v>2446</v>
      </c>
    </row>
    <row r="127" spans="1:11">
      <c r="A127" s="98" t="s">
        <v>7794</v>
      </c>
      <c r="B127" s="99"/>
      <c r="C127" s="99"/>
      <c r="D127" s="99"/>
      <c r="E127" s="99"/>
      <c r="F127" s="99"/>
      <c r="G127" s="99"/>
      <c r="H127" s="99"/>
      <c r="I127" s="99"/>
      <c r="J127" s="99"/>
      <c r="K127" s="100"/>
    </row>
    <row r="128" ht="75" customHeight="1" spans="1:11">
      <c r="A128" s="101" t="s">
        <v>7795</v>
      </c>
      <c r="B128" s="101" t="s">
        <v>7794</v>
      </c>
      <c r="C128" s="101" t="s">
        <v>7711</v>
      </c>
      <c r="D128" s="101" t="s">
        <v>7796</v>
      </c>
      <c r="E128" s="102" t="s">
        <v>7</v>
      </c>
      <c r="F128" s="101" t="s">
        <v>7797</v>
      </c>
      <c r="G128" s="101" t="s">
        <v>7798</v>
      </c>
      <c r="H128" s="101" t="s">
        <v>7799</v>
      </c>
      <c r="I128" s="101" t="s">
        <v>7800</v>
      </c>
      <c r="J128" s="102" t="s">
        <v>1385</v>
      </c>
      <c r="K128" s="101" t="s">
        <v>7801</v>
      </c>
    </row>
    <row r="129" spans="1:11">
      <c r="A129" s="98" t="s">
        <v>7733</v>
      </c>
      <c r="B129" s="99"/>
      <c r="C129" s="99"/>
      <c r="D129" s="99"/>
      <c r="E129" s="99"/>
      <c r="F129" s="99"/>
      <c r="G129" s="99"/>
      <c r="H129" s="99"/>
      <c r="I129" s="99"/>
      <c r="J129" s="99"/>
      <c r="K129" s="100"/>
    </row>
    <row r="130" ht="45" customHeight="1" spans="1:11">
      <c r="A130" s="101" t="s">
        <v>7802</v>
      </c>
      <c r="B130" s="101" t="s">
        <v>7733</v>
      </c>
      <c r="C130" s="101" t="s">
        <v>7711</v>
      </c>
      <c r="D130" s="101" t="s">
        <v>7803</v>
      </c>
      <c r="E130" s="102" t="s">
        <v>7</v>
      </c>
      <c r="F130" s="101" t="s">
        <v>7804</v>
      </c>
      <c r="G130" s="101" t="s">
        <v>428</v>
      </c>
      <c r="H130" s="101" t="s">
        <v>7805</v>
      </c>
      <c r="I130" s="101" t="s">
        <v>7806</v>
      </c>
      <c r="J130" s="102" t="s">
        <v>1385</v>
      </c>
      <c r="K130" s="101" t="s">
        <v>1386</v>
      </c>
    </row>
    <row r="131" spans="1:11">
      <c r="A131" s="98" t="s">
        <v>7807</v>
      </c>
      <c r="B131" s="99"/>
      <c r="C131" s="99"/>
      <c r="D131" s="99"/>
      <c r="E131" s="99"/>
      <c r="F131" s="99"/>
      <c r="G131" s="99"/>
      <c r="H131" s="99"/>
      <c r="I131" s="99"/>
      <c r="J131" s="99"/>
      <c r="K131" s="100"/>
    </row>
    <row r="132" ht="30" customHeight="1" spans="1:11">
      <c r="A132" s="101" t="s">
        <v>7808</v>
      </c>
      <c r="B132" s="101" t="s">
        <v>7807</v>
      </c>
      <c r="C132" s="101" t="s">
        <v>7809</v>
      </c>
      <c r="D132" s="101" t="s">
        <v>7810</v>
      </c>
      <c r="E132" s="102" t="s">
        <v>7</v>
      </c>
      <c r="F132" s="101" t="s">
        <v>7811</v>
      </c>
      <c r="G132" s="101" t="s">
        <v>7812</v>
      </c>
      <c r="H132" s="101" t="s">
        <v>7813</v>
      </c>
      <c r="I132" s="101" t="s">
        <v>7814</v>
      </c>
      <c r="J132" s="102" t="s">
        <v>1508</v>
      </c>
      <c r="K132" s="101" t="s">
        <v>2446</v>
      </c>
    </row>
    <row r="133" spans="1:11">
      <c r="A133" s="98" t="s">
        <v>7815</v>
      </c>
      <c r="B133" s="99"/>
      <c r="C133" s="99"/>
      <c r="D133" s="99"/>
      <c r="E133" s="99"/>
      <c r="F133" s="99"/>
      <c r="G133" s="99"/>
      <c r="H133" s="99"/>
      <c r="I133" s="99"/>
      <c r="J133" s="99"/>
      <c r="K133" s="100"/>
    </row>
    <row r="134" ht="30" customHeight="1" spans="1:11">
      <c r="A134" s="101" t="s">
        <v>7816</v>
      </c>
      <c r="B134" s="101" t="s">
        <v>7815</v>
      </c>
      <c r="C134" s="101" t="s">
        <v>7711</v>
      </c>
      <c r="D134" s="101" t="s">
        <v>7817</v>
      </c>
      <c r="E134" s="102" t="s">
        <v>7</v>
      </c>
      <c r="F134" s="101" t="s">
        <v>7818</v>
      </c>
      <c r="G134" s="101" t="s">
        <v>7819</v>
      </c>
      <c r="H134" s="101" t="s">
        <v>7820</v>
      </c>
      <c r="I134" s="101" t="s">
        <v>7821</v>
      </c>
      <c r="J134" s="102" t="s">
        <v>1385</v>
      </c>
      <c r="K134" s="101" t="s">
        <v>2446</v>
      </c>
    </row>
    <row r="135" ht="60" customHeight="1" spans="1:11">
      <c r="A135" s="101" t="s">
        <v>7822</v>
      </c>
      <c r="B135" s="101" t="s">
        <v>7815</v>
      </c>
      <c r="C135" s="101" t="s">
        <v>7711</v>
      </c>
      <c r="D135" s="101" t="s">
        <v>7817</v>
      </c>
      <c r="E135" s="102" t="s">
        <v>7</v>
      </c>
      <c r="F135" s="101" t="s">
        <v>7823</v>
      </c>
      <c r="G135" s="101" t="s">
        <v>7824</v>
      </c>
      <c r="H135" s="101" t="s">
        <v>7825</v>
      </c>
      <c r="I135" s="101" t="s">
        <v>7826</v>
      </c>
      <c r="J135" s="102" t="s">
        <v>1385</v>
      </c>
      <c r="K135" s="101" t="s">
        <v>2446</v>
      </c>
    </row>
    <row r="136" spans="1:11">
      <c r="A136" s="98" t="s">
        <v>7827</v>
      </c>
      <c r="B136" s="99"/>
      <c r="C136" s="99"/>
      <c r="D136" s="99"/>
      <c r="E136" s="99"/>
      <c r="F136" s="99"/>
      <c r="G136" s="99"/>
      <c r="H136" s="99"/>
      <c r="I136" s="99"/>
      <c r="J136" s="99"/>
      <c r="K136" s="100"/>
    </row>
    <row r="137" ht="30" customHeight="1" spans="1:11">
      <c r="A137" s="101" t="s">
        <v>7828</v>
      </c>
      <c r="B137" s="101" t="s">
        <v>7827</v>
      </c>
      <c r="C137" s="101" t="s">
        <v>7711</v>
      </c>
      <c r="D137" s="101" t="s">
        <v>7829</v>
      </c>
      <c r="E137" s="102" t="s">
        <v>7</v>
      </c>
      <c r="F137" s="101" t="s">
        <v>7830</v>
      </c>
      <c r="G137" s="101" t="s">
        <v>7831</v>
      </c>
      <c r="H137" s="101" t="s">
        <v>7832</v>
      </c>
      <c r="I137" s="101" t="s">
        <v>7833</v>
      </c>
      <c r="J137" s="102" t="s">
        <v>1385</v>
      </c>
      <c r="K137" s="101" t="s">
        <v>2446</v>
      </c>
    </row>
    <row r="138" spans="1:11">
      <c r="A138" s="98" t="s">
        <v>7834</v>
      </c>
      <c r="B138" s="99"/>
      <c r="C138" s="99"/>
      <c r="D138" s="99"/>
      <c r="E138" s="99"/>
      <c r="F138" s="99"/>
      <c r="G138" s="99"/>
      <c r="H138" s="99"/>
      <c r="I138" s="99"/>
      <c r="J138" s="99"/>
      <c r="K138" s="100"/>
    </row>
    <row r="139" ht="30" customHeight="1" spans="1:11">
      <c r="A139" s="101" t="s">
        <v>7835</v>
      </c>
      <c r="B139" s="101" t="s">
        <v>7834</v>
      </c>
      <c r="C139" s="101" t="s">
        <v>7711</v>
      </c>
      <c r="D139" s="101" t="s">
        <v>7836</v>
      </c>
      <c r="E139" s="102" t="s">
        <v>7</v>
      </c>
      <c r="F139" s="101" t="s">
        <v>7837</v>
      </c>
      <c r="G139" s="101" t="s">
        <v>7838</v>
      </c>
      <c r="H139" s="101" t="s">
        <v>7839</v>
      </c>
      <c r="I139" s="101" t="s">
        <v>7840</v>
      </c>
      <c r="J139" s="102" t="s">
        <v>1385</v>
      </c>
      <c r="K139" s="101" t="s">
        <v>2446</v>
      </c>
    </row>
    <row r="140" spans="1:11">
      <c r="A140" s="98" t="s">
        <v>7709</v>
      </c>
      <c r="B140" s="99"/>
      <c r="C140" s="99"/>
      <c r="D140" s="99"/>
      <c r="E140" s="99"/>
      <c r="F140" s="99"/>
      <c r="G140" s="99"/>
      <c r="H140" s="99"/>
      <c r="I140" s="99"/>
      <c r="J140" s="99"/>
      <c r="K140" s="100"/>
    </row>
    <row r="141" ht="30" customHeight="1" spans="1:11">
      <c r="A141" s="101" t="s">
        <v>7841</v>
      </c>
      <c r="B141" s="101" t="s">
        <v>7709</v>
      </c>
      <c r="C141" s="101" t="s">
        <v>7809</v>
      </c>
      <c r="D141" s="101" t="s">
        <v>7712</v>
      </c>
      <c r="E141" s="102" t="s">
        <v>7</v>
      </c>
      <c r="F141" s="101" t="s">
        <v>7842</v>
      </c>
      <c r="G141" s="101" t="s">
        <v>7843</v>
      </c>
      <c r="H141" s="101" t="s">
        <v>7844</v>
      </c>
      <c r="I141" s="101" t="s">
        <v>7845</v>
      </c>
      <c r="J141" s="102" t="s">
        <v>1508</v>
      </c>
      <c r="K141" s="101" t="s">
        <v>2446</v>
      </c>
    </row>
    <row r="143" spans="1:11">
      <c r="A143" s="80" t="s">
        <v>1526</v>
      </c>
      <c r="B143" s="103">
        <f>COUNTIF(J60:J141,"PASS")+COUNTIF(J60:J141,"FAIL")</f>
        <v>64</v>
      </c>
    </row>
    <row r="144" spans="1:11">
      <c r="A144" s="80" t="s">
        <v>1385</v>
      </c>
      <c r="B144" s="103">
        <f>COUNTIF(J60:J141,"PASS")</f>
        <v>59</v>
      </c>
    </row>
    <row r="145" spans="1:11">
      <c r="A145" s="80" t="s">
        <v>1508</v>
      </c>
      <c r="B145" s="103">
        <f>COUNTIF(J60:J141,"FAIL")</f>
        <v>5</v>
      </c>
    </row>
    <row r="146" spans="1:11">
      <c r="A146" s="80" t="s">
        <v>1527</v>
      </c>
      <c r="B146" s="104">
        <f>IFERROR(B144/B143,0)</f>
        <v>0.921875</v>
      </c>
    </row>
    <row r="148" spans="1:11">
      <c r="A148" s="105" t="s">
        <v>1528</v>
      </c>
      <c r="B148" s="16"/>
      <c r="C148" s="16"/>
      <c r="D148" s="16"/>
      <c r="E148" s="16"/>
      <c r="F148" s="16"/>
      <c r="G148" s="16"/>
      <c r="H148" s="16"/>
      <c r="I148" s="16"/>
      <c r="J148" s="16"/>
      <c r="K148" s="17"/>
    </row>
    <row r="149" ht="16.5" spans="1:11">
      <c r="A149" s="106" t="s">
        <v>1368</v>
      </c>
      <c r="B149" s="106" t="s">
        <v>1529</v>
      </c>
      <c r="C149" s="16"/>
      <c r="D149" s="16"/>
      <c r="E149" s="16"/>
      <c r="F149" s="16"/>
      <c r="G149" s="16"/>
      <c r="H149" s="17"/>
      <c r="I149" s="106" t="s">
        <v>1530</v>
      </c>
      <c r="J149" s="16"/>
      <c r="K149" s="17"/>
    </row>
    <row r="150" ht="30" customHeight="1" spans="1:11">
      <c r="A150" s="101" t="s">
        <v>7573</v>
      </c>
      <c r="B150" s="101" t="s">
        <v>7846</v>
      </c>
      <c r="C150" s="99"/>
      <c r="D150" s="99"/>
      <c r="E150" s="99"/>
      <c r="F150" s="99"/>
      <c r="G150" s="99"/>
      <c r="H150" s="100"/>
      <c r="I150" s="101" t="s">
        <v>7847</v>
      </c>
      <c r="J150" s="99"/>
      <c r="K150" s="100"/>
    </row>
    <row r="151" ht="30" customHeight="1" spans="1:11">
      <c r="A151" s="101" t="s">
        <v>7663</v>
      </c>
      <c r="B151" s="101" t="s">
        <v>7848</v>
      </c>
      <c r="C151" s="99"/>
      <c r="D151" s="99"/>
      <c r="E151" s="99"/>
      <c r="F151" s="99"/>
      <c r="G151" s="99"/>
      <c r="H151" s="100"/>
      <c r="I151" s="101" t="s">
        <v>7849</v>
      </c>
      <c r="J151" s="99"/>
      <c r="K151" s="100"/>
    </row>
    <row r="152" ht="45" customHeight="1" spans="1:11">
      <c r="A152" s="101" t="s">
        <v>7702</v>
      </c>
      <c r="B152" s="101" t="s">
        <v>7850</v>
      </c>
      <c r="C152" s="99"/>
      <c r="D152" s="99"/>
      <c r="E152" s="99"/>
      <c r="F152" s="99"/>
      <c r="G152" s="99"/>
      <c r="H152" s="100"/>
      <c r="I152" s="101" t="s">
        <v>7851</v>
      </c>
      <c r="J152" s="99"/>
      <c r="K152" s="100"/>
    </row>
    <row r="153" ht="30" customHeight="1" spans="1:11">
      <c r="A153" s="101" t="s">
        <v>7808</v>
      </c>
      <c r="B153" s="101" t="s">
        <v>7852</v>
      </c>
      <c r="C153" s="99"/>
      <c r="D153" s="99"/>
      <c r="E153" s="99"/>
      <c r="F153" s="99"/>
      <c r="G153" s="99"/>
      <c r="H153" s="100"/>
      <c r="I153" s="101" t="s">
        <v>7853</v>
      </c>
      <c r="J153" s="99"/>
      <c r="K153" s="100"/>
    </row>
    <row r="154" ht="30" customHeight="1" spans="1:11">
      <c r="A154" s="101" t="s">
        <v>7841</v>
      </c>
      <c r="B154" s="101" t="s">
        <v>7854</v>
      </c>
      <c r="C154" s="99"/>
      <c r="D154" s="99"/>
      <c r="E154" s="99"/>
      <c r="F154" s="99"/>
      <c r="G154" s="99"/>
      <c r="H154" s="100"/>
      <c r="I154" s="101" t="s">
        <v>7855</v>
      </c>
      <c r="J154" s="99"/>
      <c r="K154" s="100"/>
    </row>
  </sheetData>
  <mergeCells count="72">
    <mergeCell ref="A1:E1"/>
    <mergeCell ref="A2:E2"/>
    <mergeCell ref="A3:B3"/>
    <mergeCell ref="C3:E3"/>
    <mergeCell ref="A4:B4"/>
    <mergeCell ref="C4:E4"/>
    <mergeCell ref="A5:B5"/>
    <mergeCell ref="C5:E5"/>
    <mergeCell ref="A6:B6"/>
    <mergeCell ref="C6:E6"/>
    <mergeCell ref="A7:B7"/>
    <mergeCell ref="C7:E7"/>
    <mergeCell ref="A8:B8"/>
    <mergeCell ref="C8:E8"/>
    <mergeCell ref="A10:E10"/>
    <mergeCell ref="A11:E11"/>
    <mergeCell ref="C12:D12"/>
    <mergeCell ref="C13:D13"/>
    <mergeCell ref="C14:D14"/>
    <mergeCell ref="C15:D15"/>
    <mergeCell ref="C16:D16"/>
    <mergeCell ref="C17:D17"/>
    <mergeCell ref="C18:D18"/>
    <mergeCell ref="C19:D19"/>
    <mergeCell ref="A21:E21"/>
    <mergeCell ref="C22:E22"/>
    <mergeCell ref="C23:E23"/>
    <mergeCell ref="C24:E24"/>
    <mergeCell ref="A26:E26"/>
    <mergeCell ref="C27:E27"/>
    <mergeCell ref="C28:E28"/>
    <mergeCell ref="C29:E29"/>
    <mergeCell ref="C30:E30"/>
    <mergeCell ref="C31:E31"/>
    <mergeCell ref="C32:E32"/>
    <mergeCell ref="A34:E34"/>
    <mergeCell ref="A41:E41"/>
    <mergeCell ref="A43:E43"/>
    <mergeCell ref="A53:E53"/>
    <mergeCell ref="A55:E55"/>
    <mergeCell ref="A58:K58"/>
    <mergeCell ref="A60:K60"/>
    <mergeCell ref="A79:K79"/>
    <mergeCell ref="A96:K96"/>
    <mergeCell ref="A101:K101"/>
    <mergeCell ref="A106:K106"/>
    <mergeCell ref="A111:K111"/>
    <mergeCell ref="A114:K114"/>
    <mergeCell ref="A117:K117"/>
    <mergeCell ref="A119:K119"/>
    <mergeCell ref="A122:K122"/>
    <mergeCell ref="A124:K124"/>
    <mergeCell ref="A127:K127"/>
    <mergeCell ref="A129:K129"/>
    <mergeCell ref="A131:K131"/>
    <mergeCell ref="A133:K133"/>
    <mergeCell ref="A136:K136"/>
    <mergeCell ref="A138:K138"/>
    <mergeCell ref="A140:K140"/>
    <mergeCell ref="A148:K148"/>
    <mergeCell ref="B149:H149"/>
    <mergeCell ref="I149:K149"/>
    <mergeCell ref="B150:H150"/>
    <mergeCell ref="I150:K150"/>
    <mergeCell ref="B151:H151"/>
    <mergeCell ref="I151:K151"/>
    <mergeCell ref="B152:H152"/>
    <mergeCell ref="I152:K152"/>
    <mergeCell ref="B153:H153"/>
    <mergeCell ref="I153:K153"/>
    <mergeCell ref="B154:H154"/>
    <mergeCell ref="I154:K154"/>
  </mergeCells>
  <conditionalFormatting sqref="J60:J141">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workbookViewId="0">
      <pane xSplit="1" ySplit="12" topLeftCell="B13" activePane="bottomRight" state="frozen"/>
      <selection/>
      <selection pane="topRight"/>
      <selection pane="bottomLeft"/>
      <selection pane="bottomRight" activeCell="A1" sqref="A1:J1"/>
    </sheetView>
  </sheetViews>
  <sheetFormatPr defaultColWidth="9" defaultRowHeight="15"/>
  <cols>
    <col min="1" max="1" width="15" customWidth="1"/>
    <col min="2" max="2" width="34" customWidth="1"/>
    <col min="3" max="3" width="9" customWidth="1"/>
    <col min="4" max="4" width="34" customWidth="1"/>
    <col min="5" max="5" width="24" customWidth="1"/>
    <col min="6" max="6" width="34" customWidth="1"/>
    <col min="7" max="7" width="30" customWidth="1"/>
    <col min="8" max="8" width="38" customWidth="1"/>
    <col min="9" max="9" width="11" customWidth="1"/>
    <col min="10" max="10" width="34" customWidth="1"/>
  </cols>
  <sheetData>
    <row r="1" ht="20.25" spans="1:10">
      <c r="A1" s="61" t="s">
        <v>1539</v>
      </c>
    </row>
    <row r="3" spans="1:10">
      <c r="A3" s="62" t="s">
        <v>1008</v>
      </c>
      <c r="B3" s="63" t="s">
        <v>227</v>
      </c>
      <c r="D3" s="62" t="s">
        <v>1540</v>
      </c>
      <c r="E3" s="63" t="s">
        <v>7</v>
      </c>
    </row>
    <row r="4" ht="30" spans="1:10">
      <c r="A4" s="62" t="s">
        <v>1541</v>
      </c>
      <c r="B4" s="64" t="s">
        <v>1542</v>
      </c>
      <c r="D4" s="62" t="s">
        <v>1543</v>
      </c>
      <c r="E4" s="63" t="s">
        <v>233</v>
      </c>
    </row>
    <row r="5" ht="30" spans="1:10">
      <c r="A5" s="62" t="s">
        <v>1544</v>
      </c>
      <c r="B5" s="63" t="s">
        <v>1545</v>
      </c>
      <c r="D5" s="62" t="s">
        <v>1546</v>
      </c>
      <c r="E5" s="63" t="s">
        <v>54</v>
      </c>
    </row>
    <row r="6" ht="45" spans="1:10">
      <c r="A6" s="62" t="s">
        <v>1547</v>
      </c>
      <c r="B6" s="63" t="s">
        <v>1548</v>
      </c>
      <c r="D6" s="62" t="s">
        <v>1549</v>
      </c>
      <c r="E6" s="64" t="s">
        <v>1550</v>
      </c>
    </row>
    <row r="8" ht="15.75" spans="1:10">
      <c r="A8" s="65" t="s">
        <v>1551</v>
      </c>
      <c r="B8" s="66"/>
      <c r="C8" s="66"/>
      <c r="D8" s="66"/>
      <c r="E8" s="66"/>
    </row>
    <row r="9" ht="28.5" spans="1:10">
      <c r="A9" s="67" t="s">
        <v>1552</v>
      </c>
      <c r="B9" s="67" t="s">
        <v>1553</v>
      </c>
      <c r="C9" s="67" t="s">
        <v>1554</v>
      </c>
      <c r="D9" s="67" t="s">
        <v>1555</v>
      </c>
      <c r="E9" s="67" t="s">
        <v>1556</v>
      </c>
    </row>
    <row r="10" spans="1:10">
      <c r="A10" s="68">
        <f>COUNTIF(I13:I34,"Pass")+COUNTIF(I13:I34,"Fail")</f>
        <v>16</v>
      </c>
      <c r="B10" s="68">
        <f>COUNTIF(I13:I34,"Pass")</f>
        <v>15</v>
      </c>
      <c r="C10" s="68">
        <f>COUNTIF(I13:I34,"Fail")</f>
        <v>1</v>
      </c>
      <c r="D10" s="69">
        <f>IFERROR(B10/A10,0)</f>
        <v>0.9375</v>
      </c>
      <c r="E10" s="69">
        <f>IFERROR(C10/A10,0)</f>
        <v>0.0625</v>
      </c>
    </row>
    <row r="12" ht="28.5" spans="1:10">
      <c r="A12" s="70" t="s">
        <v>1368</v>
      </c>
      <c r="B12" s="70" t="s">
        <v>1557</v>
      </c>
      <c r="C12" s="70" t="s">
        <v>1558</v>
      </c>
      <c r="D12" s="70" t="s">
        <v>1559</v>
      </c>
      <c r="E12" s="70" t="s">
        <v>1560</v>
      </c>
      <c r="F12" s="70" t="s">
        <v>1561</v>
      </c>
      <c r="G12" s="70" t="s">
        <v>1562</v>
      </c>
      <c r="H12" s="70" t="s">
        <v>1563</v>
      </c>
      <c r="I12" s="70" t="s">
        <v>1564</v>
      </c>
      <c r="J12" s="70" t="s">
        <v>1565</v>
      </c>
    </row>
    <row r="13" ht="15.75" spans="1:10">
      <c r="A13" s="71" t="s">
        <v>7856</v>
      </c>
      <c r="B13" s="48"/>
      <c r="C13" s="48"/>
      <c r="D13" s="48"/>
      <c r="E13" s="48"/>
      <c r="F13" s="48"/>
      <c r="G13" s="48"/>
      <c r="H13" s="48"/>
      <c r="I13" s="48"/>
      <c r="J13" s="32"/>
    </row>
    <row r="14" ht="150" customHeight="1" spans="1:10">
      <c r="A14" s="72" t="s">
        <v>7857</v>
      </c>
      <c r="B14" s="72" t="s">
        <v>7858</v>
      </c>
      <c r="C14" s="73" t="s">
        <v>1569</v>
      </c>
      <c r="D14" s="72" t="s">
        <v>7859</v>
      </c>
      <c r="E14" s="72" t="s">
        <v>1571</v>
      </c>
      <c r="F14" s="72" t="s">
        <v>7860</v>
      </c>
      <c r="G14" s="72" t="s">
        <v>7861</v>
      </c>
      <c r="H14" s="72" t="s">
        <v>7862</v>
      </c>
      <c r="I14" s="73" t="s">
        <v>1129</v>
      </c>
      <c r="J14" s="72" t="s">
        <v>7</v>
      </c>
    </row>
    <row r="15" ht="75" customHeight="1" spans="1:10">
      <c r="A15" s="72" t="s">
        <v>7863</v>
      </c>
      <c r="B15" s="72" t="s">
        <v>7858</v>
      </c>
      <c r="C15" s="73" t="s">
        <v>1569</v>
      </c>
      <c r="D15" s="72" t="s">
        <v>7864</v>
      </c>
      <c r="E15" s="72" t="s">
        <v>1571</v>
      </c>
      <c r="F15" s="72" t="s">
        <v>7865</v>
      </c>
      <c r="G15" s="72" t="s">
        <v>2557</v>
      </c>
      <c r="H15" s="72" t="s">
        <v>7866</v>
      </c>
      <c r="I15" s="73" t="s">
        <v>1129</v>
      </c>
      <c r="J15" s="72" t="s">
        <v>7</v>
      </c>
    </row>
    <row r="16" ht="105" customHeight="1" spans="1:10">
      <c r="A16" s="72" t="s">
        <v>7867</v>
      </c>
      <c r="B16" s="72" t="s">
        <v>7858</v>
      </c>
      <c r="C16" s="73" t="s">
        <v>1569</v>
      </c>
      <c r="D16" s="72" t="s">
        <v>7868</v>
      </c>
      <c r="E16" s="72" t="s">
        <v>1571</v>
      </c>
      <c r="F16" s="72" t="s">
        <v>7869</v>
      </c>
      <c r="G16" s="72" t="s">
        <v>7870</v>
      </c>
      <c r="H16" s="72" t="s">
        <v>7871</v>
      </c>
      <c r="I16" s="73" t="s">
        <v>1129</v>
      </c>
      <c r="J16" s="72" t="s">
        <v>7</v>
      </c>
    </row>
    <row r="17" ht="105" customHeight="1" spans="1:10">
      <c r="A17" s="72" t="s">
        <v>7872</v>
      </c>
      <c r="B17" s="72" t="s">
        <v>7858</v>
      </c>
      <c r="C17" s="73" t="s">
        <v>1569</v>
      </c>
      <c r="D17" s="72" t="s">
        <v>7873</v>
      </c>
      <c r="E17" s="72" t="s">
        <v>1571</v>
      </c>
      <c r="F17" s="72" t="s">
        <v>7874</v>
      </c>
      <c r="G17" s="72" t="s">
        <v>7875</v>
      </c>
      <c r="H17" s="72" t="s">
        <v>7876</v>
      </c>
      <c r="I17" s="73" t="s">
        <v>1129</v>
      </c>
      <c r="J17" s="72" t="s">
        <v>7</v>
      </c>
    </row>
    <row r="18" ht="90" customHeight="1" spans="1:10">
      <c r="A18" s="72" t="s">
        <v>7877</v>
      </c>
      <c r="B18" s="72" t="s">
        <v>7858</v>
      </c>
      <c r="C18" s="73" t="s">
        <v>1569</v>
      </c>
      <c r="D18" s="72" t="s">
        <v>7878</v>
      </c>
      <c r="E18" s="72" t="s">
        <v>1571</v>
      </c>
      <c r="F18" s="72" t="s">
        <v>7879</v>
      </c>
      <c r="G18" s="72" t="s">
        <v>7880</v>
      </c>
      <c r="H18" s="72" t="s">
        <v>7881</v>
      </c>
      <c r="I18" s="73" t="s">
        <v>1129</v>
      </c>
      <c r="J18" s="72" t="s">
        <v>7</v>
      </c>
    </row>
    <row r="19" ht="75" customHeight="1" spans="1:10">
      <c r="A19" s="72" t="s">
        <v>7882</v>
      </c>
      <c r="B19" s="72" t="s">
        <v>7858</v>
      </c>
      <c r="C19" s="73" t="s">
        <v>1569</v>
      </c>
      <c r="D19" s="72" t="s">
        <v>7883</v>
      </c>
      <c r="E19" s="72" t="s">
        <v>1595</v>
      </c>
      <c r="F19" s="72" t="s">
        <v>7884</v>
      </c>
      <c r="G19" s="72" t="s">
        <v>7885</v>
      </c>
      <c r="H19" s="72" t="s">
        <v>7886</v>
      </c>
      <c r="I19" s="73" t="s">
        <v>1129</v>
      </c>
      <c r="J19" s="72" t="s">
        <v>7</v>
      </c>
    </row>
    <row r="20" ht="90" customHeight="1" spans="1:10">
      <c r="A20" s="72" t="s">
        <v>7887</v>
      </c>
      <c r="B20" s="72" t="s">
        <v>7858</v>
      </c>
      <c r="C20" s="73" t="s">
        <v>1569</v>
      </c>
      <c r="D20" s="72" t="s">
        <v>7888</v>
      </c>
      <c r="E20" s="72" t="s">
        <v>1571</v>
      </c>
      <c r="F20" s="72" t="s">
        <v>7889</v>
      </c>
      <c r="G20" s="72" t="s">
        <v>7890</v>
      </c>
      <c r="H20" s="72" t="s">
        <v>7891</v>
      </c>
      <c r="I20" s="73" t="s">
        <v>1129</v>
      </c>
      <c r="J20" s="72" t="s">
        <v>7</v>
      </c>
    </row>
    <row r="21" ht="60" customHeight="1" spans="1:10">
      <c r="A21" s="72" t="s">
        <v>7892</v>
      </c>
      <c r="B21" s="72" t="s">
        <v>7893</v>
      </c>
      <c r="C21" s="73" t="s">
        <v>1569</v>
      </c>
      <c r="D21" s="72" t="s">
        <v>7894</v>
      </c>
      <c r="E21" s="72" t="s">
        <v>1571</v>
      </c>
      <c r="F21" s="72" t="s">
        <v>7895</v>
      </c>
      <c r="G21" s="72" t="s">
        <v>4705</v>
      </c>
      <c r="H21" s="72" t="s">
        <v>7896</v>
      </c>
      <c r="I21" s="73" t="s">
        <v>1129</v>
      </c>
      <c r="J21" s="72" t="s">
        <v>7</v>
      </c>
    </row>
    <row r="22" ht="15.75" spans="1:10">
      <c r="A22" s="71" t="s">
        <v>7897</v>
      </c>
      <c r="B22" s="48"/>
      <c r="C22" s="48"/>
      <c r="D22" s="48"/>
      <c r="E22" s="48"/>
      <c r="F22" s="48"/>
      <c r="G22" s="48"/>
      <c r="H22" s="48"/>
      <c r="I22" s="48"/>
      <c r="J22" s="32"/>
    </row>
    <row r="23" ht="60" customHeight="1" spans="1:10">
      <c r="A23" s="72" t="s">
        <v>7898</v>
      </c>
      <c r="B23" s="72" t="s">
        <v>7899</v>
      </c>
      <c r="C23" s="73" t="s">
        <v>1569</v>
      </c>
      <c r="D23" s="72" t="s">
        <v>7900</v>
      </c>
      <c r="E23" s="72" t="s">
        <v>7901</v>
      </c>
      <c r="F23" s="72" t="s">
        <v>1588</v>
      </c>
      <c r="G23" s="72" t="s">
        <v>7902</v>
      </c>
      <c r="H23" s="72" t="s">
        <v>7903</v>
      </c>
      <c r="I23" s="73" t="s">
        <v>1129</v>
      </c>
      <c r="J23" s="72" t="s">
        <v>7</v>
      </c>
    </row>
    <row r="24" ht="30" customHeight="1" spans="1:10">
      <c r="A24" s="72" t="s">
        <v>7904</v>
      </c>
      <c r="B24" s="72" t="s">
        <v>7899</v>
      </c>
      <c r="C24" s="73" t="s">
        <v>1569</v>
      </c>
      <c r="D24" s="72" t="s">
        <v>7905</v>
      </c>
      <c r="E24" s="72" t="s">
        <v>1571</v>
      </c>
      <c r="F24" s="72" t="s">
        <v>1588</v>
      </c>
      <c r="G24" s="72" t="s">
        <v>7906</v>
      </c>
      <c r="H24" s="72" t="s">
        <v>7907</v>
      </c>
      <c r="I24" s="73" t="s">
        <v>1129</v>
      </c>
      <c r="J24" s="72" t="s">
        <v>7</v>
      </c>
    </row>
    <row r="25" ht="15.75" spans="1:10">
      <c r="A25" s="71" t="s">
        <v>1729</v>
      </c>
      <c r="B25" s="48"/>
      <c r="C25" s="48"/>
      <c r="D25" s="48"/>
      <c r="E25" s="48"/>
      <c r="F25" s="48"/>
      <c r="G25" s="48"/>
      <c r="H25" s="48"/>
      <c r="I25" s="48"/>
      <c r="J25" s="32"/>
    </row>
    <row r="26" ht="30" customHeight="1" spans="1:10">
      <c r="A26" s="72" t="s">
        <v>7908</v>
      </c>
      <c r="B26" s="72" t="s">
        <v>7909</v>
      </c>
      <c r="C26" s="73" t="s">
        <v>1585</v>
      </c>
      <c r="D26" s="72" t="s">
        <v>7910</v>
      </c>
      <c r="E26" s="72" t="s">
        <v>7911</v>
      </c>
      <c r="F26" s="72" t="s">
        <v>1588</v>
      </c>
      <c r="G26" s="72" t="s">
        <v>7912</v>
      </c>
      <c r="H26" s="72" t="s">
        <v>7913</v>
      </c>
      <c r="I26" s="73" t="s">
        <v>1129</v>
      </c>
      <c r="J26" s="72" t="s">
        <v>7</v>
      </c>
    </row>
    <row r="27" ht="75" customHeight="1" spans="1:10">
      <c r="A27" s="72" t="s">
        <v>7914</v>
      </c>
      <c r="B27" s="72" t="s">
        <v>7915</v>
      </c>
      <c r="C27" s="73" t="s">
        <v>1603</v>
      </c>
      <c r="D27" s="72" t="s">
        <v>7916</v>
      </c>
      <c r="E27" s="72" t="s">
        <v>7911</v>
      </c>
      <c r="F27" s="72" t="s">
        <v>1588</v>
      </c>
      <c r="G27" s="72" t="s">
        <v>7917</v>
      </c>
      <c r="H27" s="72" t="s">
        <v>7918</v>
      </c>
      <c r="I27" s="73" t="s">
        <v>1130</v>
      </c>
      <c r="J27" s="72" t="s">
        <v>7074</v>
      </c>
    </row>
    <row r="28" ht="15.75" spans="1:10">
      <c r="A28" s="71" t="s">
        <v>7897</v>
      </c>
      <c r="B28" s="48"/>
      <c r="C28" s="48"/>
      <c r="D28" s="48"/>
      <c r="E28" s="48"/>
      <c r="F28" s="48"/>
      <c r="G28" s="48"/>
      <c r="H28" s="48"/>
      <c r="I28" s="48"/>
      <c r="J28" s="32"/>
    </row>
    <row r="29" ht="105" customHeight="1" spans="1:10">
      <c r="A29" s="72" t="s">
        <v>7919</v>
      </c>
      <c r="B29" s="72" t="s">
        <v>7920</v>
      </c>
      <c r="C29" s="73" t="s">
        <v>1585</v>
      </c>
      <c r="D29" s="72" t="s">
        <v>7921</v>
      </c>
      <c r="E29" s="72" t="s">
        <v>1668</v>
      </c>
      <c r="F29" s="72" t="s">
        <v>1588</v>
      </c>
      <c r="G29" s="72" t="s">
        <v>1669</v>
      </c>
      <c r="H29" s="72" t="s">
        <v>7922</v>
      </c>
      <c r="I29" s="73" t="s">
        <v>1129</v>
      </c>
      <c r="J29" s="72" t="s">
        <v>7</v>
      </c>
    </row>
    <row r="30" ht="15.75" spans="1:10">
      <c r="A30" s="71" t="s">
        <v>1671</v>
      </c>
      <c r="B30" s="48"/>
      <c r="C30" s="48"/>
      <c r="D30" s="48"/>
      <c r="E30" s="48"/>
      <c r="F30" s="48"/>
      <c r="G30" s="48"/>
      <c r="H30" s="48"/>
      <c r="I30" s="48"/>
      <c r="J30" s="32"/>
    </row>
    <row r="31" ht="30" customHeight="1" spans="1:10">
      <c r="A31" s="72" t="s">
        <v>7923</v>
      </c>
      <c r="B31" s="72" t="s">
        <v>7924</v>
      </c>
      <c r="C31" s="73" t="s">
        <v>1585</v>
      </c>
      <c r="D31" s="72" t="s">
        <v>7925</v>
      </c>
      <c r="E31" s="72" t="s">
        <v>1595</v>
      </c>
      <c r="F31" s="72" t="s">
        <v>1588</v>
      </c>
      <c r="G31" s="72" t="s">
        <v>4164</v>
      </c>
      <c r="H31" s="72" t="s">
        <v>7926</v>
      </c>
      <c r="I31" s="73" t="s">
        <v>1129</v>
      </c>
      <c r="J31" s="72" t="s">
        <v>7</v>
      </c>
    </row>
    <row r="32" ht="15.75" spans="1:10">
      <c r="A32" s="71" t="s">
        <v>7897</v>
      </c>
      <c r="B32" s="48"/>
      <c r="C32" s="48"/>
      <c r="D32" s="48"/>
      <c r="E32" s="48"/>
      <c r="F32" s="48"/>
      <c r="G32" s="48"/>
      <c r="H32" s="48"/>
      <c r="I32" s="48"/>
      <c r="J32" s="32"/>
    </row>
    <row r="33" ht="60" customHeight="1" spans="1:10">
      <c r="A33" s="72" t="s">
        <v>7927</v>
      </c>
      <c r="B33" s="72" t="s">
        <v>7928</v>
      </c>
      <c r="C33" s="73" t="s">
        <v>1603</v>
      </c>
      <c r="D33" s="72" t="s">
        <v>7929</v>
      </c>
      <c r="E33" s="72" t="s">
        <v>1668</v>
      </c>
      <c r="F33" s="72" t="s">
        <v>1588</v>
      </c>
      <c r="G33" s="72" t="s">
        <v>7930</v>
      </c>
      <c r="H33" s="72" t="s">
        <v>7931</v>
      </c>
      <c r="I33" s="73" t="s">
        <v>1129</v>
      </c>
      <c r="J33" s="72" t="s">
        <v>7</v>
      </c>
    </row>
    <row r="34" ht="60" customHeight="1" spans="1:10">
      <c r="A34" s="72" t="s">
        <v>7932</v>
      </c>
      <c r="B34" s="72" t="s">
        <v>7933</v>
      </c>
      <c r="C34" s="73" t="s">
        <v>1603</v>
      </c>
      <c r="D34" s="72" t="s">
        <v>7934</v>
      </c>
      <c r="E34" s="72" t="s">
        <v>7935</v>
      </c>
      <c r="F34" s="72" t="s">
        <v>1588</v>
      </c>
      <c r="G34" s="72" t="s">
        <v>7936</v>
      </c>
      <c r="H34" s="72" t="s">
        <v>7937</v>
      </c>
      <c r="I34" s="73" t="s">
        <v>1129</v>
      </c>
      <c r="J34" s="72" t="s">
        <v>7</v>
      </c>
    </row>
  </sheetData>
  <mergeCells count="8">
    <mergeCell ref="A1:J1"/>
    <mergeCell ref="A8:E8"/>
    <mergeCell ref="A13:J13"/>
    <mergeCell ref="A22:J22"/>
    <mergeCell ref="A25:J25"/>
    <mergeCell ref="A28:J28"/>
    <mergeCell ref="A30:J30"/>
    <mergeCell ref="A32:J32"/>
  </mergeCells>
  <conditionalFormatting sqref="I13:I34">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9"/>
  <sheetViews>
    <sheetView workbookViewId="0">
      <selection activeCell="A1" sqref="A1:K1"/>
    </sheetView>
  </sheetViews>
  <sheetFormatPr defaultColWidth="9" defaultRowHeight="15"/>
  <cols>
    <col min="1" max="1" width="7" customWidth="1"/>
    <col min="2" max="2" width="12" customWidth="1"/>
    <col min="3" max="3" width="30" customWidth="1"/>
    <col min="4" max="4" width="20" customWidth="1"/>
    <col min="5" max="5" width="36" customWidth="1"/>
    <col min="6" max="9" width="18" customWidth="1"/>
    <col min="10" max="10" width="10" customWidth="1"/>
    <col min="11" max="11" width="26" customWidth="1"/>
  </cols>
  <sheetData>
    <row r="1" ht="20.25" spans="1:11">
      <c r="A1" s="20" t="s">
        <v>1749</v>
      </c>
    </row>
    <row r="3" ht="28.5" spans="1:11">
      <c r="A3" s="49" t="s">
        <v>1008</v>
      </c>
      <c r="B3" s="49" t="s">
        <v>227</v>
      </c>
      <c r="D3" s="49" t="s">
        <v>1540</v>
      </c>
      <c r="E3" s="49" t="s">
        <v>7</v>
      </c>
    </row>
    <row r="4" ht="42.75" spans="1:11">
      <c r="A4" s="49" t="s">
        <v>1750</v>
      </c>
      <c r="B4" s="50" t="s">
        <v>7938</v>
      </c>
      <c r="D4" s="49" t="s">
        <v>1752</v>
      </c>
      <c r="E4" s="49" t="s">
        <v>1753</v>
      </c>
    </row>
    <row r="5" ht="42.75" spans="1:11">
      <c r="A5" s="49" t="s">
        <v>1754</v>
      </c>
      <c r="B5" s="49" t="s">
        <v>1755</v>
      </c>
      <c r="D5" s="49" t="s">
        <v>1543</v>
      </c>
      <c r="E5" s="49" t="s">
        <v>233</v>
      </c>
    </row>
    <row r="7" ht="15.75" spans="1:11">
      <c r="A7" s="51" t="s">
        <v>1756</v>
      </c>
    </row>
    <row r="8" spans="1:11">
      <c r="A8" s="52" t="s">
        <v>1757</v>
      </c>
      <c r="B8" s="32"/>
      <c r="C8" s="52" t="s">
        <v>1758</v>
      </c>
      <c r="D8" s="52" t="s">
        <v>1553</v>
      </c>
      <c r="E8" s="52" t="s">
        <v>1554</v>
      </c>
      <c r="F8" s="52" t="s">
        <v>1759</v>
      </c>
      <c r="G8" s="52" t="s">
        <v>1760</v>
      </c>
      <c r="H8" s="48"/>
      <c r="I8" s="48"/>
      <c r="J8" s="48"/>
      <c r="K8" s="32"/>
    </row>
    <row r="9" ht="32" customHeight="1" spans="1:11">
      <c r="A9" s="53" t="s">
        <v>1761</v>
      </c>
      <c r="B9" s="54"/>
      <c r="C9" s="55">
        <f>COUNTIF($B$15:$B$119,"Unit Test")-COUNTIFS($B$15:$B$119,"Unit Test",$J$15:$J$119,"Pending")</f>
        <v>64</v>
      </c>
      <c r="D9" s="55">
        <f>COUNTIFS($B$15:$B$119,"Unit Test",$J$15:$J$119,"Pass")</f>
        <v>59</v>
      </c>
      <c r="E9" s="55">
        <f>COUNTIFS($B$15:$B$119,"Unit Test",$J$15:$J$119,"Fail")</f>
        <v>5</v>
      </c>
      <c r="F9" s="56">
        <f>IFERROR(D9/C9,0)</f>
        <v>0.921875</v>
      </c>
      <c r="G9" s="57" t="s">
        <v>7424</v>
      </c>
      <c r="H9" s="48"/>
      <c r="I9" s="48"/>
      <c r="J9" s="48"/>
      <c r="K9" s="32"/>
    </row>
    <row r="10" ht="32" customHeight="1" spans="1:11">
      <c r="A10" s="53" t="s">
        <v>1762</v>
      </c>
      <c r="B10" s="54"/>
      <c r="C10" s="55">
        <f>COUNTIF($B$15:$B$119,"API Test")-COUNTIFS($B$15:$B$119,"API Test",$J$15:$J$119,"Pending")</f>
        <v>16</v>
      </c>
      <c r="D10" s="55">
        <f>COUNTIFS($B$15:$B$119,"API Test",$J$15:$J$119,"Pass")</f>
        <v>15</v>
      </c>
      <c r="E10" s="55">
        <f>COUNTIFS($B$15:$B$119,"API Test",$J$15:$J$119,"Fail")</f>
        <v>1</v>
      </c>
      <c r="F10" s="56">
        <f>IFERROR(D10/C10,0)</f>
        <v>0.9375</v>
      </c>
      <c r="G10" s="57" t="s">
        <v>1763</v>
      </c>
      <c r="H10" s="48"/>
      <c r="I10" s="48"/>
      <c r="J10" s="48"/>
      <c r="K10" s="32"/>
    </row>
    <row r="11" ht="32" customHeight="1" spans="1:11">
      <c r="A11" s="53" t="s">
        <v>1764</v>
      </c>
      <c r="B11" s="54"/>
      <c r="C11" s="55">
        <f>COUNTIF($B$15:$B$119,"UI Test")-COUNTIFS($B$15:$B$119,"UI Test",$J$15:$J$119,"Pending")</f>
        <v>22</v>
      </c>
      <c r="D11" s="55">
        <f>COUNTIFS($B$15:$B$119,"UI Test",$J$15:$J$119,"Pass")</f>
        <v>16</v>
      </c>
      <c r="E11" s="55">
        <f>COUNTIFS($B$15:$B$119,"UI Test",$J$15:$J$119,"Fail")</f>
        <v>6</v>
      </c>
      <c r="F11" s="56">
        <f>IFERROR(D11/C11,0)</f>
        <v>0.727272727272727</v>
      </c>
      <c r="G11" s="57" t="s">
        <v>7939</v>
      </c>
      <c r="H11" s="48"/>
      <c r="I11" s="48"/>
      <c r="J11" s="48"/>
      <c r="K11" s="32"/>
    </row>
    <row r="13" ht="28.5" spans="1:11">
      <c r="A13" s="25" t="s">
        <v>211</v>
      </c>
      <c r="B13" s="25" t="s">
        <v>1757</v>
      </c>
      <c r="C13" s="25" t="s">
        <v>1766</v>
      </c>
      <c r="D13" s="25" t="s">
        <v>1767</v>
      </c>
      <c r="E13" s="25" t="s">
        <v>1559</v>
      </c>
      <c r="F13" s="25" t="s">
        <v>1768</v>
      </c>
      <c r="G13" s="48"/>
      <c r="H13" s="48"/>
      <c r="I13" s="32"/>
      <c r="J13" s="25" t="s">
        <v>1564</v>
      </c>
      <c r="K13" s="25" t="s">
        <v>1565</v>
      </c>
    </row>
    <row r="15" ht="15.75" spans="1:11">
      <c r="A15" s="58" t="s">
        <v>1769</v>
      </c>
      <c r="B15" s="48"/>
      <c r="C15" s="48"/>
      <c r="D15" s="48"/>
      <c r="E15" s="48"/>
      <c r="F15" s="48"/>
      <c r="G15" s="48"/>
      <c r="H15" s="48"/>
      <c r="I15" s="48"/>
      <c r="J15" s="48"/>
      <c r="K15" s="48"/>
    </row>
    <row r="16" ht="75" customHeight="1" spans="1:11">
      <c r="A16" s="55">
        <v>1</v>
      </c>
      <c r="B16" s="55" t="s">
        <v>1770</v>
      </c>
      <c r="C16" s="59" t="s">
        <v>7940</v>
      </c>
      <c r="D16" s="59" t="s">
        <v>7489</v>
      </c>
      <c r="E16" s="59" t="s">
        <v>7492</v>
      </c>
      <c r="F16" s="60" t="s">
        <v>7941</v>
      </c>
      <c r="G16" s="48"/>
      <c r="H16" s="48"/>
      <c r="I16" s="32"/>
      <c r="J16" s="55" t="s">
        <v>1129</v>
      </c>
      <c r="K16" s="59" t="s">
        <v>7</v>
      </c>
    </row>
    <row r="17" ht="45" customHeight="1" spans="1:11">
      <c r="A17" s="55">
        <v>2</v>
      </c>
      <c r="B17" s="55" t="s">
        <v>1770</v>
      </c>
      <c r="C17" s="59" t="s">
        <v>7940</v>
      </c>
      <c r="D17" s="59" t="s">
        <v>7497</v>
      </c>
      <c r="E17" s="59" t="s">
        <v>7499</v>
      </c>
      <c r="F17" s="60" t="s">
        <v>7942</v>
      </c>
      <c r="G17" s="48"/>
      <c r="H17" s="48"/>
      <c r="I17" s="32"/>
      <c r="J17" s="55" t="s">
        <v>1129</v>
      </c>
      <c r="K17" s="59" t="s">
        <v>7</v>
      </c>
    </row>
    <row r="18" ht="60" customHeight="1" spans="1:11">
      <c r="A18" s="55">
        <v>3</v>
      </c>
      <c r="B18" s="55" t="s">
        <v>1770</v>
      </c>
      <c r="C18" s="59" t="s">
        <v>7940</v>
      </c>
      <c r="D18" s="59" t="s">
        <v>7503</v>
      </c>
      <c r="E18" s="59" t="s">
        <v>7505</v>
      </c>
      <c r="F18" s="60" t="s">
        <v>7943</v>
      </c>
      <c r="G18" s="48"/>
      <c r="H18" s="48"/>
      <c r="I18" s="32"/>
      <c r="J18" s="55" t="s">
        <v>1129</v>
      </c>
      <c r="K18" s="59" t="s">
        <v>7</v>
      </c>
    </row>
    <row r="19" customHeight="1" spans="1:11">
      <c r="A19" s="55">
        <v>4</v>
      </c>
      <c r="B19" s="55" t="s">
        <v>1770</v>
      </c>
      <c r="C19" s="59" t="s">
        <v>7944</v>
      </c>
      <c r="D19" s="59" t="s">
        <v>7509</v>
      </c>
      <c r="E19" s="59" t="s">
        <v>7511</v>
      </c>
      <c r="F19" s="60" t="s">
        <v>4209</v>
      </c>
      <c r="G19" s="48"/>
      <c r="H19" s="48"/>
      <c r="I19" s="32"/>
      <c r="J19" s="55" t="s">
        <v>1129</v>
      </c>
      <c r="K19" s="59" t="s">
        <v>7</v>
      </c>
    </row>
    <row r="20" customHeight="1" spans="1:11">
      <c r="A20" s="55">
        <v>5</v>
      </c>
      <c r="B20" s="55" t="s">
        <v>1770</v>
      </c>
      <c r="C20" s="59" t="s">
        <v>7944</v>
      </c>
      <c r="D20" s="59" t="s">
        <v>7516</v>
      </c>
      <c r="E20" s="59" t="s">
        <v>7517</v>
      </c>
      <c r="F20" s="60" t="s">
        <v>4209</v>
      </c>
      <c r="G20" s="48"/>
      <c r="H20" s="48"/>
      <c r="I20" s="32"/>
      <c r="J20" s="55" t="s">
        <v>1129</v>
      </c>
      <c r="K20" s="59" t="s">
        <v>7</v>
      </c>
    </row>
    <row r="21" ht="45" customHeight="1" spans="1:11">
      <c r="A21" s="55">
        <v>6</v>
      </c>
      <c r="B21" s="55" t="s">
        <v>1770</v>
      </c>
      <c r="C21" s="59" t="s">
        <v>7940</v>
      </c>
      <c r="D21" s="59" t="s">
        <v>7519</v>
      </c>
      <c r="E21" s="59" t="s">
        <v>7521</v>
      </c>
      <c r="F21" s="60" t="s">
        <v>7945</v>
      </c>
      <c r="G21" s="48"/>
      <c r="H21" s="48"/>
      <c r="I21" s="32"/>
      <c r="J21" s="55" t="s">
        <v>1129</v>
      </c>
      <c r="K21" s="59" t="s">
        <v>7</v>
      </c>
    </row>
    <row r="22" ht="30" customHeight="1" spans="1:11">
      <c r="A22" s="55">
        <v>7</v>
      </c>
      <c r="B22" s="55" t="s">
        <v>1770</v>
      </c>
      <c r="C22" s="59" t="s">
        <v>7940</v>
      </c>
      <c r="D22" s="59" t="s">
        <v>7525</v>
      </c>
      <c r="E22" s="59" t="s">
        <v>7527</v>
      </c>
      <c r="F22" s="60" t="s">
        <v>7946</v>
      </c>
      <c r="G22" s="48"/>
      <c r="H22" s="48"/>
      <c r="I22" s="32"/>
      <c r="J22" s="55" t="s">
        <v>1129</v>
      </c>
      <c r="K22" s="59" t="s">
        <v>7</v>
      </c>
    </row>
    <row r="23" ht="45" customHeight="1" spans="1:11">
      <c r="A23" s="55">
        <v>8</v>
      </c>
      <c r="B23" s="55" t="s">
        <v>1770</v>
      </c>
      <c r="C23" s="59" t="s">
        <v>7940</v>
      </c>
      <c r="D23" s="59" t="s">
        <v>7530</v>
      </c>
      <c r="E23" s="59" t="s">
        <v>7532</v>
      </c>
      <c r="F23" s="60" t="s">
        <v>7947</v>
      </c>
      <c r="G23" s="48"/>
      <c r="H23" s="48"/>
      <c r="I23" s="32"/>
      <c r="J23" s="55" t="s">
        <v>1129</v>
      </c>
      <c r="K23" s="59" t="s">
        <v>7</v>
      </c>
    </row>
    <row r="24" ht="60" customHeight="1" spans="1:11">
      <c r="A24" s="55">
        <v>9</v>
      </c>
      <c r="B24" s="55" t="s">
        <v>1770</v>
      </c>
      <c r="C24" s="59" t="s">
        <v>7940</v>
      </c>
      <c r="D24" s="59" t="s">
        <v>7536</v>
      </c>
      <c r="E24" s="59" t="s">
        <v>7537</v>
      </c>
      <c r="F24" s="60" t="s">
        <v>7948</v>
      </c>
      <c r="G24" s="48"/>
      <c r="H24" s="48"/>
      <c r="I24" s="32"/>
      <c r="J24" s="55" t="s">
        <v>1129</v>
      </c>
      <c r="K24" s="59" t="s">
        <v>7</v>
      </c>
    </row>
    <row r="25" ht="105" customHeight="1" spans="1:11">
      <c r="A25" s="55">
        <v>10</v>
      </c>
      <c r="B25" s="55" t="s">
        <v>1770</v>
      </c>
      <c r="C25" s="59" t="s">
        <v>7940</v>
      </c>
      <c r="D25" s="59" t="s">
        <v>7540</v>
      </c>
      <c r="E25" s="59" t="s">
        <v>7542</v>
      </c>
      <c r="F25" s="60" t="s">
        <v>7949</v>
      </c>
      <c r="G25" s="48"/>
      <c r="H25" s="48"/>
      <c r="I25" s="32"/>
      <c r="J25" s="55" t="s">
        <v>1129</v>
      </c>
      <c r="K25" s="59" t="s">
        <v>7</v>
      </c>
    </row>
    <row r="26" customHeight="1" spans="1:11">
      <c r="A26" s="55">
        <v>11</v>
      </c>
      <c r="B26" s="55" t="s">
        <v>1770</v>
      </c>
      <c r="C26" s="59" t="s">
        <v>7944</v>
      </c>
      <c r="D26" s="59" t="s">
        <v>7546</v>
      </c>
      <c r="E26" s="59" t="s">
        <v>7547</v>
      </c>
      <c r="F26" s="60" t="s">
        <v>4209</v>
      </c>
      <c r="G26" s="48"/>
      <c r="H26" s="48"/>
      <c r="I26" s="32"/>
      <c r="J26" s="55" t="s">
        <v>1129</v>
      </c>
      <c r="K26" s="59" t="s">
        <v>7</v>
      </c>
    </row>
    <row r="27" customHeight="1" spans="1:11">
      <c r="A27" s="55">
        <v>12</v>
      </c>
      <c r="B27" s="55" t="s">
        <v>1770</v>
      </c>
      <c r="C27" s="59" t="s">
        <v>7944</v>
      </c>
      <c r="D27" s="59" t="s">
        <v>7551</v>
      </c>
      <c r="E27" s="59" t="s">
        <v>7553</v>
      </c>
      <c r="F27" s="60" t="s">
        <v>4209</v>
      </c>
      <c r="G27" s="48"/>
      <c r="H27" s="48"/>
      <c r="I27" s="32"/>
      <c r="J27" s="55" t="s">
        <v>1129</v>
      </c>
      <c r="K27" s="59" t="s">
        <v>7</v>
      </c>
    </row>
    <row r="28" ht="105" customHeight="1" spans="1:11">
      <c r="A28" s="55">
        <v>13</v>
      </c>
      <c r="B28" s="55" t="s">
        <v>1770</v>
      </c>
      <c r="C28" s="59" t="s">
        <v>7940</v>
      </c>
      <c r="D28" s="59" t="s">
        <v>7557</v>
      </c>
      <c r="E28" s="59" t="s">
        <v>7559</v>
      </c>
      <c r="F28" s="60" t="s">
        <v>7950</v>
      </c>
      <c r="G28" s="48"/>
      <c r="H28" s="48"/>
      <c r="I28" s="32"/>
      <c r="J28" s="55" t="s">
        <v>1129</v>
      </c>
      <c r="K28" s="59" t="s">
        <v>7</v>
      </c>
    </row>
    <row r="29" ht="120" customHeight="1" spans="1:11">
      <c r="A29" s="55">
        <v>14</v>
      </c>
      <c r="B29" s="55" t="s">
        <v>1770</v>
      </c>
      <c r="C29" s="59" t="s">
        <v>7940</v>
      </c>
      <c r="D29" s="59" t="s">
        <v>7563</v>
      </c>
      <c r="E29" s="59" t="s">
        <v>7564</v>
      </c>
      <c r="F29" s="60" t="s">
        <v>7951</v>
      </c>
      <c r="G29" s="48"/>
      <c r="H29" s="48"/>
      <c r="I29" s="32"/>
      <c r="J29" s="55" t="s">
        <v>1129</v>
      </c>
      <c r="K29" s="59" t="s">
        <v>7</v>
      </c>
    </row>
    <row r="30" ht="105" customHeight="1" spans="1:11">
      <c r="A30" s="55">
        <v>15</v>
      </c>
      <c r="B30" s="55" t="s">
        <v>1770</v>
      </c>
      <c r="C30" s="59" t="s">
        <v>7940</v>
      </c>
      <c r="D30" s="59" t="s">
        <v>7568</v>
      </c>
      <c r="E30" s="59" t="s">
        <v>7569</v>
      </c>
      <c r="F30" s="60" t="s">
        <v>7952</v>
      </c>
      <c r="G30" s="48"/>
      <c r="H30" s="48"/>
      <c r="I30" s="32"/>
      <c r="J30" s="55" t="s">
        <v>1129</v>
      </c>
      <c r="K30" s="59" t="s">
        <v>7</v>
      </c>
    </row>
    <row r="31" ht="30" customHeight="1" spans="1:11">
      <c r="A31" s="55">
        <v>16</v>
      </c>
      <c r="B31" s="55" t="s">
        <v>1770</v>
      </c>
      <c r="C31" s="59" t="s">
        <v>7953</v>
      </c>
      <c r="D31" s="59" t="s">
        <v>7573</v>
      </c>
      <c r="E31" s="59" t="s">
        <v>7575</v>
      </c>
      <c r="F31" s="60" t="s">
        <v>7954</v>
      </c>
      <c r="G31" s="48"/>
      <c r="H31" s="48"/>
      <c r="I31" s="32"/>
      <c r="J31" s="55" t="s">
        <v>1130</v>
      </c>
      <c r="K31" s="59" t="s">
        <v>7</v>
      </c>
    </row>
    <row r="32" customHeight="1" spans="1:11">
      <c r="A32" s="55">
        <v>17</v>
      </c>
      <c r="B32" s="55" t="s">
        <v>1770</v>
      </c>
      <c r="C32" s="59" t="s">
        <v>7944</v>
      </c>
      <c r="D32" s="59" t="s">
        <v>7579</v>
      </c>
      <c r="E32" s="59" t="s">
        <v>7580</v>
      </c>
      <c r="F32" s="60" t="s">
        <v>4209</v>
      </c>
      <c r="G32" s="48"/>
      <c r="H32" s="48"/>
      <c r="I32" s="32"/>
      <c r="J32" s="55" t="s">
        <v>1129</v>
      </c>
      <c r="K32" s="59" t="s">
        <v>7</v>
      </c>
    </row>
    <row r="33" customHeight="1" spans="1:11">
      <c r="A33" s="55">
        <v>18</v>
      </c>
      <c r="B33" s="55" t="s">
        <v>1770</v>
      </c>
      <c r="C33" s="59" t="s">
        <v>7944</v>
      </c>
      <c r="D33" s="59" t="s">
        <v>7584</v>
      </c>
      <c r="E33" s="59" t="s">
        <v>7585</v>
      </c>
      <c r="F33" s="60" t="s">
        <v>4209</v>
      </c>
      <c r="G33" s="48"/>
      <c r="H33" s="48"/>
      <c r="I33" s="32"/>
      <c r="J33" s="55" t="s">
        <v>1129</v>
      </c>
      <c r="K33" s="59" t="s">
        <v>7</v>
      </c>
    </row>
    <row r="34" ht="75" customHeight="1" spans="1:11">
      <c r="A34" s="55">
        <v>19</v>
      </c>
      <c r="B34" s="55" t="s">
        <v>1770</v>
      </c>
      <c r="C34" s="59" t="s">
        <v>7955</v>
      </c>
      <c r="D34" s="59" t="s">
        <v>7589</v>
      </c>
      <c r="E34" s="59" t="s">
        <v>7592</v>
      </c>
      <c r="F34" s="60" t="s">
        <v>7956</v>
      </c>
      <c r="G34" s="48"/>
      <c r="H34" s="48"/>
      <c r="I34" s="32"/>
      <c r="J34" s="55" t="s">
        <v>1129</v>
      </c>
      <c r="K34" s="59" t="s">
        <v>7</v>
      </c>
    </row>
    <row r="35" ht="30" customHeight="1" spans="1:11">
      <c r="A35" s="55">
        <v>20</v>
      </c>
      <c r="B35" s="55" t="s">
        <v>1770</v>
      </c>
      <c r="C35" s="59" t="s">
        <v>7955</v>
      </c>
      <c r="D35" s="59" t="s">
        <v>7596</v>
      </c>
      <c r="E35" s="59" t="s">
        <v>7597</v>
      </c>
      <c r="F35" s="60" t="s">
        <v>7957</v>
      </c>
      <c r="G35" s="48"/>
      <c r="H35" s="48"/>
      <c r="I35" s="32"/>
      <c r="J35" s="55" t="s">
        <v>1129</v>
      </c>
      <c r="K35" s="59" t="s">
        <v>7</v>
      </c>
    </row>
    <row r="36" ht="75" customHeight="1" spans="1:11">
      <c r="A36" s="55">
        <v>21</v>
      </c>
      <c r="B36" s="55" t="s">
        <v>1770</v>
      </c>
      <c r="C36" s="59" t="s">
        <v>7955</v>
      </c>
      <c r="D36" s="59" t="s">
        <v>7601</v>
      </c>
      <c r="E36" s="59" t="s">
        <v>7603</v>
      </c>
      <c r="F36" s="60" t="s">
        <v>7958</v>
      </c>
      <c r="G36" s="48"/>
      <c r="H36" s="48"/>
      <c r="I36" s="32"/>
      <c r="J36" s="55" t="s">
        <v>1129</v>
      </c>
      <c r="K36" s="59" t="s">
        <v>7</v>
      </c>
    </row>
    <row r="37" ht="45" customHeight="1" spans="1:11">
      <c r="A37" s="55">
        <v>22</v>
      </c>
      <c r="B37" s="55" t="s">
        <v>1770</v>
      </c>
      <c r="C37" s="59" t="s">
        <v>7955</v>
      </c>
      <c r="D37" s="59" t="s">
        <v>7608</v>
      </c>
      <c r="E37" s="59" t="s">
        <v>7609</v>
      </c>
      <c r="F37" s="60" t="s">
        <v>7959</v>
      </c>
      <c r="G37" s="48"/>
      <c r="H37" s="48"/>
      <c r="I37" s="32"/>
      <c r="J37" s="55" t="s">
        <v>1129</v>
      </c>
      <c r="K37" s="59" t="s">
        <v>7</v>
      </c>
    </row>
    <row r="38" ht="30" customHeight="1" spans="1:11">
      <c r="A38" s="55">
        <v>23</v>
      </c>
      <c r="B38" s="55" t="s">
        <v>1770</v>
      </c>
      <c r="C38" s="59" t="s">
        <v>7955</v>
      </c>
      <c r="D38" s="59" t="s">
        <v>7613</v>
      </c>
      <c r="E38" s="59" t="s">
        <v>7614</v>
      </c>
      <c r="F38" s="60" t="s">
        <v>7960</v>
      </c>
      <c r="G38" s="48"/>
      <c r="H38" s="48"/>
      <c r="I38" s="32"/>
      <c r="J38" s="55" t="s">
        <v>1129</v>
      </c>
      <c r="K38" s="59" t="s">
        <v>7</v>
      </c>
    </row>
    <row r="39" ht="90" customHeight="1" spans="1:11">
      <c r="A39" s="55">
        <v>24</v>
      </c>
      <c r="B39" s="55" t="s">
        <v>1770</v>
      </c>
      <c r="C39" s="59" t="s">
        <v>7955</v>
      </c>
      <c r="D39" s="59" t="s">
        <v>7618</v>
      </c>
      <c r="E39" s="59" t="s">
        <v>7620</v>
      </c>
      <c r="F39" s="60" t="s">
        <v>7961</v>
      </c>
      <c r="G39" s="48"/>
      <c r="H39" s="48"/>
      <c r="I39" s="32"/>
      <c r="J39" s="55" t="s">
        <v>1129</v>
      </c>
      <c r="K39" s="59" t="s">
        <v>7</v>
      </c>
    </row>
    <row r="40" ht="90" customHeight="1" spans="1:11">
      <c r="A40" s="55">
        <v>25</v>
      </c>
      <c r="B40" s="55" t="s">
        <v>1770</v>
      </c>
      <c r="C40" s="59" t="s">
        <v>7955</v>
      </c>
      <c r="D40" s="59" t="s">
        <v>7624</v>
      </c>
      <c r="E40" s="59" t="s">
        <v>7626</v>
      </c>
      <c r="F40" s="60" t="s">
        <v>7962</v>
      </c>
      <c r="G40" s="48"/>
      <c r="H40" s="48"/>
      <c r="I40" s="32"/>
      <c r="J40" s="55" t="s">
        <v>1129</v>
      </c>
      <c r="K40" s="59" t="s">
        <v>7</v>
      </c>
    </row>
    <row r="41" customHeight="1" spans="1:11">
      <c r="A41" s="55">
        <v>26</v>
      </c>
      <c r="B41" s="55" t="s">
        <v>1770</v>
      </c>
      <c r="C41" s="59" t="s">
        <v>7963</v>
      </c>
      <c r="D41" s="59" t="s">
        <v>7630</v>
      </c>
      <c r="E41" s="59" t="s">
        <v>7632</v>
      </c>
      <c r="F41" s="60" t="s">
        <v>4209</v>
      </c>
      <c r="G41" s="48"/>
      <c r="H41" s="48"/>
      <c r="I41" s="32"/>
      <c r="J41" s="55" t="s">
        <v>1129</v>
      </c>
      <c r="K41" s="59" t="s">
        <v>7</v>
      </c>
    </row>
    <row r="42" customHeight="1" spans="1:11">
      <c r="A42" s="55">
        <v>27</v>
      </c>
      <c r="B42" s="55" t="s">
        <v>1770</v>
      </c>
      <c r="C42" s="59" t="s">
        <v>7963</v>
      </c>
      <c r="D42" s="59" t="s">
        <v>7636</v>
      </c>
      <c r="E42" s="59" t="s">
        <v>7637</v>
      </c>
      <c r="F42" s="60" t="s">
        <v>4209</v>
      </c>
      <c r="G42" s="48"/>
      <c r="H42" s="48"/>
      <c r="I42" s="32"/>
      <c r="J42" s="55" t="s">
        <v>1129</v>
      </c>
      <c r="K42" s="59" t="s">
        <v>7</v>
      </c>
    </row>
    <row r="43" ht="30" customHeight="1" spans="1:11">
      <c r="A43" s="55">
        <v>28</v>
      </c>
      <c r="B43" s="55" t="s">
        <v>1770</v>
      </c>
      <c r="C43" s="59" t="s">
        <v>7963</v>
      </c>
      <c r="D43" s="59" t="s">
        <v>7640</v>
      </c>
      <c r="E43" s="59" t="s">
        <v>7641</v>
      </c>
      <c r="F43" s="60" t="s">
        <v>4209</v>
      </c>
      <c r="G43" s="48"/>
      <c r="H43" s="48"/>
      <c r="I43" s="32"/>
      <c r="J43" s="55" t="s">
        <v>1129</v>
      </c>
      <c r="K43" s="59" t="s">
        <v>7</v>
      </c>
    </row>
    <row r="44" customHeight="1" spans="1:11">
      <c r="A44" s="55">
        <v>29</v>
      </c>
      <c r="B44" s="55" t="s">
        <v>1770</v>
      </c>
      <c r="C44" s="59" t="s">
        <v>7963</v>
      </c>
      <c r="D44" s="59" t="s">
        <v>7645</v>
      </c>
      <c r="E44" s="59" t="s">
        <v>7646</v>
      </c>
      <c r="F44" s="60" t="s">
        <v>4209</v>
      </c>
      <c r="G44" s="48"/>
      <c r="H44" s="48"/>
      <c r="I44" s="32"/>
      <c r="J44" s="55" t="s">
        <v>1129</v>
      </c>
      <c r="K44" s="59" t="s">
        <v>7</v>
      </c>
    </row>
    <row r="45" customHeight="1" spans="1:11">
      <c r="A45" s="55">
        <v>30</v>
      </c>
      <c r="B45" s="55" t="s">
        <v>1770</v>
      </c>
      <c r="C45" s="59" t="s">
        <v>7963</v>
      </c>
      <c r="D45" s="59" t="s">
        <v>7649</v>
      </c>
      <c r="E45" s="59" t="s">
        <v>7650</v>
      </c>
      <c r="F45" s="60" t="s">
        <v>4209</v>
      </c>
      <c r="G45" s="48"/>
      <c r="H45" s="48"/>
      <c r="I45" s="32"/>
      <c r="J45" s="55" t="s">
        <v>1129</v>
      </c>
      <c r="K45" s="59" t="s">
        <v>7</v>
      </c>
    </row>
    <row r="46" customHeight="1" spans="1:11">
      <c r="A46" s="55">
        <v>31</v>
      </c>
      <c r="B46" s="55" t="s">
        <v>1770</v>
      </c>
      <c r="C46" s="59" t="s">
        <v>7963</v>
      </c>
      <c r="D46" s="59" t="s">
        <v>7652</v>
      </c>
      <c r="E46" s="59" t="s">
        <v>7653</v>
      </c>
      <c r="F46" s="60" t="s">
        <v>4209</v>
      </c>
      <c r="G46" s="48"/>
      <c r="H46" s="48"/>
      <c r="I46" s="32"/>
      <c r="J46" s="55" t="s">
        <v>1129</v>
      </c>
      <c r="K46" s="59" t="s">
        <v>7</v>
      </c>
    </row>
    <row r="47" customHeight="1" spans="1:11">
      <c r="A47" s="55">
        <v>32</v>
      </c>
      <c r="B47" s="55" t="s">
        <v>1770</v>
      </c>
      <c r="C47" s="59" t="s">
        <v>7963</v>
      </c>
      <c r="D47" s="59" t="s">
        <v>7656</v>
      </c>
      <c r="E47" s="59" t="s">
        <v>7657</v>
      </c>
      <c r="F47" s="60" t="s">
        <v>4209</v>
      </c>
      <c r="G47" s="48"/>
      <c r="H47" s="48"/>
      <c r="I47" s="32"/>
      <c r="J47" s="55" t="s">
        <v>1129</v>
      </c>
      <c r="K47" s="59" t="s">
        <v>7</v>
      </c>
    </row>
    <row r="48" customHeight="1" spans="1:11">
      <c r="A48" s="55">
        <v>33</v>
      </c>
      <c r="B48" s="55" t="s">
        <v>1770</v>
      </c>
      <c r="C48" s="59" t="s">
        <v>7963</v>
      </c>
      <c r="D48" s="59" t="s">
        <v>7661</v>
      </c>
      <c r="E48" s="59" t="s">
        <v>7662</v>
      </c>
      <c r="F48" s="60" t="s">
        <v>4209</v>
      </c>
      <c r="G48" s="48"/>
      <c r="H48" s="48"/>
      <c r="I48" s="32"/>
      <c r="J48" s="55" t="s">
        <v>1129</v>
      </c>
      <c r="K48" s="59" t="s">
        <v>7</v>
      </c>
    </row>
    <row r="49" ht="45" customHeight="1" spans="1:11">
      <c r="A49" s="55">
        <v>34</v>
      </c>
      <c r="B49" s="55" t="s">
        <v>1770</v>
      </c>
      <c r="C49" s="59" t="s">
        <v>7964</v>
      </c>
      <c r="D49" s="59" t="s">
        <v>7663</v>
      </c>
      <c r="E49" s="59" t="s">
        <v>7665</v>
      </c>
      <c r="F49" s="60" t="s">
        <v>7965</v>
      </c>
      <c r="G49" s="48"/>
      <c r="H49" s="48"/>
      <c r="I49" s="32"/>
      <c r="J49" s="55" t="s">
        <v>1130</v>
      </c>
      <c r="K49" s="59" t="s">
        <v>7</v>
      </c>
    </row>
    <row r="50" ht="30" customHeight="1" spans="1:11">
      <c r="A50" s="55">
        <v>35</v>
      </c>
      <c r="B50" s="55" t="s">
        <v>1770</v>
      </c>
      <c r="C50" s="59" t="s">
        <v>7966</v>
      </c>
      <c r="D50" s="59" t="s">
        <v>7668</v>
      </c>
      <c r="E50" s="59" t="s">
        <v>7670</v>
      </c>
      <c r="F50" s="60" t="s">
        <v>4209</v>
      </c>
      <c r="G50" s="48"/>
      <c r="H50" s="48"/>
      <c r="I50" s="32"/>
      <c r="J50" s="55" t="s">
        <v>1129</v>
      </c>
      <c r="K50" s="59" t="s">
        <v>7</v>
      </c>
    </row>
    <row r="51" ht="120" customHeight="1" spans="1:11">
      <c r="A51" s="55">
        <v>36</v>
      </c>
      <c r="B51" s="55" t="s">
        <v>1770</v>
      </c>
      <c r="C51" s="59" t="s">
        <v>7966</v>
      </c>
      <c r="D51" s="59" t="s">
        <v>7674</v>
      </c>
      <c r="E51" s="59" t="s">
        <v>7675</v>
      </c>
      <c r="F51" s="60" t="s">
        <v>7967</v>
      </c>
      <c r="G51" s="48"/>
      <c r="H51" s="48"/>
      <c r="I51" s="32"/>
      <c r="J51" s="55" t="s">
        <v>1129</v>
      </c>
      <c r="K51" s="59" t="s">
        <v>7</v>
      </c>
    </row>
    <row r="52" ht="30" customHeight="1" spans="1:11">
      <c r="A52" s="55">
        <v>37</v>
      </c>
      <c r="B52" s="55" t="s">
        <v>1770</v>
      </c>
      <c r="C52" s="59" t="s">
        <v>7966</v>
      </c>
      <c r="D52" s="59" t="s">
        <v>7679</v>
      </c>
      <c r="E52" s="59" t="s">
        <v>7680</v>
      </c>
      <c r="F52" s="60" t="s">
        <v>7968</v>
      </c>
      <c r="G52" s="48"/>
      <c r="H52" s="48"/>
      <c r="I52" s="32"/>
      <c r="J52" s="55" t="s">
        <v>1129</v>
      </c>
      <c r="K52" s="59" t="s">
        <v>7</v>
      </c>
    </row>
    <row r="53" ht="30" customHeight="1" spans="1:11">
      <c r="A53" s="55">
        <v>38</v>
      </c>
      <c r="B53" s="55" t="s">
        <v>1770</v>
      </c>
      <c r="C53" s="59" t="s">
        <v>7966</v>
      </c>
      <c r="D53" s="59" t="s">
        <v>7684</v>
      </c>
      <c r="E53" s="59" t="s">
        <v>7685</v>
      </c>
      <c r="F53" s="60" t="s">
        <v>7954</v>
      </c>
      <c r="G53" s="48"/>
      <c r="H53" s="48"/>
      <c r="I53" s="32"/>
      <c r="J53" s="55" t="s">
        <v>1129</v>
      </c>
      <c r="K53" s="59" t="s">
        <v>7</v>
      </c>
    </row>
    <row r="54" ht="60" customHeight="1" spans="1:11">
      <c r="A54" s="55">
        <v>39</v>
      </c>
      <c r="B54" s="55" t="s">
        <v>1770</v>
      </c>
      <c r="C54" s="59" t="s">
        <v>7969</v>
      </c>
      <c r="D54" s="59" t="s">
        <v>7689</v>
      </c>
      <c r="E54" s="59" t="s">
        <v>7691</v>
      </c>
      <c r="F54" s="60" t="s">
        <v>7970</v>
      </c>
      <c r="G54" s="48"/>
      <c r="H54" s="48"/>
      <c r="I54" s="32"/>
      <c r="J54" s="55" t="s">
        <v>1129</v>
      </c>
      <c r="K54" s="59" t="s">
        <v>7</v>
      </c>
    </row>
    <row r="55" ht="60" customHeight="1" spans="1:11">
      <c r="A55" s="55">
        <v>40</v>
      </c>
      <c r="B55" s="55" t="s">
        <v>1770</v>
      </c>
      <c r="C55" s="59" t="s">
        <v>7969</v>
      </c>
      <c r="D55" s="59" t="s">
        <v>7694</v>
      </c>
      <c r="E55" s="59" t="s">
        <v>7695</v>
      </c>
      <c r="F55" s="60" t="s">
        <v>7971</v>
      </c>
      <c r="G55" s="48"/>
      <c r="H55" s="48"/>
      <c r="I55" s="32"/>
      <c r="J55" s="55" t="s">
        <v>1129</v>
      </c>
      <c r="K55" s="59" t="s">
        <v>7</v>
      </c>
    </row>
    <row r="56" ht="150" customHeight="1" spans="1:11">
      <c r="A56" s="55">
        <v>41</v>
      </c>
      <c r="B56" s="55" t="s">
        <v>1770</v>
      </c>
      <c r="C56" s="59" t="s">
        <v>7969</v>
      </c>
      <c r="D56" s="59" t="s">
        <v>7698</v>
      </c>
      <c r="E56" s="59" t="s">
        <v>7699</v>
      </c>
      <c r="F56" s="60" t="s">
        <v>7972</v>
      </c>
      <c r="G56" s="48"/>
      <c r="H56" s="48"/>
      <c r="I56" s="32"/>
      <c r="J56" s="55" t="s">
        <v>1129</v>
      </c>
      <c r="K56" s="59" t="s">
        <v>7</v>
      </c>
    </row>
    <row r="57" ht="45" customHeight="1" spans="1:11">
      <c r="A57" s="55">
        <v>42</v>
      </c>
      <c r="B57" s="55" t="s">
        <v>1770</v>
      </c>
      <c r="C57" s="59" t="s">
        <v>7973</v>
      </c>
      <c r="D57" s="59" t="s">
        <v>7702</v>
      </c>
      <c r="E57" s="59" t="s">
        <v>7705</v>
      </c>
      <c r="F57" s="60" t="s">
        <v>7974</v>
      </c>
      <c r="G57" s="48"/>
      <c r="H57" s="48"/>
      <c r="I57" s="32"/>
      <c r="J57" s="55" t="s">
        <v>1130</v>
      </c>
      <c r="K57" s="59" t="s">
        <v>7</v>
      </c>
    </row>
    <row r="58" ht="120" customHeight="1" spans="1:11">
      <c r="A58" s="55">
        <v>43</v>
      </c>
      <c r="B58" s="55" t="s">
        <v>1770</v>
      </c>
      <c r="C58" s="59" t="s">
        <v>7975</v>
      </c>
      <c r="D58" s="59" t="s">
        <v>7710</v>
      </c>
      <c r="E58" s="59" t="s">
        <v>7713</v>
      </c>
      <c r="F58" s="60" t="s">
        <v>7976</v>
      </c>
      <c r="G58" s="48"/>
      <c r="H58" s="48"/>
      <c r="I58" s="32"/>
      <c r="J58" s="55" t="s">
        <v>1129</v>
      </c>
      <c r="K58" s="59" t="s">
        <v>7</v>
      </c>
    </row>
    <row r="59" ht="120" customHeight="1" spans="1:11">
      <c r="A59" s="55">
        <v>44</v>
      </c>
      <c r="B59" s="55" t="s">
        <v>1770</v>
      </c>
      <c r="C59" s="59" t="s">
        <v>7975</v>
      </c>
      <c r="D59" s="59" t="s">
        <v>7717</v>
      </c>
      <c r="E59" s="59" t="s">
        <v>7718</v>
      </c>
      <c r="F59" s="60" t="s">
        <v>7977</v>
      </c>
      <c r="G59" s="48"/>
      <c r="H59" s="48"/>
      <c r="I59" s="32"/>
      <c r="J59" s="55" t="s">
        <v>1129</v>
      </c>
      <c r="K59" s="59" t="s">
        <v>7</v>
      </c>
    </row>
    <row r="60" ht="120" customHeight="1" spans="1:11">
      <c r="A60" s="55">
        <v>45</v>
      </c>
      <c r="B60" s="55" t="s">
        <v>1770</v>
      </c>
      <c r="C60" s="59" t="s">
        <v>7975</v>
      </c>
      <c r="D60" s="59" t="s">
        <v>7722</v>
      </c>
      <c r="E60" s="59" t="s">
        <v>7724</v>
      </c>
      <c r="F60" s="60" t="s">
        <v>7978</v>
      </c>
      <c r="G60" s="48"/>
      <c r="H60" s="48"/>
      <c r="I60" s="32"/>
      <c r="J60" s="55" t="s">
        <v>1129</v>
      </c>
      <c r="K60" s="59" t="s">
        <v>7</v>
      </c>
    </row>
    <row r="61" ht="120" customHeight="1" spans="1:11">
      <c r="A61" s="55">
        <v>46</v>
      </c>
      <c r="B61" s="55" t="s">
        <v>1770</v>
      </c>
      <c r="C61" s="59" t="s">
        <v>7975</v>
      </c>
      <c r="D61" s="59" t="s">
        <v>7728</v>
      </c>
      <c r="E61" s="59" t="s">
        <v>7729</v>
      </c>
      <c r="F61" s="60" t="s">
        <v>7979</v>
      </c>
      <c r="G61" s="48"/>
      <c r="H61" s="48"/>
      <c r="I61" s="32"/>
      <c r="J61" s="55" t="s">
        <v>1129</v>
      </c>
      <c r="K61" s="59" t="s">
        <v>7</v>
      </c>
    </row>
    <row r="62" ht="135" customHeight="1" spans="1:11">
      <c r="A62" s="55">
        <v>47</v>
      </c>
      <c r="B62" s="55" t="s">
        <v>1770</v>
      </c>
      <c r="C62" s="59" t="s">
        <v>7975</v>
      </c>
      <c r="D62" s="59" t="s">
        <v>7734</v>
      </c>
      <c r="E62" s="59" t="s">
        <v>7736</v>
      </c>
      <c r="F62" s="60" t="s">
        <v>7980</v>
      </c>
      <c r="G62" s="48"/>
      <c r="H62" s="48"/>
      <c r="I62" s="32"/>
      <c r="J62" s="55" t="s">
        <v>1129</v>
      </c>
      <c r="K62" s="59" t="s">
        <v>7</v>
      </c>
    </row>
    <row r="63" ht="150" customHeight="1" spans="1:11">
      <c r="A63" s="55">
        <v>48</v>
      </c>
      <c r="B63" s="55" t="s">
        <v>1770</v>
      </c>
      <c r="C63" s="59" t="s">
        <v>7975</v>
      </c>
      <c r="D63" s="59" t="s">
        <v>7740</v>
      </c>
      <c r="E63" s="59" t="s">
        <v>7741</v>
      </c>
      <c r="F63" s="60" t="s">
        <v>7981</v>
      </c>
      <c r="G63" s="48"/>
      <c r="H63" s="48"/>
      <c r="I63" s="32"/>
      <c r="J63" s="55" t="s">
        <v>1129</v>
      </c>
      <c r="K63" s="59" t="s">
        <v>7</v>
      </c>
    </row>
    <row r="64" ht="135" customHeight="1" spans="1:11">
      <c r="A64" s="55">
        <v>49</v>
      </c>
      <c r="B64" s="55" t="s">
        <v>1770</v>
      </c>
      <c r="C64" s="59" t="s">
        <v>7975</v>
      </c>
      <c r="D64" s="59" t="s">
        <v>7745</v>
      </c>
      <c r="E64" s="59" t="s">
        <v>7747</v>
      </c>
      <c r="F64" s="60" t="s">
        <v>7982</v>
      </c>
      <c r="G64" s="48"/>
      <c r="H64" s="48"/>
      <c r="I64" s="32"/>
      <c r="J64" s="55" t="s">
        <v>1129</v>
      </c>
      <c r="K64" s="59" t="s">
        <v>7</v>
      </c>
    </row>
    <row r="65" ht="90" customHeight="1" spans="1:11">
      <c r="A65" s="55">
        <v>50</v>
      </c>
      <c r="B65" s="55" t="s">
        <v>1770</v>
      </c>
      <c r="C65" s="59" t="s">
        <v>7975</v>
      </c>
      <c r="D65" s="59" t="s">
        <v>7751</v>
      </c>
      <c r="E65" s="59" t="s">
        <v>7753</v>
      </c>
      <c r="F65" s="60" t="s">
        <v>7983</v>
      </c>
      <c r="G65" s="48"/>
      <c r="H65" s="48"/>
      <c r="I65" s="32"/>
      <c r="J65" s="55" t="s">
        <v>1129</v>
      </c>
      <c r="K65" s="59" t="s">
        <v>7</v>
      </c>
    </row>
    <row r="66" ht="75" customHeight="1" spans="1:11">
      <c r="A66" s="55">
        <v>51</v>
      </c>
      <c r="B66" s="55" t="s">
        <v>1770</v>
      </c>
      <c r="C66" s="59" t="s">
        <v>7975</v>
      </c>
      <c r="D66" s="59" t="s">
        <v>7758</v>
      </c>
      <c r="E66" s="59" t="s">
        <v>7760</v>
      </c>
      <c r="F66" s="60" t="s">
        <v>7984</v>
      </c>
      <c r="G66" s="48"/>
      <c r="H66" s="48"/>
      <c r="I66" s="32"/>
      <c r="J66" s="55" t="s">
        <v>1129</v>
      </c>
      <c r="K66" s="59" t="s">
        <v>7</v>
      </c>
    </row>
    <row r="67" ht="90" customHeight="1" spans="1:11">
      <c r="A67" s="55">
        <v>52</v>
      </c>
      <c r="B67" s="55" t="s">
        <v>1770</v>
      </c>
      <c r="C67" s="59" t="s">
        <v>7975</v>
      </c>
      <c r="D67" s="59" t="s">
        <v>7765</v>
      </c>
      <c r="E67" s="59" t="s">
        <v>7766</v>
      </c>
      <c r="F67" s="60" t="s">
        <v>7985</v>
      </c>
      <c r="G67" s="48"/>
      <c r="H67" s="48"/>
      <c r="I67" s="32"/>
      <c r="J67" s="55" t="s">
        <v>1129</v>
      </c>
      <c r="K67" s="59" t="s">
        <v>7</v>
      </c>
    </row>
    <row r="68" ht="105" customHeight="1" spans="1:11">
      <c r="A68" s="55">
        <v>53</v>
      </c>
      <c r="B68" s="55" t="s">
        <v>1770</v>
      </c>
      <c r="C68" s="59" t="s">
        <v>7975</v>
      </c>
      <c r="D68" s="59" t="s">
        <v>7770</v>
      </c>
      <c r="E68" s="59" t="s">
        <v>7771</v>
      </c>
      <c r="F68" s="60" t="s">
        <v>7986</v>
      </c>
      <c r="G68" s="48"/>
      <c r="H68" s="48"/>
      <c r="I68" s="32"/>
      <c r="J68" s="55" t="s">
        <v>1129</v>
      </c>
      <c r="K68" s="59" t="s">
        <v>7</v>
      </c>
    </row>
    <row r="69" ht="105" customHeight="1" spans="1:11">
      <c r="A69" s="55">
        <v>54</v>
      </c>
      <c r="B69" s="55" t="s">
        <v>1770</v>
      </c>
      <c r="C69" s="59" t="s">
        <v>7975</v>
      </c>
      <c r="D69" s="59" t="s">
        <v>7775</v>
      </c>
      <c r="E69" s="59" t="s">
        <v>7777</v>
      </c>
      <c r="F69" s="60" t="s">
        <v>7987</v>
      </c>
      <c r="G69" s="48"/>
      <c r="H69" s="48"/>
      <c r="I69" s="32"/>
      <c r="J69" s="55" t="s">
        <v>1129</v>
      </c>
      <c r="K69" s="59" t="s">
        <v>7</v>
      </c>
    </row>
    <row r="70" ht="105" customHeight="1" spans="1:11">
      <c r="A70" s="55">
        <v>55</v>
      </c>
      <c r="B70" s="55" t="s">
        <v>1770</v>
      </c>
      <c r="C70" s="59" t="s">
        <v>7975</v>
      </c>
      <c r="D70" s="59" t="s">
        <v>7782</v>
      </c>
      <c r="E70" s="59" t="s">
        <v>7784</v>
      </c>
      <c r="F70" s="60" t="s">
        <v>7988</v>
      </c>
      <c r="G70" s="48"/>
      <c r="H70" s="48"/>
      <c r="I70" s="32"/>
      <c r="J70" s="55" t="s">
        <v>1129</v>
      </c>
      <c r="K70" s="59" t="s">
        <v>7</v>
      </c>
    </row>
    <row r="71" ht="90" customHeight="1" spans="1:11">
      <c r="A71" s="55">
        <v>56</v>
      </c>
      <c r="B71" s="55" t="s">
        <v>1770</v>
      </c>
      <c r="C71" s="59" t="s">
        <v>7975</v>
      </c>
      <c r="D71" s="59" t="s">
        <v>7788</v>
      </c>
      <c r="E71" s="59" t="s">
        <v>7790</v>
      </c>
      <c r="F71" s="60" t="s">
        <v>7989</v>
      </c>
      <c r="G71" s="48"/>
      <c r="H71" s="48"/>
      <c r="I71" s="32"/>
      <c r="J71" s="55" t="s">
        <v>1129</v>
      </c>
      <c r="K71" s="59" t="s">
        <v>7</v>
      </c>
    </row>
    <row r="72" ht="90" customHeight="1" spans="1:11">
      <c r="A72" s="55">
        <v>57</v>
      </c>
      <c r="B72" s="55" t="s">
        <v>1770</v>
      </c>
      <c r="C72" s="59" t="s">
        <v>7975</v>
      </c>
      <c r="D72" s="59" t="s">
        <v>7795</v>
      </c>
      <c r="E72" s="59" t="s">
        <v>7797</v>
      </c>
      <c r="F72" s="60" t="s">
        <v>7990</v>
      </c>
      <c r="G72" s="48"/>
      <c r="H72" s="48"/>
      <c r="I72" s="32"/>
      <c r="J72" s="55" t="s">
        <v>1129</v>
      </c>
      <c r="K72" s="59" t="s">
        <v>7</v>
      </c>
    </row>
    <row r="73" ht="75" customHeight="1" spans="1:11">
      <c r="A73" s="55">
        <v>58</v>
      </c>
      <c r="B73" s="55" t="s">
        <v>1770</v>
      </c>
      <c r="C73" s="59" t="s">
        <v>7975</v>
      </c>
      <c r="D73" s="59" t="s">
        <v>7802</v>
      </c>
      <c r="E73" s="59" t="s">
        <v>7804</v>
      </c>
      <c r="F73" s="60" t="s">
        <v>7991</v>
      </c>
      <c r="G73" s="48"/>
      <c r="H73" s="48"/>
      <c r="I73" s="32"/>
      <c r="J73" s="55" t="s">
        <v>1129</v>
      </c>
      <c r="K73" s="59" t="s">
        <v>7</v>
      </c>
    </row>
    <row r="74" ht="30" customHeight="1" spans="1:11">
      <c r="A74" s="55">
        <v>59</v>
      </c>
      <c r="B74" s="55" t="s">
        <v>1770</v>
      </c>
      <c r="C74" s="59" t="s">
        <v>7992</v>
      </c>
      <c r="D74" s="59" t="s">
        <v>7808</v>
      </c>
      <c r="E74" s="59" t="s">
        <v>7811</v>
      </c>
      <c r="F74" s="60" t="s">
        <v>7993</v>
      </c>
      <c r="G74" s="48"/>
      <c r="H74" s="48"/>
      <c r="I74" s="32"/>
      <c r="J74" s="55" t="s">
        <v>1130</v>
      </c>
      <c r="K74" s="59" t="s">
        <v>7</v>
      </c>
    </row>
    <row r="75" ht="105" customHeight="1" spans="1:11">
      <c r="A75" s="55">
        <v>60</v>
      </c>
      <c r="B75" s="55" t="s">
        <v>1770</v>
      </c>
      <c r="C75" s="59" t="s">
        <v>7975</v>
      </c>
      <c r="D75" s="59" t="s">
        <v>7816</v>
      </c>
      <c r="E75" s="59" t="s">
        <v>7818</v>
      </c>
      <c r="F75" s="60" t="s">
        <v>7994</v>
      </c>
      <c r="G75" s="48"/>
      <c r="H75" s="48"/>
      <c r="I75" s="32"/>
      <c r="J75" s="55" t="s">
        <v>1129</v>
      </c>
      <c r="K75" s="59" t="s">
        <v>7</v>
      </c>
    </row>
    <row r="76" ht="105" customHeight="1" spans="1:11">
      <c r="A76" s="55">
        <v>61</v>
      </c>
      <c r="B76" s="55" t="s">
        <v>1770</v>
      </c>
      <c r="C76" s="59" t="s">
        <v>7975</v>
      </c>
      <c r="D76" s="59" t="s">
        <v>7822</v>
      </c>
      <c r="E76" s="59" t="s">
        <v>7823</v>
      </c>
      <c r="F76" s="60" t="s">
        <v>7995</v>
      </c>
      <c r="G76" s="48"/>
      <c r="H76" s="48"/>
      <c r="I76" s="32"/>
      <c r="J76" s="55" t="s">
        <v>1129</v>
      </c>
      <c r="K76" s="59" t="s">
        <v>7</v>
      </c>
    </row>
    <row r="77" ht="60" customHeight="1" spans="1:11">
      <c r="A77" s="55">
        <v>62</v>
      </c>
      <c r="B77" s="55" t="s">
        <v>1770</v>
      </c>
      <c r="C77" s="59" t="s">
        <v>7975</v>
      </c>
      <c r="D77" s="59" t="s">
        <v>7828</v>
      </c>
      <c r="E77" s="59" t="s">
        <v>7830</v>
      </c>
      <c r="F77" s="60" t="s">
        <v>7996</v>
      </c>
      <c r="G77" s="48"/>
      <c r="H77" s="48"/>
      <c r="I77" s="32"/>
      <c r="J77" s="55" t="s">
        <v>1129</v>
      </c>
      <c r="K77" s="59" t="s">
        <v>7</v>
      </c>
    </row>
    <row r="78" ht="30" customHeight="1" spans="1:11">
      <c r="A78" s="55">
        <v>63</v>
      </c>
      <c r="B78" s="55" t="s">
        <v>1770</v>
      </c>
      <c r="C78" s="59" t="s">
        <v>7975</v>
      </c>
      <c r="D78" s="59" t="s">
        <v>7835</v>
      </c>
      <c r="E78" s="59" t="s">
        <v>7837</v>
      </c>
      <c r="F78" s="60" t="s">
        <v>7997</v>
      </c>
      <c r="G78" s="48"/>
      <c r="H78" s="48"/>
      <c r="I78" s="32"/>
      <c r="J78" s="55" t="s">
        <v>1129</v>
      </c>
      <c r="K78" s="59" t="s">
        <v>7</v>
      </c>
    </row>
    <row r="79" ht="45" customHeight="1" spans="1:11">
      <c r="A79" s="55">
        <v>64</v>
      </c>
      <c r="B79" s="55" t="s">
        <v>1770</v>
      </c>
      <c r="C79" s="59" t="s">
        <v>7992</v>
      </c>
      <c r="D79" s="59" t="s">
        <v>7841</v>
      </c>
      <c r="E79" s="59" t="s">
        <v>7842</v>
      </c>
      <c r="F79" s="60" t="s">
        <v>7998</v>
      </c>
      <c r="G79" s="48"/>
      <c r="H79" s="48"/>
      <c r="I79" s="32"/>
      <c r="J79" s="55" t="s">
        <v>1130</v>
      </c>
      <c r="K79" s="59" t="s">
        <v>7</v>
      </c>
    </row>
    <row r="80" ht="15.75" spans="1:11">
      <c r="A80" s="58" t="s">
        <v>1803</v>
      </c>
      <c r="B80" s="48"/>
      <c r="C80" s="48"/>
      <c r="D80" s="48"/>
      <c r="E80" s="48"/>
      <c r="F80" s="48"/>
      <c r="G80" s="48"/>
      <c r="H80" s="48"/>
      <c r="I80" s="48"/>
      <c r="J80" s="48"/>
      <c r="K80" s="48"/>
    </row>
    <row r="81" ht="90" customHeight="1" spans="1:11">
      <c r="A81" s="55">
        <v>65</v>
      </c>
      <c r="B81" s="55" t="s">
        <v>1804</v>
      </c>
      <c r="C81" s="59" t="s">
        <v>1548</v>
      </c>
      <c r="D81" s="59" t="s">
        <v>7857</v>
      </c>
      <c r="E81" s="59" t="s">
        <v>7859</v>
      </c>
      <c r="F81" s="60" t="s">
        <v>7999</v>
      </c>
      <c r="G81" s="48"/>
      <c r="H81" s="48"/>
      <c r="I81" s="32"/>
      <c r="J81" s="55" t="s">
        <v>1129</v>
      </c>
      <c r="K81" s="59" t="s">
        <v>7</v>
      </c>
    </row>
    <row r="82" ht="30" customHeight="1" spans="1:11">
      <c r="A82" s="55">
        <v>66</v>
      </c>
      <c r="B82" s="55" t="s">
        <v>1804</v>
      </c>
      <c r="C82" s="59" t="s">
        <v>1548</v>
      </c>
      <c r="D82" s="59" t="s">
        <v>7863</v>
      </c>
      <c r="E82" s="59" t="s">
        <v>7864</v>
      </c>
      <c r="F82" s="60" t="s">
        <v>1807</v>
      </c>
      <c r="G82" s="48"/>
      <c r="H82" s="48"/>
      <c r="I82" s="32"/>
      <c r="J82" s="55" t="s">
        <v>1129</v>
      </c>
      <c r="K82" s="59" t="s">
        <v>7</v>
      </c>
    </row>
    <row r="83" ht="45" customHeight="1" spans="1:11">
      <c r="A83" s="55">
        <v>67</v>
      </c>
      <c r="B83" s="55" t="s">
        <v>1804</v>
      </c>
      <c r="C83" s="59" t="s">
        <v>1548</v>
      </c>
      <c r="D83" s="59" t="s">
        <v>7867</v>
      </c>
      <c r="E83" s="59" t="s">
        <v>7868</v>
      </c>
      <c r="F83" s="60" t="s">
        <v>8000</v>
      </c>
      <c r="G83" s="48"/>
      <c r="H83" s="48"/>
      <c r="I83" s="32"/>
      <c r="J83" s="55" t="s">
        <v>1129</v>
      </c>
      <c r="K83" s="59" t="s">
        <v>7</v>
      </c>
    </row>
    <row r="84" ht="60" customHeight="1" spans="1:11">
      <c r="A84" s="55">
        <v>68</v>
      </c>
      <c r="B84" s="55" t="s">
        <v>1804</v>
      </c>
      <c r="C84" s="59" t="s">
        <v>1548</v>
      </c>
      <c r="D84" s="59" t="s">
        <v>7872</v>
      </c>
      <c r="E84" s="59" t="s">
        <v>7873</v>
      </c>
      <c r="F84" s="60" t="s">
        <v>8001</v>
      </c>
      <c r="G84" s="48"/>
      <c r="H84" s="48"/>
      <c r="I84" s="32"/>
      <c r="J84" s="55" t="s">
        <v>1129</v>
      </c>
      <c r="K84" s="59" t="s">
        <v>7</v>
      </c>
    </row>
    <row r="85" ht="60" customHeight="1" spans="1:11">
      <c r="A85" s="55">
        <v>69</v>
      </c>
      <c r="B85" s="55" t="s">
        <v>1804</v>
      </c>
      <c r="C85" s="59" t="s">
        <v>1548</v>
      </c>
      <c r="D85" s="59" t="s">
        <v>7877</v>
      </c>
      <c r="E85" s="59" t="s">
        <v>7878</v>
      </c>
      <c r="F85" s="60" t="s">
        <v>8002</v>
      </c>
      <c r="G85" s="48"/>
      <c r="H85" s="48"/>
      <c r="I85" s="32"/>
      <c r="J85" s="55" t="s">
        <v>1129</v>
      </c>
      <c r="K85" s="59" t="s">
        <v>7</v>
      </c>
    </row>
    <row r="86" ht="60" customHeight="1" spans="1:11">
      <c r="A86" s="55">
        <v>70</v>
      </c>
      <c r="B86" s="55" t="s">
        <v>1804</v>
      </c>
      <c r="C86" s="59" t="s">
        <v>1548</v>
      </c>
      <c r="D86" s="59" t="s">
        <v>7882</v>
      </c>
      <c r="E86" s="59" t="s">
        <v>7883</v>
      </c>
      <c r="F86" s="60" t="s">
        <v>8003</v>
      </c>
      <c r="G86" s="48"/>
      <c r="H86" s="48"/>
      <c r="I86" s="32"/>
      <c r="J86" s="55" t="s">
        <v>1129</v>
      </c>
      <c r="K86" s="59" t="s">
        <v>7</v>
      </c>
    </row>
    <row r="87" ht="45" customHeight="1" spans="1:11">
      <c r="A87" s="55">
        <v>71</v>
      </c>
      <c r="B87" s="55" t="s">
        <v>1804</v>
      </c>
      <c r="C87" s="59" t="s">
        <v>1548</v>
      </c>
      <c r="D87" s="59" t="s">
        <v>7887</v>
      </c>
      <c r="E87" s="59" t="s">
        <v>7888</v>
      </c>
      <c r="F87" s="60" t="s">
        <v>8004</v>
      </c>
      <c r="G87" s="48"/>
      <c r="H87" s="48"/>
      <c r="I87" s="32"/>
      <c r="J87" s="55" t="s">
        <v>1129</v>
      </c>
      <c r="K87" s="59" t="s">
        <v>7</v>
      </c>
    </row>
    <row r="88" ht="30" customHeight="1" spans="1:11">
      <c r="A88" s="55">
        <v>72</v>
      </c>
      <c r="B88" s="55" t="s">
        <v>1804</v>
      </c>
      <c r="C88" s="59" t="s">
        <v>1548</v>
      </c>
      <c r="D88" s="59" t="s">
        <v>7892</v>
      </c>
      <c r="E88" s="59" t="s">
        <v>7894</v>
      </c>
      <c r="F88" s="60" t="s">
        <v>1807</v>
      </c>
      <c r="G88" s="48"/>
      <c r="H88" s="48"/>
      <c r="I88" s="32"/>
      <c r="J88" s="55" t="s">
        <v>1129</v>
      </c>
      <c r="K88" s="59" t="s">
        <v>7</v>
      </c>
    </row>
    <row r="89" ht="60" customHeight="1" spans="1:11">
      <c r="A89" s="55">
        <v>73</v>
      </c>
      <c r="B89" s="55" t="s">
        <v>1804</v>
      </c>
      <c r="C89" s="59" t="s">
        <v>1548</v>
      </c>
      <c r="D89" s="59" t="s">
        <v>7898</v>
      </c>
      <c r="E89" s="59" t="s">
        <v>7900</v>
      </c>
      <c r="F89" s="60" t="s">
        <v>8005</v>
      </c>
      <c r="G89" s="48"/>
      <c r="H89" s="48"/>
      <c r="I89" s="32"/>
      <c r="J89" s="55" t="s">
        <v>1129</v>
      </c>
      <c r="K89" s="59" t="s">
        <v>7</v>
      </c>
    </row>
    <row r="90" ht="30" customHeight="1" spans="1:11">
      <c r="A90" s="55">
        <v>74</v>
      </c>
      <c r="B90" s="55" t="s">
        <v>1804</v>
      </c>
      <c r="C90" s="59" t="s">
        <v>1548</v>
      </c>
      <c r="D90" s="59" t="s">
        <v>7904</v>
      </c>
      <c r="E90" s="59" t="s">
        <v>7905</v>
      </c>
      <c r="F90" s="60" t="s">
        <v>1807</v>
      </c>
      <c r="G90" s="48"/>
      <c r="H90" s="48"/>
      <c r="I90" s="32"/>
      <c r="J90" s="55" t="s">
        <v>1129</v>
      </c>
      <c r="K90" s="59" t="s">
        <v>7</v>
      </c>
    </row>
    <row r="91" ht="30" customHeight="1" spans="1:11">
      <c r="A91" s="55">
        <v>75</v>
      </c>
      <c r="B91" s="55" t="s">
        <v>1804</v>
      </c>
      <c r="C91" s="59" t="s">
        <v>1548</v>
      </c>
      <c r="D91" s="59" t="s">
        <v>7908</v>
      </c>
      <c r="E91" s="59" t="s">
        <v>7910</v>
      </c>
      <c r="F91" s="60" t="s">
        <v>1807</v>
      </c>
      <c r="G91" s="48"/>
      <c r="H91" s="48"/>
      <c r="I91" s="32"/>
      <c r="J91" s="55" t="s">
        <v>1129</v>
      </c>
      <c r="K91" s="59" t="s">
        <v>7</v>
      </c>
    </row>
    <row r="92" ht="30" customHeight="1" spans="1:11">
      <c r="A92" s="55">
        <v>76</v>
      </c>
      <c r="B92" s="55" t="s">
        <v>1804</v>
      </c>
      <c r="C92" s="59" t="s">
        <v>1548</v>
      </c>
      <c r="D92" s="59" t="s">
        <v>7914</v>
      </c>
      <c r="E92" s="59" t="s">
        <v>7916</v>
      </c>
      <c r="F92" s="60" t="s">
        <v>1807</v>
      </c>
      <c r="G92" s="48"/>
      <c r="H92" s="48"/>
      <c r="I92" s="32"/>
      <c r="J92" s="55" t="s">
        <v>1130</v>
      </c>
      <c r="K92" s="59" t="s">
        <v>7</v>
      </c>
    </row>
    <row r="93" ht="30" customHeight="1" spans="1:11">
      <c r="A93" s="55">
        <v>77</v>
      </c>
      <c r="B93" s="55" t="s">
        <v>1804</v>
      </c>
      <c r="C93" s="59" t="s">
        <v>1548</v>
      </c>
      <c r="D93" s="59" t="s">
        <v>7919</v>
      </c>
      <c r="E93" s="59" t="s">
        <v>7921</v>
      </c>
      <c r="F93" s="60" t="s">
        <v>1807</v>
      </c>
      <c r="G93" s="48"/>
      <c r="H93" s="48"/>
      <c r="I93" s="32"/>
      <c r="J93" s="55" t="s">
        <v>1129</v>
      </c>
      <c r="K93" s="59" t="s">
        <v>7</v>
      </c>
    </row>
    <row r="94" ht="30" customHeight="1" spans="1:11">
      <c r="A94" s="55">
        <v>78</v>
      </c>
      <c r="B94" s="55" t="s">
        <v>1804</v>
      </c>
      <c r="C94" s="59" t="s">
        <v>1548</v>
      </c>
      <c r="D94" s="59" t="s">
        <v>7923</v>
      </c>
      <c r="E94" s="59" t="s">
        <v>7925</v>
      </c>
      <c r="F94" s="60" t="s">
        <v>1807</v>
      </c>
      <c r="G94" s="48"/>
      <c r="H94" s="48"/>
      <c r="I94" s="32"/>
      <c r="J94" s="55" t="s">
        <v>1129</v>
      </c>
      <c r="K94" s="59" t="s">
        <v>7</v>
      </c>
    </row>
    <row r="95" ht="60" customHeight="1" spans="1:11">
      <c r="A95" s="55">
        <v>79</v>
      </c>
      <c r="B95" s="55" t="s">
        <v>1804</v>
      </c>
      <c r="C95" s="59" t="s">
        <v>1548</v>
      </c>
      <c r="D95" s="59" t="s">
        <v>7927</v>
      </c>
      <c r="E95" s="59" t="s">
        <v>7929</v>
      </c>
      <c r="F95" s="60" t="s">
        <v>8006</v>
      </c>
      <c r="G95" s="48"/>
      <c r="H95" s="48"/>
      <c r="I95" s="32"/>
      <c r="J95" s="55" t="s">
        <v>1129</v>
      </c>
      <c r="K95" s="59" t="s">
        <v>7</v>
      </c>
    </row>
    <row r="96" ht="60" customHeight="1" spans="1:11">
      <c r="A96" s="55">
        <v>80</v>
      </c>
      <c r="B96" s="55" t="s">
        <v>1804</v>
      </c>
      <c r="C96" s="59" t="s">
        <v>1548</v>
      </c>
      <c r="D96" s="59" t="s">
        <v>7932</v>
      </c>
      <c r="E96" s="59" t="s">
        <v>7934</v>
      </c>
      <c r="F96" s="60" t="s">
        <v>8007</v>
      </c>
      <c r="G96" s="48"/>
      <c r="H96" s="48"/>
      <c r="I96" s="32"/>
      <c r="J96" s="55" t="s">
        <v>1129</v>
      </c>
      <c r="K96" s="59" t="s">
        <v>7</v>
      </c>
    </row>
    <row r="97" ht="15.75" spans="1:11">
      <c r="A97" s="58" t="s">
        <v>1818</v>
      </c>
      <c r="B97" s="48"/>
      <c r="C97" s="48"/>
      <c r="D97" s="48"/>
      <c r="E97" s="48"/>
      <c r="F97" s="48"/>
      <c r="G97" s="48"/>
      <c r="H97" s="48"/>
      <c r="I97" s="48"/>
      <c r="J97" s="48"/>
      <c r="K97" s="48"/>
    </row>
    <row r="98" ht="30" customHeight="1" spans="1:11">
      <c r="A98" s="55">
        <v>81</v>
      </c>
      <c r="B98" s="55" t="s">
        <v>1819</v>
      </c>
      <c r="C98" s="59" t="s">
        <v>8008</v>
      </c>
      <c r="D98" s="59" t="s">
        <v>7295</v>
      </c>
      <c r="E98" s="59" t="s">
        <v>7296</v>
      </c>
      <c r="F98" s="60" t="s">
        <v>7298</v>
      </c>
      <c r="G98" s="48"/>
      <c r="H98" s="48"/>
      <c r="I98" s="32"/>
      <c r="J98" s="55" t="s">
        <v>1129</v>
      </c>
      <c r="K98" s="59" t="s">
        <v>7</v>
      </c>
    </row>
    <row r="99" ht="30" customHeight="1" spans="1:11">
      <c r="A99" s="55">
        <v>82</v>
      </c>
      <c r="B99" s="55" t="s">
        <v>1819</v>
      </c>
      <c r="C99" s="59" t="s">
        <v>8008</v>
      </c>
      <c r="D99" s="59" t="s">
        <v>7300</v>
      </c>
      <c r="E99" s="59" t="s">
        <v>7301</v>
      </c>
      <c r="F99" s="60" t="s">
        <v>7303</v>
      </c>
      <c r="G99" s="48"/>
      <c r="H99" s="48"/>
      <c r="I99" s="32"/>
      <c r="J99" s="55" t="s">
        <v>1130</v>
      </c>
      <c r="K99" s="59" t="s">
        <v>7</v>
      </c>
    </row>
    <row r="100" ht="45" customHeight="1" spans="1:11">
      <c r="A100" s="55">
        <v>83</v>
      </c>
      <c r="B100" s="55" t="s">
        <v>1819</v>
      </c>
      <c r="C100" s="59" t="s">
        <v>8008</v>
      </c>
      <c r="D100" s="59" t="s">
        <v>7306</v>
      </c>
      <c r="E100" s="59" t="s">
        <v>7307</v>
      </c>
      <c r="F100" s="60" t="s">
        <v>7309</v>
      </c>
      <c r="G100" s="48"/>
      <c r="H100" s="48"/>
      <c r="I100" s="32"/>
      <c r="J100" s="55" t="s">
        <v>1130</v>
      </c>
      <c r="K100" s="59" t="s">
        <v>7</v>
      </c>
    </row>
    <row r="101" ht="45" customHeight="1" spans="1:11">
      <c r="A101" s="55">
        <v>84</v>
      </c>
      <c r="B101" s="55" t="s">
        <v>1819</v>
      </c>
      <c r="C101" s="59" t="s">
        <v>8008</v>
      </c>
      <c r="D101" s="59" t="s">
        <v>7312</v>
      </c>
      <c r="E101" s="59" t="s">
        <v>7313</v>
      </c>
      <c r="F101" s="60" t="s">
        <v>7315</v>
      </c>
      <c r="G101" s="48"/>
      <c r="H101" s="48"/>
      <c r="I101" s="32"/>
      <c r="J101" s="55" t="s">
        <v>1130</v>
      </c>
      <c r="K101" s="59" t="s">
        <v>7</v>
      </c>
    </row>
    <row r="102" customHeight="1" spans="1:11">
      <c r="A102" s="55">
        <v>85</v>
      </c>
      <c r="B102" s="55" t="s">
        <v>1819</v>
      </c>
      <c r="C102" s="59" t="s">
        <v>8008</v>
      </c>
      <c r="D102" s="59" t="s">
        <v>7318</v>
      </c>
      <c r="E102" s="59" t="s">
        <v>7319</v>
      </c>
      <c r="F102" s="60" t="s">
        <v>7321</v>
      </c>
      <c r="G102" s="48"/>
      <c r="H102" s="48"/>
      <c r="I102" s="32"/>
      <c r="J102" s="55" t="s">
        <v>1129</v>
      </c>
      <c r="K102" s="59" t="s">
        <v>7</v>
      </c>
    </row>
    <row r="103" customHeight="1" spans="1:11">
      <c r="A103" s="55">
        <v>86</v>
      </c>
      <c r="B103" s="55" t="s">
        <v>1819</v>
      </c>
      <c r="C103" s="59" t="s">
        <v>8008</v>
      </c>
      <c r="D103" s="59" t="s">
        <v>7324</v>
      </c>
      <c r="E103" s="59" t="s">
        <v>7325</v>
      </c>
      <c r="F103" s="60" t="s">
        <v>7327</v>
      </c>
      <c r="G103" s="48"/>
      <c r="H103" s="48"/>
      <c r="I103" s="32"/>
      <c r="J103" s="55" t="s">
        <v>1130</v>
      </c>
      <c r="K103" s="59" t="s">
        <v>7</v>
      </c>
    </row>
    <row r="104" customHeight="1" spans="1:11">
      <c r="A104" s="55">
        <v>87</v>
      </c>
      <c r="B104" s="55" t="s">
        <v>1819</v>
      </c>
      <c r="C104" s="59" t="s">
        <v>8008</v>
      </c>
      <c r="D104" s="59" t="s">
        <v>7330</v>
      </c>
      <c r="E104" s="59" t="s">
        <v>7331</v>
      </c>
      <c r="F104" s="60" t="s">
        <v>7327</v>
      </c>
      <c r="G104" s="48"/>
      <c r="H104" s="48"/>
      <c r="I104" s="32"/>
      <c r="J104" s="55" t="s">
        <v>1129</v>
      </c>
      <c r="K104" s="59" t="s">
        <v>7</v>
      </c>
    </row>
    <row r="105" customHeight="1" spans="1:11">
      <c r="A105" s="55">
        <v>88</v>
      </c>
      <c r="B105" s="55" t="s">
        <v>1819</v>
      </c>
      <c r="C105" s="59" t="s">
        <v>8008</v>
      </c>
      <c r="D105" s="59" t="s">
        <v>7335</v>
      </c>
      <c r="E105" s="59" t="s">
        <v>7336</v>
      </c>
      <c r="F105" s="60" t="s">
        <v>7321</v>
      </c>
      <c r="G105" s="48"/>
      <c r="H105" s="48"/>
      <c r="I105" s="32"/>
      <c r="J105" s="55" t="s">
        <v>1129</v>
      </c>
      <c r="K105" s="59" t="s">
        <v>7</v>
      </c>
    </row>
    <row r="106" ht="45" customHeight="1" spans="1:11">
      <c r="A106" s="55">
        <v>89</v>
      </c>
      <c r="B106" s="55" t="s">
        <v>1819</v>
      </c>
      <c r="C106" s="59" t="s">
        <v>8008</v>
      </c>
      <c r="D106" s="59" t="s">
        <v>7340</v>
      </c>
      <c r="E106" s="59" t="s">
        <v>7341</v>
      </c>
      <c r="F106" s="60" t="s">
        <v>7343</v>
      </c>
      <c r="G106" s="48"/>
      <c r="H106" s="48"/>
      <c r="I106" s="32"/>
      <c r="J106" s="55" t="s">
        <v>1130</v>
      </c>
      <c r="K106" s="59" t="s">
        <v>7</v>
      </c>
    </row>
    <row r="107" ht="30" customHeight="1" spans="1:11">
      <c r="A107" s="55">
        <v>90</v>
      </c>
      <c r="B107" s="55" t="s">
        <v>1819</v>
      </c>
      <c r="C107" s="59" t="s">
        <v>8008</v>
      </c>
      <c r="D107" s="59" t="s">
        <v>7346</v>
      </c>
      <c r="E107" s="59" t="s">
        <v>7347</v>
      </c>
      <c r="F107" s="60" t="s">
        <v>7349</v>
      </c>
      <c r="G107" s="48"/>
      <c r="H107" s="48"/>
      <c r="I107" s="32"/>
      <c r="J107" s="55" t="s">
        <v>1129</v>
      </c>
      <c r="K107" s="59" t="s">
        <v>7</v>
      </c>
    </row>
    <row r="108" customHeight="1" spans="1:11">
      <c r="A108" s="55">
        <v>91</v>
      </c>
      <c r="B108" s="55" t="s">
        <v>1819</v>
      </c>
      <c r="C108" s="59" t="s">
        <v>8008</v>
      </c>
      <c r="D108" s="59" t="s">
        <v>7351</v>
      </c>
      <c r="E108" s="59" t="s">
        <v>7352</v>
      </c>
      <c r="F108" s="60" t="s">
        <v>7354</v>
      </c>
      <c r="G108" s="48"/>
      <c r="H108" s="48"/>
      <c r="I108" s="32"/>
      <c r="J108" s="55" t="s">
        <v>1129</v>
      </c>
      <c r="K108" s="59" t="s">
        <v>7</v>
      </c>
    </row>
    <row r="109" ht="30" customHeight="1" spans="1:11">
      <c r="A109" s="55">
        <v>92</v>
      </c>
      <c r="B109" s="55" t="s">
        <v>1819</v>
      </c>
      <c r="C109" s="59" t="s">
        <v>8008</v>
      </c>
      <c r="D109" s="59" t="s">
        <v>7357</v>
      </c>
      <c r="E109" s="59" t="s">
        <v>7358</v>
      </c>
      <c r="F109" s="60" t="s">
        <v>7360</v>
      </c>
      <c r="G109" s="48"/>
      <c r="H109" s="48"/>
      <c r="I109" s="32"/>
      <c r="J109" s="55" t="s">
        <v>1129</v>
      </c>
      <c r="K109" s="59" t="s">
        <v>7</v>
      </c>
    </row>
    <row r="110" ht="30" customHeight="1" spans="1:11">
      <c r="A110" s="55">
        <v>93</v>
      </c>
      <c r="B110" s="55" t="s">
        <v>1819</v>
      </c>
      <c r="C110" s="59" t="s">
        <v>8008</v>
      </c>
      <c r="D110" s="59" t="s">
        <v>7362</v>
      </c>
      <c r="E110" s="59" t="s">
        <v>7363</v>
      </c>
      <c r="F110" s="60" t="s">
        <v>7364</v>
      </c>
      <c r="G110" s="48"/>
      <c r="H110" s="48"/>
      <c r="I110" s="32"/>
      <c r="J110" s="55" t="s">
        <v>1129</v>
      </c>
      <c r="K110" s="59" t="s">
        <v>7</v>
      </c>
    </row>
    <row r="111" ht="30" customHeight="1" spans="1:11">
      <c r="A111" s="55">
        <v>94</v>
      </c>
      <c r="B111" s="55" t="s">
        <v>1819</v>
      </c>
      <c r="C111" s="59" t="s">
        <v>8008</v>
      </c>
      <c r="D111" s="59" t="s">
        <v>7367</v>
      </c>
      <c r="E111" s="59" t="s">
        <v>7368</v>
      </c>
      <c r="F111" s="60" t="s">
        <v>7369</v>
      </c>
      <c r="G111" s="48"/>
      <c r="H111" s="48"/>
      <c r="I111" s="32"/>
      <c r="J111" s="55" t="s">
        <v>1129</v>
      </c>
      <c r="K111" s="59" t="s">
        <v>7</v>
      </c>
    </row>
    <row r="112" ht="30" customHeight="1" spans="1:11">
      <c r="A112" s="55">
        <v>95</v>
      </c>
      <c r="B112" s="55" t="s">
        <v>1819</v>
      </c>
      <c r="C112" s="59" t="s">
        <v>8008</v>
      </c>
      <c r="D112" s="59" t="s">
        <v>7373</v>
      </c>
      <c r="E112" s="59" t="s">
        <v>7374</v>
      </c>
      <c r="F112" s="60" t="s">
        <v>7376</v>
      </c>
      <c r="G112" s="48"/>
      <c r="H112" s="48"/>
      <c r="I112" s="32"/>
      <c r="J112" s="55" t="s">
        <v>1129</v>
      </c>
      <c r="K112" s="59" t="s">
        <v>7</v>
      </c>
    </row>
    <row r="113" ht="45" customHeight="1" spans="1:11">
      <c r="A113" s="55">
        <v>96</v>
      </c>
      <c r="B113" s="55" t="s">
        <v>1819</v>
      </c>
      <c r="C113" s="59" t="s">
        <v>8008</v>
      </c>
      <c r="D113" s="59" t="s">
        <v>7378</v>
      </c>
      <c r="E113" s="59" t="s">
        <v>7379</v>
      </c>
      <c r="F113" s="60" t="s">
        <v>7381</v>
      </c>
      <c r="G113" s="48"/>
      <c r="H113" s="48"/>
      <c r="I113" s="32"/>
      <c r="J113" s="55" t="s">
        <v>1129</v>
      </c>
      <c r="K113" s="59" t="s">
        <v>7</v>
      </c>
    </row>
    <row r="114" ht="30" customHeight="1" spans="1:11">
      <c r="A114" s="55">
        <v>97</v>
      </c>
      <c r="B114" s="55" t="s">
        <v>1819</v>
      </c>
      <c r="C114" s="59" t="s">
        <v>8008</v>
      </c>
      <c r="D114" s="59" t="s">
        <v>7384</v>
      </c>
      <c r="E114" s="59" t="s">
        <v>7385</v>
      </c>
      <c r="F114" s="60" t="s">
        <v>7387</v>
      </c>
      <c r="G114" s="48"/>
      <c r="H114" s="48"/>
      <c r="I114" s="32"/>
      <c r="J114" s="55" t="s">
        <v>1129</v>
      </c>
      <c r="K114" s="59" t="s">
        <v>7</v>
      </c>
    </row>
    <row r="115" ht="30" customHeight="1" spans="1:11">
      <c r="A115" s="55">
        <v>98</v>
      </c>
      <c r="B115" s="55" t="s">
        <v>1819</v>
      </c>
      <c r="C115" s="59" t="s">
        <v>8008</v>
      </c>
      <c r="D115" s="59" t="s">
        <v>7390</v>
      </c>
      <c r="E115" s="59" t="s">
        <v>7391</v>
      </c>
      <c r="F115" s="60" t="s">
        <v>7393</v>
      </c>
      <c r="G115" s="48"/>
      <c r="H115" s="48"/>
      <c r="I115" s="32"/>
      <c r="J115" s="55" t="s">
        <v>1129</v>
      </c>
      <c r="K115" s="59" t="s">
        <v>7</v>
      </c>
    </row>
    <row r="116" ht="30" customHeight="1" spans="1:11">
      <c r="A116" s="55">
        <v>99</v>
      </c>
      <c r="B116" s="55" t="s">
        <v>1819</v>
      </c>
      <c r="C116" s="59" t="s">
        <v>8008</v>
      </c>
      <c r="D116" s="59" t="s">
        <v>7396</v>
      </c>
      <c r="E116" s="59" t="s">
        <v>7397</v>
      </c>
      <c r="F116" s="60" t="s">
        <v>7399</v>
      </c>
      <c r="G116" s="48"/>
      <c r="H116" s="48"/>
      <c r="I116" s="32"/>
      <c r="J116" s="55" t="s">
        <v>1129</v>
      </c>
      <c r="K116" s="59" t="s">
        <v>7</v>
      </c>
    </row>
    <row r="117" ht="45" customHeight="1" spans="1:11">
      <c r="A117" s="55">
        <v>100</v>
      </c>
      <c r="B117" s="55" t="s">
        <v>1819</v>
      </c>
      <c r="C117" s="59" t="s">
        <v>8008</v>
      </c>
      <c r="D117" s="59" t="s">
        <v>7402</v>
      </c>
      <c r="E117" s="59" t="s">
        <v>7403</v>
      </c>
      <c r="F117" s="60" t="s">
        <v>7405</v>
      </c>
      <c r="G117" s="48"/>
      <c r="H117" s="48"/>
      <c r="I117" s="32"/>
      <c r="J117" s="55" t="s">
        <v>1130</v>
      </c>
      <c r="K117" s="59" t="s">
        <v>7</v>
      </c>
    </row>
    <row r="118" ht="30" customHeight="1" spans="1:11">
      <c r="A118" s="55">
        <v>101</v>
      </c>
      <c r="B118" s="55" t="s">
        <v>1819</v>
      </c>
      <c r="C118" s="59" t="s">
        <v>8008</v>
      </c>
      <c r="D118" s="59" t="s">
        <v>7408</v>
      </c>
      <c r="E118" s="59" t="s">
        <v>7409</v>
      </c>
      <c r="F118" s="60" t="s">
        <v>7411</v>
      </c>
      <c r="G118" s="48"/>
      <c r="H118" s="48"/>
      <c r="I118" s="32"/>
      <c r="J118" s="55" t="s">
        <v>1129</v>
      </c>
      <c r="K118" s="59" t="s">
        <v>7</v>
      </c>
    </row>
    <row r="119" ht="30" customHeight="1" spans="1:11">
      <c r="A119" s="55">
        <v>102</v>
      </c>
      <c r="B119" s="55" t="s">
        <v>1819</v>
      </c>
      <c r="C119" s="59" t="s">
        <v>8008</v>
      </c>
      <c r="D119" s="59" t="s">
        <v>7414</v>
      </c>
      <c r="E119" s="59" t="s">
        <v>7415</v>
      </c>
      <c r="F119" s="60" t="s">
        <v>7417</v>
      </c>
      <c r="G119" s="48"/>
      <c r="H119" s="48"/>
      <c r="I119" s="32"/>
      <c r="J119" s="55" t="s">
        <v>1129</v>
      </c>
      <c r="K119" s="59" t="s">
        <v>7</v>
      </c>
    </row>
  </sheetData>
  <mergeCells count="119">
    <mergeCell ref="A1:K1"/>
    <mergeCell ref="B3:C3"/>
    <mergeCell ref="B4:C4"/>
    <mergeCell ref="B5:C5"/>
    <mergeCell ref="A7:K7"/>
    <mergeCell ref="A8:B8"/>
    <mergeCell ref="G8:K8"/>
    <mergeCell ref="A9:B9"/>
    <mergeCell ref="G9:K9"/>
    <mergeCell ref="A10:B10"/>
    <mergeCell ref="G10:K10"/>
    <mergeCell ref="A11:B11"/>
    <mergeCell ref="G11:K11"/>
    <mergeCell ref="F13:I13"/>
    <mergeCell ref="A15:K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35:I35"/>
    <mergeCell ref="F36:I36"/>
    <mergeCell ref="F37:I37"/>
    <mergeCell ref="F38:I38"/>
    <mergeCell ref="F39:I39"/>
    <mergeCell ref="F40:I40"/>
    <mergeCell ref="F41:I41"/>
    <mergeCell ref="F42:I42"/>
    <mergeCell ref="F43:I43"/>
    <mergeCell ref="F44:I44"/>
    <mergeCell ref="F45:I45"/>
    <mergeCell ref="F46:I46"/>
    <mergeCell ref="F47:I47"/>
    <mergeCell ref="F48:I48"/>
    <mergeCell ref="F49:I49"/>
    <mergeCell ref="F50:I50"/>
    <mergeCell ref="F51:I51"/>
    <mergeCell ref="F52:I52"/>
    <mergeCell ref="F53:I53"/>
    <mergeCell ref="F54:I54"/>
    <mergeCell ref="F55:I55"/>
    <mergeCell ref="F56:I56"/>
    <mergeCell ref="F57:I57"/>
    <mergeCell ref="F58:I58"/>
    <mergeCell ref="F59:I59"/>
    <mergeCell ref="F60:I60"/>
    <mergeCell ref="F61:I61"/>
    <mergeCell ref="F62:I62"/>
    <mergeCell ref="F63:I63"/>
    <mergeCell ref="F64:I64"/>
    <mergeCell ref="F65:I65"/>
    <mergeCell ref="F66:I66"/>
    <mergeCell ref="F67:I67"/>
    <mergeCell ref="F68:I68"/>
    <mergeCell ref="F69:I69"/>
    <mergeCell ref="F70:I70"/>
    <mergeCell ref="F71:I71"/>
    <mergeCell ref="F72:I72"/>
    <mergeCell ref="F73:I73"/>
    <mergeCell ref="F74:I74"/>
    <mergeCell ref="F75:I75"/>
    <mergeCell ref="F76:I76"/>
    <mergeCell ref="F77:I77"/>
    <mergeCell ref="F78:I78"/>
    <mergeCell ref="F79:I79"/>
    <mergeCell ref="A80:K80"/>
    <mergeCell ref="F81:I81"/>
    <mergeCell ref="F82:I82"/>
    <mergeCell ref="F83:I83"/>
    <mergeCell ref="F84:I84"/>
    <mergeCell ref="F85:I85"/>
    <mergeCell ref="F86:I86"/>
    <mergeCell ref="F87:I87"/>
    <mergeCell ref="F88:I88"/>
    <mergeCell ref="F89:I89"/>
    <mergeCell ref="F90:I90"/>
    <mergeCell ref="F91:I91"/>
    <mergeCell ref="F92:I92"/>
    <mergeCell ref="F93:I93"/>
    <mergeCell ref="F94:I94"/>
    <mergeCell ref="F95:I95"/>
    <mergeCell ref="F96:I96"/>
    <mergeCell ref="A97:K97"/>
    <mergeCell ref="F98:I98"/>
    <mergeCell ref="F99:I99"/>
    <mergeCell ref="F100:I100"/>
    <mergeCell ref="F101:I101"/>
    <mergeCell ref="F102:I102"/>
    <mergeCell ref="F103:I103"/>
    <mergeCell ref="F104:I104"/>
    <mergeCell ref="F105:I105"/>
    <mergeCell ref="F106:I106"/>
    <mergeCell ref="F107:I107"/>
    <mergeCell ref="F108:I108"/>
    <mergeCell ref="F109:I109"/>
    <mergeCell ref="F110:I110"/>
    <mergeCell ref="F111:I111"/>
    <mergeCell ref="F112:I112"/>
    <mergeCell ref="F113:I113"/>
    <mergeCell ref="F114:I114"/>
    <mergeCell ref="F115:I115"/>
    <mergeCell ref="F116:I116"/>
    <mergeCell ref="F117:I117"/>
    <mergeCell ref="F118:I118"/>
    <mergeCell ref="F119:I119"/>
  </mergeCells>
  <conditionalFormatting sqref="J15:J119">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0"/>
  <sheetViews>
    <sheetView tabSelected="1" topLeftCell="A15" workbookViewId="0">
      <selection activeCell="A1" sqref="A1:H1"/>
    </sheetView>
  </sheetViews>
  <sheetFormatPr defaultColWidth="9" defaultRowHeight="15"/>
  <cols>
    <col min="1" max="1" width="9" customWidth="1"/>
    <col min="2" max="2" width="14" customWidth="1"/>
    <col min="3" max="3" width="40" customWidth="1"/>
    <col min="4" max="4" width="30" customWidth="1"/>
    <col min="5" max="5" width="10" customWidth="1"/>
    <col min="6" max="6" width="9" customWidth="1"/>
    <col min="7" max="12" width="10" customWidth="1"/>
    <col min="13" max="13" width="12" customWidth="1"/>
    <col min="14" max="15" width="10" customWidth="1"/>
  </cols>
  <sheetData>
    <row r="1" ht="20.25" spans="1:4">
      <c r="A1" s="20" t="s">
        <v>8009</v>
      </c>
    </row>
    <row r="3" ht="28.5" spans="1:4">
      <c r="A3" s="21" t="s">
        <v>1822</v>
      </c>
      <c r="B3" s="22" t="s">
        <v>1823</v>
      </c>
    </row>
    <row r="4" ht="28.5" spans="1:4">
      <c r="A4" s="21" t="s">
        <v>1544</v>
      </c>
      <c r="B4" s="23" t="s">
        <v>8010</v>
      </c>
    </row>
    <row r="5" ht="42.75" spans="1:4">
      <c r="A5" s="21" t="s">
        <v>1825</v>
      </c>
      <c r="B5" s="23" t="s">
        <v>1826</v>
      </c>
    </row>
    <row r="7" ht="15.75" spans="1:4">
      <c r="A7" s="24" t="s">
        <v>1827</v>
      </c>
    </row>
    <row r="8" ht="28.5" spans="1:4">
      <c r="A8" s="25" t="s">
        <v>211</v>
      </c>
      <c r="B8" s="25" t="s">
        <v>1828</v>
      </c>
      <c r="C8" s="25" t="s">
        <v>1829</v>
      </c>
      <c r="D8" s="25" t="s">
        <v>1830</v>
      </c>
    </row>
    <row r="9" ht="30" customHeight="1" spans="1:4">
      <c r="A9" s="26">
        <v>1</v>
      </c>
      <c r="B9" s="27" t="s">
        <v>1831</v>
      </c>
      <c r="C9" s="28" t="s">
        <v>8011</v>
      </c>
      <c r="D9" s="29" t="s">
        <v>1833</v>
      </c>
    </row>
    <row r="10" ht="30" customHeight="1" spans="1:4">
      <c r="A10" s="26">
        <v>2</v>
      </c>
      <c r="B10" s="27" t="s">
        <v>1834</v>
      </c>
      <c r="C10" s="28" t="s">
        <v>8012</v>
      </c>
      <c r="D10" s="29" t="s">
        <v>8013</v>
      </c>
    </row>
    <row r="12" ht="15.75" spans="1:4">
      <c r="A12" s="30" t="s">
        <v>1837</v>
      </c>
    </row>
    <row r="13" spans="1:4">
      <c r="A13" s="31" t="s">
        <v>1838</v>
      </c>
      <c r="B13" s="32"/>
      <c r="C13" s="31" t="s">
        <v>1839</v>
      </c>
      <c r="D13" s="32"/>
    </row>
    <row r="14" customHeight="1" spans="1:4">
      <c r="A14" s="33" t="s">
        <v>1840</v>
      </c>
      <c r="B14" s="32"/>
      <c r="C14" s="34" t="s">
        <v>1841</v>
      </c>
      <c r="D14" s="32"/>
    </row>
    <row r="15" customHeight="1" spans="1:4">
      <c r="A15" s="33" t="s">
        <v>1842</v>
      </c>
      <c r="B15" s="32"/>
      <c r="C15" s="34" t="s">
        <v>1843</v>
      </c>
      <c r="D15" s="32"/>
    </row>
    <row r="16" customHeight="1" spans="1:4">
      <c r="A16" s="33" t="s">
        <v>1844</v>
      </c>
      <c r="B16" s="32"/>
      <c r="C16" s="34" t="s">
        <v>1845</v>
      </c>
      <c r="D16" s="32"/>
    </row>
    <row r="17" customHeight="1" spans="1:15">
      <c r="A17" s="33" t="s">
        <v>1846</v>
      </c>
      <c r="B17" s="32"/>
      <c r="C17" s="34" t="s">
        <v>1847</v>
      </c>
      <c r="D17" s="32"/>
    </row>
    <row r="18" customHeight="1" spans="1:15">
      <c r="A18" s="33" t="s">
        <v>1848</v>
      </c>
      <c r="B18" s="32"/>
      <c r="C18" s="34" t="s">
        <v>1849</v>
      </c>
      <c r="D18" s="32"/>
    </row>
    <row r="19" ht="30" customHeight="1" spans="1:15">
      <c r="A19" s="33" t="s">
        <v>1850</v>
      </c>
      <c r="B19" s="32"/>
      <c r="C19" s="34" t="s">
        <v>1851</v>
      </c>
      <c r="D19" s="32"/>
    </row>
    <row r="20" ht="30" customHeight="1" spans="1:15">
      <c r="A20" s="33" t="s">
        <v>1852</v>
      </c>
      <c r="B20" s="32"/>
      <c r="C20" s="34" t="s">
        <v>1853</v>
      </c>
      <c r="D20" s="32"/>
    </row>
    <row r="21" customHeight="1" spans="1:15">
      <c r="A21" s="33" t="s">
        <v>1854</v>
      </c>
      <c r="B21" s="32"/>
      <c r="C21" s="34" t="s">
        <v>1855</v>
      </c>
      <c r="D21" s="32"/>
    </row>
    <row r="23" ht="15.75" spans="1:15">
      <c r="A23" s="24" t="s">
        <v>1856</v>
      </c>
    </row>
    <row r="24" ht="28.5" spans="1:15">
      <c r="A24" s="31" t="s">
        <v>211</v>
      </c>
      <c r="B24" s="31" t="s">
        <v>1857</v>
      </c>
      <c r="C24" s="32"/>
      <c r="D24" s="31" t="s">
        <v>1858</v>
      </c>
    </row>
    <row r="25" ht="30" customHeight="1" spans="1:15">
      <c r="A25" s="35">
        <v>1</v>
      </c>
      <c r="B25" s="33" t="s">
        <v>8014</v>
      </c>
      <c r="C25" s="32"/>
      <c r="D25" s="34" t="s">
        <v>8015</v>
      </c>
    </row>
    <row r="26" ht="30" customHeight="1" spans="1:15">
      <c r="A26" s="35">
        <v>2</v>
      </c>
      <c r="B26" s="33" t="s">
        <v>8016</v>
      </c>
      <c r="C26" s="32"/>
      <c r="D26" s="34" t="s">
        <v>8017</v>
      </c>
    </row>
    <row r="28" spans="1:15">
      <c r="A28" s="36" t="s">
        <v>1863</v>
      </c>
      <c r="B28" s="37"/>
      <c r="C28" s="37"/>
      <c r="D28" s="37"/>
      <c r="E28" s="37"/>
      <c r="F28" s="37"/>
      <c r="G28" s="37"/>
      <c r="H28" s="37"/>
      <c r="I28" s="37"/>
      <c r="J28" s="37"/>
      <c r="K28" s="37"/>
      <c r="L28" s="37"/>
      <c r="M28" s="37"/>
      <c r="N28" s="37"/>
      <c r="O28" s="37"/>
    </row>
    <row r="29" ht="32" customHeight="1" spans="1:15">
      <c r="A29" s="38" t="s">
        <v>211</v>
      </c>
      <c r="B29" s="38" t="s">
        <v>1828</v>
      </c>
      <c r="C29" s="38" t="s">
        <v>1864</v>
      </c>
      <c r="D29" s="38" t="s">
        <v>1865</v>
      </c>
      <c r="E29" s="38" t="s">
        <v>1866</v>
      </c>
      <c r="F29" s="38" t="s">
        <v>1867</v>
      </c>
      <c r="G29" s="38" t="s">
        <v>1868</v>
      </c>
      <c r="H29" s="38" t="s">
        <v>1869</v>
      </c>
      <c r="I29" s="38" t="s">
        <v>1870</v>
      </c>
      <c r="J29" s="38" t="s">
        <v>1871</v>
      </c>
      <c r="K29" s="38" t="s">
        <v>1872</v>
      </c>
      <c r="L29" s="38" t="s">
        <v>1873</v>
      </c>
      <c r="M29" s="38" t="s">
        <v>1874</v>
      </c>
      <c r="N29" s="38" t="s">
        <v>1875</v>
      </c>
      <c r="O29" s="38" t="s">
        <v>1876</v>
      </c>
    </row>
    <row r="30" ht="30" customHeight="1" spans="1:15">
      <c r="A30" s="39">
        <v>1</v>
      </c>
      <c r="B30" s="39" t="s">
        <v>1831</v>
      </c>
      <c r="C30" s="40" t="s">
        <v>8018</v>
      </c>
      <c r="D30" s="39" t="s">
        <v>1878</v>
      </c>
      <c r="E30" s="39">
        <v>20</v>
      </c>
      <c r="F30" s="39">
        <v>30</v>
      </c>
      <c r="G30" s="39">
        <v>16</v>
      </c>
      <c r="H30" s="39">
        <v>49119</v>
      </c>
      <c r="I30" s="39">
        <v>12</v>
      </c>
      <c r="J30" s="39">
        <v>19</v>
      </c>
      <c r="K30" s="39">
        <v>5</v>
      </c>
      <c r="L30" s="39">
        <v>251</v>
      </c>
      <c r="M30" s="39">
        <v>1637</v>
      </c>
      <c r="N30" s="41">
        <v>0.9996</v>
      </c>
      <c r="O30" s="39" t="s">
        <v>1508</v>
      </c>
    </row>
    <row r="31" ht="30" customHeight="1" spans="1:15">
      <c r="A31" s="39">
        <v>2</v>
      </c>
      <c r="B31" s="39" t="s">
        <v>1834</v>
      </c>
      <c r="C31" s="40" t="s">
        <v>8019</v>
      </c>
      <c r="D31" s="39" t="s">
        <v>8020</v>
      </c>
      <c r="E31" s="39">
        <v>2</v>
      </c>
      <c r="F31" s="39">
        <v>30</v>
      </c>
      <c r="G31" s="39">
        <v>1369</v>
      </c>
      <c r="H31" s="39">
        <v>55</v>
      </c>
      <c r="I31" s="39">
        <v>1121</v>
      </c>
      <c r="J31" s="39">
        <v>4996</v>
      </c>
      <c r="K31" s="39">
        <v>501</v>
      </c>
      <c r="L31" s="39">
        <v>8045</v>
      </c>
      <c r="M31" s="39">
        <v>1.8</v>
      </c>
      <c r="N31" s="41">
        <v>0</v>
      </c>
      <c r="O31" s="39" t="s">
        <v>1385</v>
      </c>
    </row>
    <row r="32" spans="1:15">
      <c r="A32" s="42" t="s">
        <v>1882</v>
      </c>
      <c r="B32" s="42" t="s">
        <v>1883</v>
      </c>
      <c r="C32" s="42" t="s">
        <v>1884</v>
      </c>
      <c r="D32" s="42" t="s">
        <v>1885</v>
      </c>
      <c r="H32" s="43">
        <f>SUM(H30:H31)</f>
        <v>49174</v>
      </c>
      <c r="I32" s="44">
        <f>IFERROR(SUMPRODUCT(H30:H31,I30:I31)/H32,0)</f>
        <v>13.2403912636759</v>
      </c>
      <c r="N32" s="45">
        <f>IFERROR(SUMPRODUCT(H30:H31,N30:N31)/H32,0)</f>
        <v>0.998481970146825</v>
      </c>
      <c r="O32" s="43" t="str">
        <f>IF(COUNTIF(O30:O31,"FAIL")=0,"PASS","FAIL")</f>
        <v>FAIL</v>
      </c>
    </row>
    <row r="34" spans="1:15">
      <c r="A34" s="46" t="s">
        <v>1886</v>
      </c>
      <c r="B34" s="16"/>
      <c r="C34" s="16"/>
      <c r="D34" s="16"/>
      <c r="E34" s="17"/>
    </row>
    <row r="35" ht="30" spans="1:15">
      <c r="A35" s="38" t="s">
        <v>1887</v>
      </c>
      <c r="B35" s="38" t="s">
        <v>332</v>
      </c>
      <c r="C35" s="38" t="s">
        <v>1888</v>
      </c>
      <c r="D35" s="38" t="s">
        <v>1889</v>
      </c>
      <c r="E35" s="38" t="s">
        <v>430</v>
      </c>
    </row>
    <row r="36" ht="30" customHeight="1" spans="1:15">
      <c r="A36" s="47" t="s">
        <v>1831</v>
      </c>
      <c r="B36" s="47" t="s">
        <v>1878</v>
      </c>
      <c r="C36" s="47" t="s">
        <v>2979</v>
      </c>
      <c r="D36" s="47" t="s">
        <v>1891</v>
      </c>
      <c r="E36" s="47" t="s">
        <v>8018</v>
      </c>
    </row>
    <row r="37" ht="30" customHeight="1" spans="1:15">
      <c r="A37" s="47" t="s">
        <v>1834</v>
      </c>
      <c r="B37" s="47" t="s">
        <v>8020</v>
      </c>
      <c r="C37" s="47" t="s">
        <v>8021</v>
      </c>
      <c r="D37" s="47" t="s">
        <v>8022</v>
      </c>
      <c r="E37" s="47" t="s">
        <v>8019</v>
      </c>
    </row>
    <row r="39" spans="1:15">
      <c r="A39" s="46" t="s">
        <v>1893</v>
      </c>
      <c r="B39" s="16"/>
      <c r="C39" s="16"/>
      <c r="D39" s="16"/>
      <c r="E39" s="16"/>
      <c r="F39" s="16"/>
      <c r="G39" s="16"/>
      <c r="H39" s="16"/>
      <c r="I39" s="16"/>
      <c r="J39" s="16"/>
      <c r="K39" s="16"/>
      <c r="L39" s="16"/>
      <c r="M39" s="16"/>
      <c r="N39" s="16"/>
      <c r="O39" s="17"/>
    </row>
    <row r="40" ht="45" customHeight="1" spans="1:15">
      <c r="A40" s="47" t="s">
        <v>8023</v>
      </c>
      <c r="B40" s="48"/>
      <c r="C40" s="48"/>
      <c r="D40" s="48"/>
      <c r="E40" s="48"/>
      <c r="F40" s="48"/>
      <c r="G40" s="48"/>
      <c r="H40" s="48"/>
      <c r="I40" s="48"/>
      <c r="J40" s="48"/>
      <c r="K40" s="48"/>
      <c r="L40" s="48"/>
      <c r="M40" s="48"/>
      <c r="N40" s="48"/>
      <c r="O40" s="32"/>
    </row>
  </sheetData>
  <mergeCells count="32">
    <mergeCell ref="A1:H1"/>
    <mergeCell ref="B3:H3"/>
    <mergeCell ref="B4:H4"/>
    <mergeCell ref="B5:H5"/>
    <mergeCell ref="A7:D7"/>
    <mergeCell ref="A12:D12"/>
    <mergeCell ref="A13:B13"/>
    <mergeCell ref="C13:D13"/>
    <mergeCell ref="A14:B14"/>
    <mergeCell ref="C14:D14"/>
    <mergeCell ref="A15:B15"/>
    <mergeCell ref="C15:D15"/>
    <mergeCell ref="A16:B16"/>
    <mergeCell ref="C16:D16"/>
    <mergeCell ref="A17:B17"/>
    <mergeCell ref="C17:D17"/>
    <mergeCell ref="A18:B18"/>
    <mergeCell ref="C18:D18"/>
    <mergeCell ref="A19:B19"/>
    <mergeCell ref="C19:D19"/>
    <mergeCell ref="A20:B20"/>
    <mergeCell ref="C20:D20"/>
    <mergeCell ref="A21:B21"/>
    <mergeCell ref="C21:D21"/>
    <mergeCell ref="A23:D23"/>
    <mergeCell ref="B24:C24"/>
    <mergeCell ref="B25:C25"/>
    <mergeCell ref="B26:C26"/>
    <mergeCell ref="A28:O28"/>
    <mergeCell ref="A34:E34"/>
    <mergeCell ref="A39:O39"/>
    <mergeCell ref="A40:O40"/>
  </mergeCells>
  <conditionalFormatting sqref="O30:O32">
    <cfRule type="cellIs" dxfId="0" priority="1" operator="equal">
      <formula>"Pass"</formula>
    </cfRule>
    <cfRule type="cellIs" dxfId="0" priority="2" operator="equal">
      <formula>"PASS"</formula>
    </cfRule>
    <cfRule type="cellIs" dxfId="1" priority="3" operator="equal">
      <formula>"Fail"</formula>
    </cfRule>
    <cfRule type="cellIs" dxfId="1" priority="4" operator="equal">
      <formula>"FAIL"</formula>
    </cfRule>
    <cfRule type="cellIs" dxfId="2" priority="5" operator="equal">
      <formula>"Pending"</formula>
    </cfRule>
  </conditionalFormatting>
  <pageMargins left="0.75" right="0.75" top="1" bottom="1" header="0.5" footer="0.5"/>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workbookViewId="0">
      <selection activeCell="A1" sqref="A1:G1"/>
    </sheetView>
  </sheetViews>
  <sheetFormatPr defaultColWidth="9" defaultRowHeight="15" outlineLevelCol="6"/>
  <cols>
    <col min="1" max="1" width="34" customWidth="1"/>
    <col min="2" max="2" width="14" customWidth="1"/>
    <col min="3" max="6" width="13" customWidth="1"/>
    <col min="7" max="7" width="44" customWidth="1"/>
  </cols>
  <sheetData>
    <row r="1" ht="19.5" spans="1:7">
      <c r="A1" s="1" t="s">
        <v>1895</v>
      </c>
    </row>
    <row r="2" spans="1:7">
      <c r="A2" s="2" t="s">
        <v>226</v>
      </c>
      <c r="C2" s="2" t="s">
        <v>227</v>
      </c>
    </row>
    <row r="3" spans="1:7">
      <c r="A3" s="2" t="s">
        <v>528</v>
      </c>
      <c r="C3" s="2" t="s">
        <v>231</v>
      </c>
    </row>
    <row r="4" spans="1:7">
      <c r="A4" s="2" t="s">
        <v>1896</v>
      </c>
      <c r="C4" s="2" t="s">
        <v>54</v>
      </c>
    </row>
    <row r="5" spans="1:7">
      <c r="A5" s="2" t="s">
        <v>1897</v>
      </c>
      <c r="C5" s="2" t="s">
        <v>7</v>
      </c>
    </row>
    <row r="6" spans="1:7">
      <c r="A6" s="2" t="s">
        <v>1898</v>
      </c>
      <c r="C6" s="2" t="s">
        <v>233</v>
      </c>
    </row>
    <row r="7" spans="1:7">
      <c r="A7" s="2" t="s">
        <v>1899</v>
      </c>
      <c r="C7" s="2">
        <f>B16</f>
        <v>102</v>
      </c>
    </row>
    <row r="8" spans="1:7">
      <c r="A8" s="2" t="s">
        <v>1900</v>
      </c>
      <c r="C8" s="3" t="s">
        <v>1901</v>
      </c>
    </row>
    <row r="10" spans="1:7">
      <c r="A10" s="4" t="s">
        <v>1902</v>
      </c>
      <c r="B10" s="5"/>
      <c r="C10" s="5"/>
      <c r="D10" s="5"/>
      <c r="E10" s="5"/>
      <c r="F10" s="5"/>
      <c r="G10" s="6"/>
    </row>
    <row r="11" ht="32" customHeight="1" spans="1:7">
      <c r="A11" s="7" t="s">
        <v>1903</v>
      </c>
      <c r="B11" s="7" t="s">
        <v>1904</v>
      </c>
      <c r="C11" s="7" t="s">
        <v>1553</v>
      </c>
      <c r="D11" s="7" t="s">
        <v>1554</v>
      </c>
      <c r="E11" s="7" t="s">
        <v>1905</v>
      </c>
      <c r="F11" s="7" t="s">
        <v>1759</v>
      </c>
      <c r="G11" s="7" t="s">
        <v>1906</v>
      </c>
    </row>
    <row r="12" customHeight="1" spans="1:7">
      <c r="A12" s="8" t="s">
        <v>1907</v>
      </c>
      <c r="B12" s="9">
        <f>'PH10-Kiểm thử giao diện'!C12</f>
        <v>22</v>
      </c>
      <c r="C12" s="9">
        <f>'PH10-Kiểm thử giao diện'!E12</f>
        <v>16</v>
      </c>
      <c r="D12" s="9">
        <f>'PH10-Kiểm thử giao diện'!F12</f>
        <v>6</v>
      </c>
      <c r="E12" s="9">
        <f>'PH10-Kiểm thử giao diện'!D12</f>
        <v>0</v>
      </c>
      <c r="F12" s="10">
        <f>IFERROR(C12/B12,0)</f>
        <v>0.727272727272727</v>
      </c>
      <c r="G12" s="11" t="s">
        <v>7161</v>
      </c>
    </row>
    <row r="13" ht="30" customHeight="1" spans="1:7">
      <c r="A13" s="8" t="s">
        <v>1909</v>
      </c>
      <c r="B13" s="9">
        <f>'PH10-Kiểm thử API(Postman)'!A10</f>
        <v>16</v>
      </c>
      <c r="C13" s="9">
        <f>'PH10-Kiểm thử API(Postman)'!B10</f>
        <v>15</v>
      </c>
      <c r="D13" s="9">
        <f>'PH10-Kiểm thử API(Postman)'!C10</f>
        <v>1</v>
      </c>
      <c r="E13" s="9">
        <v>0</v>
      </c>
      <c r="F13" s="10">
        <f>IFERROR(C13/B13,0)</f>
        <v>0.9375</v>
      </c>
      <c r="G13" s="11" t="s">
        <v>8024</v>
      </c>
    </row>
    <row r="14" ht="30" customHeight="1" spans="1:7">
      <c r="A14" s="8" t="s">
        <v>1911</v>
      </c>
      <c r="B14" s="9">
        <f>'PH10-Unit test'!B143</f>
        <v>64</v>
      </c>
      <c r="C14" s="9">
        <f>'PH10-Unit test'!B144</f>
        <v>59</v>
      </c>
      <c r="D14" s="9">
        <f>'PH10-Unit test'!B145</f>
        <v>5</v>
      </c>
      <c r="E14" s="9">
        <v>0</v>
      </c>
      <c r="F14" s="10">
        <f>IFERROR(C14/B14,0)</f>
        <v>0.921875</v>
      </c>
      <c r="G14" s="11" t="s">
        <v>8025</v>
      </c>
    </row>
    <row r="15" ht="45" customHeight="1" spans="1:7">
      <c r="A15" s="8" t="s">
        <v>1913</v>
      </c>
      <c r="B15" s="9">
        <f>COUNTA('PH10-Kiểm thử hiệu năng'!O30:O31)</f>
        <v>2</v>
      </c>
      <c r="C15" s="9">
        <f>COUNTIF('PH10-Kiểm thử hiệu năng'!O30:O31,"PASS")</f>
        <v>1</v>
      </c>
      <c r="D15" s="9">
        <f>COUNTIF('PH10-Kiểm thử hiệu năng'!O30:O31,"FAIL")</f>
        <v>1</v>
      </c>
      <c r="E15" s="9">
        <v>0</v>
      </c>
      <c r="F15" s="10">
        <f>IFERROR(C15/B15,0)</f>
        <v>0.5</v>
      </c>
      <c r="G15" s="11" t="s">
        <v>8026</v>
      </c>
    </row>
    <row r="16" spans="1:7">
      <c r="A16" s="12" t="s">
        <v>1914</v>
      </c>
      <c r="B16" s="7">
        <f>SUMIF($A$12:$A$15,"&lt;&gt;Kiểm thử Hiệu năng*",B12:B15)</f>
        <v>102</v>
      </c>
      <c r="C16" s="7">
        <f>SUMIF($A$12:$A$15,"&lt;&gt;Kiểm thử Hiệu năng*",C12:C15)</f>
        <v>90</v>
      </c>
      <c r="D16" s="7">
        <f>SUMIF($A$12:$A$15,"&lt;&gt;Kiểm thử Hiệu năng*",D12:D15)</f>
        <v>12</v>
      </c>
      <c r="E16" s="7">
        <f>SUMIF($A$12:$A$15,"&lt;&gt;Kiểm thử Hiệu năng*",E12:E15)</f>
        <v>0</v>
      </c>
      <c r="F16" s="13">
        <f>IFERROR(C16/B16,0)</f>
        <v>0.882352941176471</v>
      </c>
      <c r="G16" s="12" t="s">
        <v>7</v>
      </c>
    </row>
    <row r="18" ht="400" customHeight="1" spans="1:7">
      <c r="A18" s="14" t="s">
        <v>1915</v>
      </c>
      <c r="B18" s="15" t="s">
        <v>8027</v>
      </c>
      <c r="C18" s="16"/>
      <c r="D18" s="16"/>
      <c r="E18" s="16"/>
      <c r="F18" s="16"/>
      <c r="G18" s="17"/>
    </row>
    <row r="19" ht="400" customHeight="1" spans="1:7">
      <c r="A19" s="18" t="s">
        <v>1917</v>
      </c>
      <c r="B19" s="15" t="s">
        <v>8028</v>
      </c>
      <c r="C19" s="16"/>
      <c r="D19" s="16"/>
      <c r="E19" s="17"/>
      <c r="F19" s="15" t="s">
        <v>8029</v>
      </c>
      <c r="G19" s="17"/>
    </row>
    <row r="20" ht="240" customHeight="1" spans="1:7">
      <c r="A20" s="14" t="s">
        <v>1920</v>
      </c>
      <c r="B20" s="15" t="s">
        <v>7284</v>
      </c>
      <c r="C20" s="16"/>
      <c r="D20" s="16"/>
      <c r="E20" s="16"/>
      <c r="F20" s="16"/>
      <c r="G20" s="17"/>
    </row>
    <row r="21" ht="45" customHeight="1" spans="1:7">
      <c r="A21" s="14" t="s">
        <v>1921</v>
      </c>
      <c r="B21" s="15" t="s">
        <v>8030</v>
      </c>
      <c r="C21" s="16"/>
      <c r="D21" s="16"/>
      <c r="E21" s="16"/>
      <c r="F21" s="16"/>
      <c r="G21" s="17"/>
    </row>
    <row r="22" ht="32" customHeight="1" spans="1:7">
      <c r="A22" s="19" t="s">
        <v>1923</v>
      </c>
    </row>
  </sheetData>
  <mergeCells count="21">
    <mergeCell ref="A1:G1"/>
    <mergeCell ref="A2:B2"/>
    <mergeCell ref="C2:F2"/>
    <mergeCell ref="A3:B3"/>
    <mergeCell ref="C3:F3"/>
    <mergeCell ref="A4:B4"/>
    <mergeCell ref="C4:F4"/>
    <mergeCell ref="A5:B5"/>
    <mergeCell ref="C5:F5"/>
    <mergeCell ref="A6:B6"/>
    <mergeCell ref="C6:F6"/>
    <mergeCell ref="A7:B7"/>
    <mergeCell ref="C7:F7"/>
    <mergeCell ref="A8:B8"/>
    <mergeCell ref="C8:F8"/>
    <mergeCell ref="A10:G10"/>
    <mergeCell ref="B18:G18"/>
    <mergeCell ref="B19:E19"/>
    <mergeCell ref="F19:G19"/>
    <mergeCell ref="B20:G20"/>
    <mergeCell ref="B21:G2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89</vt:i4>
      </vt:variant>
    </vt:vector>
  </HeadingPairs>
  <TitlesOfParts>
    <vt:vector size="89" baseType="lpstr">
      <vt:lpstr>Trang Bìa</vt:lpstr>
      <vt:lpstr>Phân công công việc</vt:lpstr>
      <vt:lpstr>Mục Lục</vt:lpstr>
      <vt:lpstr>Phần_1-Công việc chung</vt:lpstr>
      <vt:lpstr>Phần_1-Kế hoạch kiểm thử</vt:lpstr>
      <vt:lpstr>Phần_1-Review kế hoạch test</vt:lpstr>
      <vt:lpstr>Phần_1-SRS Review Checklist</vt:lpstr>
      <vt:lpstr>Phần_1-Review TL thiết kế</vt:lpstr>
      <vt:lpstr>Phần_1-Review TL HD cài đặt</vt:lpstr>
      <vt:lpstr>PH1-Review SRS</vt:lpstr>
      <vt:lpstr>PH1-Review Code</vt:lpstr>
      <vt:lpstr>PH1-Kiểm thử giao diện</vt:lpstr>
      <vt:lpstr>PH1-Unit test</vt:lpstr>
      <vt:lpstr>PH1-Kiểm thử API(Postman)</vt:lpstr>
      <vt:lpstr>PH1-Kiểm thử tự động</vt:lpstr>
      <vt:lpstr>PH1-Kiểm thử hiệu năng</vt:lpstr>
      <vt:lpstr>PH1-Đánh giá kết quả</vt:lpstr>
      <vt:lpstr>PH2-Review SRS</vt:lpstr>
      <vt:lpstr>PH2-Review Code</vt:lpstr>
      <vt:lpstr>PH2-Kiểm thử giao diện</vt:lpstr>
      <vt:lpstr>PH2-Unit test</vt:lpstr>
      <vt:lpstr>PH2-Kiểm thử API(Postman)</vt:lpstr>
      <vt:lpstr>PH2-Kiểm thử tự động</vt:lpstr>
      <vt:lpstr>PH2-Kiểm thử hiệu năng</vt:lpstr>
      <vt:lpstr>PH2-Đánh giá kết quả</vt:lpstr>
      <vt:lpstr>PH3-Review SRS</vt:lpstr>
      <vt:lpstr>PH3-Review Code</vt:lpstr>
      <vt:lpstr>PH3-Kiểm thử giao diện</vt:lpstr>
      <vt:lpstr>PH3-Unit test</vt:lpstr>
      <vt:lpstr>PH3-Kiểm thử API(Postman)</vt:lpstr>
      <vt:lpstr>PH3-Kiểm thử tự động</vt:lpstr>
      <vt:lpstr>PH3-Kiểm thử hiệu năng</vt:lpstr>
      <vt:lpstr>PH3-Đánh giá kết quả</vt:lpstr>
      <vt:lpstr>PH4-Review SRS</vt:lpstr>
      <vt:lpstr>PH4-Review Code</vt:lpstr>
      <vt:lpstr>PH4-Kiểm thử giao diện</vt:lpstr>
      <vt:lpstr>PH4-Unit test</vt:lpstr>
      <vt:lpstr>PH4-Kiểm thử API(Postman)</vt:lpstr>
      <vt:lpstr>PH4-Kiểm thử tự động</vt:lpstr>
      <vt:lpstr>PH4-Kiểm thử hiệu năng</vt:lpstr>
      <vt:lpstr>PH4-Đánh giá kết quả</vt:lpstr>
      <vt:lpstr>PH5-Review SRS</vt:lpstr>
      <vt:lpstr>PH5-Review Code</vt:lpstr>
      <vt:lpstr>PH5-Kiểm thử giao diện</vt:lpstr>
      <vt:lpstr>PH5-Unit test</vt:lpstr>
      <vt:lpstr>PH5-Kiểm thử API(Postman)</vt:lpstr>
      <vt:lpstr>PH5-Kiểm thử tự động</vt:lpstr>
      <vt:lpstr>PH5-Kiểm thử hiệu năng</vt:lpstr>
      <vt:lpstr>PH5-Đánh giá kết quả</vt:lpstr>
      <vt:lpstr>PH6-Review SRS</vt:lpstr>
      <vt:lpstr>PH6-Review Code</vt:lpstr>
      <vt:lpstr>PH6-Kiểm thử giao diện</vt:lpstr>
      <vt:lpstr>PH6-Unit test</vt:lpstr>
      <vt:lpstr>PH6-Kiểm thử API(Postman)</vt:lpstr>
      <vt:lpstr>PH6-Kiểm thử tự động</vt:lpstr>
      <vt:lpstr>PH6-Kiểm thử hiệu năng</vt:lpstr>
      <vt:lpstr>PH6-Đánh giá kết quả</vt:lpstr>
      <vt:lpstr>PH7-Review SRS</vt:lpstr>
      <vt:lpstr>PH7-Review Code</vt:lpstr>
      <vt:lpstr>PH7-Kiểm thử giao diện</vt:lpstr>
      <vt:lpstr>PH7-Unit test</vt:lpstr>
      <vt:lpstr>PH7-Kiểm thử API(Postman)</vt:lpstr>
      <vt:lpstr>PH7-Kiểm thử tự động</vt:lpstr>
      <vt:lpstr>PH7-Kiểm thử hiệu năng</vt:lpstr>
      <vt:lpstr>PH7-Đánh giá kết quả</vt:lpstr>
      <vt:lpstr>PH8-Review SRS</vt:lpstr>
      <vt:lpstr>PH8-Review Code</vt:lpstr>
      <vt:lpstr>PH8-Kiểm thử giao diện</vt:lpstr>
      <vt:lpstr>PH8-Unit test</vt:lpstr>
      <vt:lpstr>PH8-Kiểm thử API(Postman)</vt:lpstr>
      <vt:lpstr>PH8-Kiểm thử tự động</vt:lpstr>
      <vt:lpstr>PH8-Kiểm thử hiệu năng</vt:lpstr>
      <vt:lpstr>PH8-Đánh giá kết quả</vt:lpstr>
      <vt:lpstr>PH9-Review SRS</vt:lpstr>
      <vt:lpstr>PH9-Review Code</vt:lpstr>
      <vt:lpstr>PH9-Kiểm thử giao diện</vt:lpstr>
      <vt:lpstr>PH9-Unit test</vt:lpstr>
      <vt:lpstr>PH9-Kiểm thử API(Postman)</vt:lpstr>
      <vt:lpstr>PH9-Kiểm thử tự động</vt:lpstr>
      <vt:lpstr>PH9-Kiểm thử hiệu năng</vt:lpstr>
      <vt:lpstr>PH9-Đánh giá kết quả</vt:lpstr>
      <vt:lpstr>PH10-Review SRS</vt:lpstr>
      <vt:lpstr>PH10-Review Code</vt:lpstr>
      <vt:lpstr>PH10-Kiểm thử giao diện</vt:lpstr>
      <vt:lpstr>PH10-Unit test</vt:lpstr>
      <vt:lpstr>PH10-Kiểm thử API(Postman)</vt:lpstr>
      <vt:lpstr>PH10-Kiểm thử tự động</vt:lpstr>
      <vt:lpstr>PH10-Kiểm thử hiệu năng</vt:lpstr>
      <vt:lpstr>PH10-Đánh giá kết quả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GPT4Plus</cp:lastModifiedBy>
  <dcterms:created xsi:type="dcterms:W3CDTF">2026-05-04T14:40:00Z</dcterms:created>
  <dcterms:modified xsi:type="dcterms:W3CDTF">2026-10-17T17:38:10Z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B100E106782F4E8DAD7B5656D92B4020_12</vt:lpwstr>
  </property>
  <property fmtid="{D5CDD505-2E9C-101B-9397-08002B2CF9AE}" pid="3" name="KSOProductBuildVer">
    <vt:lpwstr>1033-12.1.0.26880</vt:lpwstr>
  </property>
  <property fmtid="{D5CDD505-2E9C-101B-9397-08002B2CF9AE}" pid="4" name="CalculationRule">
    <vt:i4>0</vt:i4>
  </property>
</Properties>
</file>